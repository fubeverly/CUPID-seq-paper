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Multiplexed 16S/Rawdata/"/>
    </mc:Choice>
  </mc:AlternateContent>
  <xr:revisionPtr revIDLastSave="0" documentId="13_ncr:1_{DA6A6221-2E1C-CD43-B5FF-AA7C2DEDD2FA}" xr6:coauthVersionLast="47" xr6:coauthVersionMax="47" xr10:uidLastSave="{00000000-0000-0000-0000-000000000000}"/>
  <bookViews>
    <workbookView xWindow="2180" yWindow="1520" windowWidth="28040" windowHeight="17440" activeTab="1" xr2:uid="{772BE702-C1AA-D44B-B18E-68E6ABC331E4}"/>
  </bookViews>
  <sheets>
    <sheet name="merged" sheetId="4" r:id="rId1"/>
    <sheet name="merged_details" sheetId="5" r:id="rId2"/>
    <sheet name="15 strains" sheetId="1" r:id="rId3"/>
    <sheet name="50 strains" sheetId="2" r:id="rId4"/>
    <sheet name="120 strain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4" l="1"/>
  <c r="W2" i="4"/>
  <c r="X2" i="4"/>
  <c r="Y2" i="4"/>
  <c r="Z2" i="4"/>
  <c r="AA2" i="4"/>
  <c r="AB2" i="4"/>
  <c r="AC2" i="4"/>
  <c r="AD2" i="4"/>
  <c r="AE2" i="4"/>
  <c r="V3" i="4"/>
  <c r="W3" i="4"/>
  <c r="X3" i="4"/>
  <c r="Y3" i="4"/>
  <c r="Z3" i="4"/>
  <c r="AA3" i="4"/>
  <c r="AB3" i="4"/>
  <c r="AC3" i="4"/>
  <c r="AD3" i="4"/>
  <c r="AE3" i="4"/>
  <c r="V4" i="4"/>
  <c r="W4" i="4"/>
  <c r="X4" i="4"/>
  <c r="Y4" i="4"/>
  <c r="Z4" i="4"/>
  <c r="AA4" i="4"/>
  <c r="AB4" i="4"/>
  <c r="AC4" i="4"/>
  <c r="AD4" i="4"/>
  <c r="AE4" i="4"/>
  <c r="V5" i="4"/>
  <c r="W5" i="4"/>
  <c r="X5" i="4"/>
  <c r="Y5" i="4"/>
  <c r="Z5" i="4"/>
  <c r="AA5" i="4"/>
  <c r="AB5" i="4"/>
  <c r="AC5" i="4"/>
  <c r="AD5" i="4"/>
  <c r="AE5" i="4"/>
  <c r="V6" i="4"/>
  <c r="W6" i="4"/>
  <c r="X6" i="4"/>
  <c r="Y6" i="4"/>
  <c r="Z6" i="4"/>
  <c r="AA6" i="4"/>
  <c r="AB6" i="4"/>
  <c r="AC6" i="4"/>
  <c r="AD6" i="4"/>
  <c r="AE6" i="4"/>
  <c r="V7" i="4"/>
  <c r="W7" i="4"/>
  <c r="X7" i="4"/>
  <c r="Y7" i="4"/>
  <c r="Z7" i="4"/>
  <c r="AA7" i="4"/>
  <c r="AB7" i="4"/>
  <c r="AC7" i="4"/>
  <c r="AD7" i="4"/>
  <c r="AE7" i="4"/>
  <c r="V8" i="4"/>
  <c r="W8" i="4"/>
  <c r="X8" i="4"/>
  <c r="Y8" i="4"/>
  <c r="Z8" i="4"/>
  <c r="AA8" i="4"/>
  <c r="AB8" i="4"/>
  <c r="AC8" i="4"/>
  <c r="AD8" i="4"/>
  <c r="AE8" i="4"/>
  <c r="V9" i="4"/>
  <c r="W9" i="4"/>
  <c r="X9" i="4"/>
  <c r="Y9" i="4"/>
  <c r="Z9" i="4"/>
  <c r="AA9" i="4"/>
  <c r="AB9" i="4"/>
  <c r="AC9" i="4"/>
  <c r="AD9" i="4"/>
  <c r="AE9" i="4"/>
  <c r="V10" i="4"/>
  <c r="W10" i="4"/>
  <c r="X10" i="4"/>
  <c r="Y10" i="4"/>
  <c r="Z10" i="4"/>
  <c r="AA10" i="4"/>
  <c r="AB10" i="4"/>
  <c r="AC10" i="4"/>
  <c r="AD10" i="4"/>
  <c r="AE10" i="4"/>
  <c r="V11" i="4"/>
  <c r="W11" i="4"/>
  <c r="X11" i="4"/>
  <c r="Y11" i="4"/>
  <c r="Z11" i="4"/>
  <c r="AA11" i="4"/>
  <c r="AB11" i="4"/>
  <c r="AC11" i="4"/>
  <c r="AD11" i="4"/>
  <c r="AE11" i="4"/>
  <c r="V12" i="4"/>
  <c r="W12" i="4"/>
  <c r="X12" i="4"/>
  <c r="Y12" i="4"/>
  <c r="Z12" i="4"/>
  <c r="AA12" i="4"/>
  <c r="AB12" i="4"/>
  <c r="AC12" i="4"/>
  <c r="AD12" i="4"/>
  <c r="AE12" i="4"/>
  <c r="V13" i="4"/>
  <c r="W13" i="4"/>
  <c r="X13" i="4"/>
  <c r="Y13" i="4"/>
  <c r="Z13" i="4"/>
  <c r="AA13" i="4"/>
  <c r="AB13" i="4"/>
  <c r="AC13" i="4"/>
  <c r="AD13" i="4"/>
  <c r="AE13" i="4"/>
  <c r="V14" i="4"/>
  <c r="W14" i="4"/>
  <c r="X14" i="4"/>
  <c r="Y14" i="4"/>
  <c r="Z14" i="4"/>
  <c r="AA14" i="4"/>
  <c r="AB14" i="4"/>
  <c r="AC14" i="4"/>
  <c r="AD14" i="4"/>
  <c r="AE14" i="4"/>
  <c r="V15" i="4"/>
  <c r="W15" i="4"/>
  <c r="X15" i="4"/>
  <c r="Y15" i="4"/>
  <c r="Z15" i="4"/>
  <c r="AA15" i="4"/>
  <c r="AB15" i="4"/>
  <c r="AC15" i="4"/>
  <c r="AD15" i="4"/>
  <c r="AE15" i="4"/>
  <c r="V16" i="4"/>
  <c r="W16" i="4"/>
  <c r="X16" i="4"/>
  <c r="Y16" i="4"/>
  <c r="Z16" i="4"/>
  <c r="AA16" i="4"/>
  <c r="AB16" i="4"/>
  <c r="AC16" i="4"/>
  <c r="AD16" i="4"/>
  <c r="AE16" i="4"/>
  <c r="V17" i="4"/>
  <c r="W17" i="4"/>
  <c r="X17" i="4"/>
  <c r="Y17" i="4"/>
  <c r="Z17" i="4"/>
  <c r="AA17" i="4"/>
  <c r="AB17" i="4"/>
  <c r="AC17" i="4"/>
  <c r="AD17" i="4"/>
  <c r="AE17" i="4"/>
  <c r="V18" i="4"/>
  <c r="W18" i="4"/>
  <c r="X18" i="4"/>
  <c r="Y18" i="4"/>
  <c r="Z18" i="4"/>
  <c r="AA18" i="4"/>
  <c r="AB18" i="4"/>
  <c r="AC18" i="4"/>
  <c r="AD18" i="4"/>
  <c r="AE18" i="4"/>
  <c r="V19" i="4"/>
  <c r="W19" i="4"/>
  <c r="X19" i="4"/>
  <c r="Y19" i="4"/>
  <c r="Z19" i="4"/>
  <c r="AA19" i="4"/>
  <c r="AB19" i="4"/>
  <c r="AC19" i="4"/>
  <c r="AD19" i="4"/>
  <c r="AE19" i="4"/>
  <c r="V20" i="4"/>
  <c r="W20" i="4"/>
  <c r="X20" i="4"/>
  <c r="Y20" i="4"/>
  <c r="Z20" i="4"/>
  <c r="AA20" i="4"/>
  <c r="AB20" i="4"/>
  <c r="AC20" i="4"/>
  <c r="AD20" i="4"/>
  <c r="AE20" i="4"/>
  <c r="V21" i="4"/>
  <c r="W21" i="4"/>
  <c r="X21" i="4"/>
  <c r="Y21" i="4"/>
  <c r="Z21" i="4"/>
  <c r="AA21" i="4"/>
  <c r="AB21" i="4"/>
  <c r="AC21" i="4"/>
  <c r="AD21" i="4"/>
  <c r="AE21" i="4"/>
  <c r="U21" i="4"/>
  <c r="T21" i="4"/>
  <c r="S21" i="4"/>
  <c r="R21" i="4"/>
  <c r="Q21" i="4"/>
  <c r="P21" i="4"/>
  <c r="O21" i="4"/>
  <c r="N21" i="4"/>
  <c r="M21" i="4"/>
  <c r="L21" i="4"/>
  <c r="U20" i="4"/>
  <c r="T20" i="4"/>
  <c r="S20" i="4"/>
  <c r="R20" i="4"/>
  <c r="Q20" i="4"/>
  <c r="P20" i="4"/>
  <c r="O20" i="4"/>
  <c r="N20" i="4"/>
  <c r="M20" i="4"/>
  <c r="L20" i="4"/>
  <c r="U19" i="4"/>
  <c r="T19" i="4"/>
  <c r="S19" i="4"/>
  <c r="R19" i="4"/>
  <c r="Q19" i="4"/>
  <c r="P19" i="4"/>
  <c r="O19" i="4"/>
  <c r="N19" i="4"/>
  <c r="M19" i="4"/>
  <c r="L19" i="4"/>
  <c r="U18" i="4"/>
  <c r="T18" i="4"/>
  <c r="S18" i="4"/>
  <c r="R18" i="4"/>
  <c r="Q18" i="4"/>
  <c r="P18" i="4"/>
  <c r="O18" i="4"/>
  <c r="N18" i="4"/>
  <c r="M18" i="4"/>
  <c r="L18" i="4"/>
  <c r="U17" i="4"/>
  <c r="T17" i="4"/>
  <c r="S17" i="4"/>
  <c r="R17" i="4"/>
  <c r="Q17" i="4"/>
  <c r="P17" i="4"/>
  <c r="O17" i="4"/>
  <c r="N17" i="4"/>
  <c r="M17" i="4"/>
  <c r="L17" i="4"/>
  <c r="U16" i="4"/>
  <c r="T16" i="4"/>
  <c r="S16" i="4"/>
  <c r="R16" i="4"/>
  <c r="Q16" i="4"/>
  <c r="P16" i="4"/>
  <c r="O16" i="4"/>
  <c r="N16" i="4"/>
  <c r="M16" i="4"/>
  <c r="L16" i="4"/>
  <c r="U15" i="4"/>
  <c r="T15" i="4"/>
  <c r="S15" i="4"/>
  <c r="R15" i="4"/>
  <c r="Q15" i="4"/>
  <c r="P15" i="4"/>
  <c r="O15" i="4"/>
  <c r="N15" i="4"/>
  <c r="M15" i="4"/>
  <c r="L15" i="4"/>
  <c r="U14" i="4"/>
  <c r="T14" i="4"/>
  <c r="S14" i="4"/>
  <c r="R14" i="4"/>
  <c r="Q14" i="4"/>
  <c r="P14" i="4"/>
  <c r="O14" i="4"/>
  <c r="N14" i="4"/>
  <c r="M14" i="4"/>
  <c r="L14" i="4"/>
  <c r="U13" i="4"/>
  <c r="T13" i="4"/>
  <c r="S13" i="4"/>
  <c r="R13" i="4"/>
  <c r="Q13" i="4"/>
  <c r="P13" i="4"/>
  <c r="O13" i="4"/>
  <c r="N13" i="4"/>
  <c r="M13" i="4"/>
  <c r="L13" i="4"/>
  <c r="U12" i="4"/>
  <c r="T12" i="4"/>
  <c r="S12" i="4"/>
  <c r="R12" i="4"/>
  <c r="Q12" i="4"/>
  <c r="P12" i="4"/>
  <c r="O12" i="4"/>
  <c r="N12" i="4"/>
  <c r="M12" i="4"/>
  <c r="L12" i="4"/>
  <c r="U11" i="4"/>
  <c r="T11" i="4"/>
  <c r="S11" i="4"/>
  <c r="R11" i="4"/>
  <c r="Q11" i="4"/>
  <c r="P11" i="4"/>
  <c r="O11" i="4"/>
  <c r="N11" i="4"/>
  <c r="M11" i="4"/>
  <c r="L11" i="4"/>
  <c r="U10" i="4"/>
  <c r="T10" i="4"/>
  <c r="S10" i="4"/>
  <c r="R10" i="4"/>
  <c r="Q10" i="4"/>
  <c r="P10" i="4"/>
  <c r="O10" i="4"/>
  <c r="N10" i="4"/>
  <c r="M10" i="4"/>
  <c r="L10" i="4"/>
  <c r="U9" i="4"/>
  <c r="T9" i="4"/>
  <c r="S9" i="4"/>
  <c r="R9" i="4"/>
  <c r="Q9" i="4"/>
  <c r="P9" i="4"/>
  <c r="O9" i="4"/>
  <c r="N9" i="4"/>
  <c r="M9" i="4"/>
  <c r="L9" i="4"/>
  <c r="U8" i="4"/>
  <c r="T8" i="4"/>
  <c r="S8" i="4"/>
  <c r="R8" i="4"/>
  <c r="Q8" i="4"/>
  <c r="P8" i="4"/>
  <c r="O8" i="4"/>
  <c r="N8" i="4"/>
  <c r="M8" i="4"/>
  <c r="L8" i="4"/>
  <c r="U7" i="4"/>
  <c r="T7" i="4"/>
  <c r="S7" i="4"/>
  <c r="R7" i="4"/>
  <c r="Q7" i="4"/>
  <c r="P7" i="4"/>
  <c r="O7" i="4"/>
  <c r="N7" i="4"/>
  <c r="M7" i="4"/>
  <c r="L7" i="4"/>
  <c r="U6" i="4"/>
  <c r="T6" i="4"/>
  <c r="S6" i="4"/>
  <c r="R6" i="4"/>
  <c r="Q6" i="4"/>
  <c r="P6" i="4"/>
  <c r="O6" i="4"/>
  <c r="N6" i="4"/>
  <c r="M6" i="4"/>
  <c r="L6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U2" i="4"/>
  <c r="T2" i="4"/>
  <c r="S2" i="4"/>
  <c r="R2" i="4"/>
  <c r="Q2" i="4"/>
  <c r="P2" i="4"/>
  <c r="O2" i="4"/>
  <c r="N2" i="4"/>
  <c r="M2" i="4"/>
  <c r="L2" i="4"/>
</calcChain>
</file>

<file path=xl/sharedStrings.xml><?xml version="1.0" encoding="utf-8"?>
<sst xmlns="http://schemas.openxmlformats.org/spreadsheetml/2006/main" count="202" uniqueCount="60">
  <si>
    <t>V1-V2</t>
  </si>
  <si>
    <t>V1-V3</t>
  </si>
  <si>
    <t>V4</t>
  </si>
  <si>
    <t>V3-V5</t>
  </si>
  <si>
    <t>V6-V9</t>
  </si>
  <si>
    <t>mean</t>
  </si>
  <si>
    <t>rep1</t>
  </si>
  <si>
    <t>rep2</t>
  </si>
  <si>
    <t>rep3</t>
  </si>
  <si>
    <t>rep4</t>
  </si>
  <si>
    <t>rep5</t>
  </si>
  <si>
    <t>rep6</t>
  </si>
  <si>
    <t>rep7</t>
  </si>
  <si>
    <t>rep8</t>
  </si>
  <si>
    <t>rep9</t>
  </si>
  <si>
    <t>rep10</t>
  </si>
  <si>
    <t>V1–V2-120</t>
  </si>
  <si>
    <t>V1–V3-120</t>
  </si>
  <si>
    <t>V4-120</t>
  </si>
  <si>
    <t>V3–V5-120</t>
  </si>
  <si>
    <t>V6–V9-120</t>
  </si>
  <si>
    <t>V1–V2-15</t>
  </si>
  <si>
    <t>V1–V3-15</t>
  </si>
  <si>
    <t>V4-15</t>
  </si>
  <si>
    <t>V3–V5-15</t>
  </si>
  <si>
    <t>V6–V9-15</t>
  </si>
  <si>
    <t>V1–V2-15-stdev</t>
  </si>
  <si>
    <t>V1–V3-15-stdev</t>
  </si>
  <si>
    <t>V4-15-stdev</t>
  </si>
  <si>
    <t>V6–V9-15-stdev</t>
  </si>
  <si>
    <t>V3–V5-15-stdev</t>
  </si>
  <si>
    <t>V1–V2-50</t>
  </si>
  <si>
    <t>V1–V3-50</t>
  </si>
  <si>
    <t>V4-50</t>
  </si>
  <si>
    <t>V3–V5-50</t>
  </si>
  <si>
    <t>V6–V9-50</t>
  </si>
  <si>
    <t>V1–V2-50-stdev</t>
  </si>
  <si>
    <t>V1–V3-50-stdev</t>
  </si>
  <si>
    <t>V4-50-stdev</t>
  </si>
  <si>
    <t>V3–V5-50-stdev</t>
  </si>
  <si>
    <t>V6–V9-50-stdev</t>
  </si>
  <si>
    <t>Sample</t>
  </si>
  <si>
    <t>Region</t>
  </si>
  <si>
    <t>V1–V2</t>
  </si>
  <si>
    <t>V1–V3</t>
  </si>
  <si>
    <t>V3–V5</t>
  </si>
  <si>
    <t>V6–V9</t>
  </si>
  <si>
    <t>stdev</t>
  </si>
  <si>
    <t>avg</t>
  </si>
  <si>
    <t>Strains</t>
  </si>
  <si>
    <t>Type</t>
  </si>
  <si>
    <t>Primers</t>
  </si>
  <si>
    <t>V1–V3-120-stdev</t>
  </si>
  <si>
    <t>V4-120-stdev</t>
  </si>
  <si>
    <t>V3–V5-120-stdev</t>
  </si>
  <si>
    <t>V6–V9-120-stdev</t>
  </si>
  <si>
    <t>V1–V2-120-stdev</t>
  </si>
  <si>
    <t>All 120 strains</t>
  </si>
  <si>
    <t>15 strains</t>
  </si>
  <si>
    <t>50 strains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</si>
</sst>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5558-3600-EC4E-8D20-656B9E854963}">
  <dimension ref="A1:AE21"/>
  <sheetViews>
    <sheetView workbookViewId="0">
      <selection activeCell="F1" sqref="F1"/>
    </sheetView>
  </sheetViews>
  <sheetFormatPr baseColWidth="10" defaultRowHeight="16" x14ac:dyDescent="0.2"/>
  <sheetData>
    <row r="1" spans="1:31" x14ac:dyDescent="0.2">
      <c r="A1" t="s">
        <v>51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56</v>
      </c>
      <c r="H1" t="s">
        <v>52</v>
      </c>
      <c r="I1" t="s">
        <v>53</v>
      </c>
      <c r="J1" t="s">
        <v>54</v>
      </c>
      <c r="K1" t="s">
        <v>55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30</v>
      </c>
      <c r="U1" t="s">
        <v>29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</row>
    <row r="2" spans="1:31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AVERAGE('15 strains'!B25,'15 strains'!B67,'15 strains'!B88,'15 strains'!B109,'15 strains'!B130,'15 strains'!B151,'15 strains'!B172,'15 strains'!B193,'15 strains'!B214)</f>
        <v>0</v>
      </c>
      <c r="M2">
        <f>AVERAGE('15 strains'!C25,'15 strains'!C67,'15 strains'!C88,'15 strains'!C109,'15 strains'!C130,'15 strains'!C151,'15 strains'!C172,'15 strains'!C193,'15 strains'!C214)</f>
        <v>0</v>
      </c>
      <c r="N2">
        <f>AVERAGE('15 strains'!D25,'15 strains'!D67,'15 strains'!D88,'15 strains'!D109,'15 strains'!D130,'15 strains'!D151,'15 strains'!D172,'15 strains'!D193,'15 strains'!D214)</f>
        <v>0</v>
      </c>
      <c r="O2">
        <f>AVERAGE('15 strains'!E25,'15 strains'!E67,'15 strains'!E88,'15 strains'!E109,'15 strains'!E130,'15 strains'!E151,'15 strains'!E172,'15 strains'!E193,'15 strains'!E214)</f>
        <v>0</v>
      </c>
      <c r="P2">
        <f>AVERAGE('15 strains'!F25,'15 strains'!F67,'15 strains'!F88,'15 strains'!F109,'15 strains'!F130,'15 strains'!F151,'15 strains'!F172,'15 strains'!F193,'15 strains'!F214)</f>
        <v>0</v>
      </c>
      <c r="Q2">
        <f>STDEV('15 strains'!B25,'15 strains'!B67,'15 strains'!B88,'15 strains'!B109,'15 strains'!B130,'15 strains'!B151,'15 strains'!B172,'15 strains'!B193,'15 strains'!B214)</f>
        <v>0</v>
      </c>
      <c r="R2">
        <f>STDEV('15 strains'!C25,'15 strains'!C67,'15 strains'!C88,'15 strains'!C109,'15 strains'!C130,'15 strains'!C151,'15 strains'!C172,'15 strains'!C193,'15 strains'!C214)</f>
        <v>0</v>
      </c>
      <c r="S2">
        <f>STDEV('15 strains'!D25,'15 strains'!D67,'15 strains'!D88,'15 strains'!D109,'15 strains'!D130,'15 strains'!D151,'15 strains'!D172,'15 strains'!D193,'15 strains'!D214)</f>
        <v>0</v>
      </c>
      <c r="T2">
        <f>STDEV('15 strains'!E25,'15 strains'!E67,'15 strains'!E88,'15 strains'!E109,'15 strains'!E130,'15 strains'!E151,'15 strains'!E172,'15 strains'!E193,'15 strains'!E214)</f>
        <v>0</v>
      </c>
      <c r="U2">
        <f>STDEV('15 strains'!F25,'15 strains'!F67,'15 strains'!F88,'15 strains'!F109,'15 strains'!F130,'15 strains'!F151,'15 strains'!F172,'15 strains'!F193,'15 strains'!F214)</f>
        <v>0</v>
      </c>
      <c r="V2">
        <f>AVERAGE('50 strains'!B25,'50 strains'!B46,'50 strains'!B67,'50 strains'!B88,'50 strains'!B109,'50 strains'!B130,'50 strains'!B151,'50 strains'!B172,'50 strains'!B193,'50 strains'!B214)</f>
        <v>0</v>
      </c>
      <c r="W2">
        <f>AVERAGE('50 strains'!C25,'50 strains'!C46,'50 strains'!C67,'50 strains'!C88,'50 strains'!C109,'50 strains'!C130,'50 strains'!C151,'50 strains'!C172,'50 strains'!C193,'50 strains'!C214)</f>
        <v>0</v>
      </c>
      <c r="X2">
        <f>AVERAGE('50 strains'!D25,'50 strains'!D46,'50 strains'!D67,'50 strains'!D88,'50 strains'!D109,'50 strains'!D130,'50 strains'!D151,'50 strains'!D172,'50 strains'!D193,'50 strains'!D214)</f>
        <v>0</v>
      </c>
      <c r="Y2">
        <f>AVERAGE('50 strains'!E25,'50 strains'!E46,'50 strains'!E67,'50 strains'!E88,'50 strains'!E109,'50 strains'!E130,'50 strains'!E151,'50 strains'!E172,'50 strains'!E193,'50 strains'!E214)</f>
        <v>0</v>
      </c>
      <c r="Z2">
        <f>AVERAGE('50 strains'!F25,'50 strains'!F46,'50 strains'!F67,'50 strains'!F88,'50 strains'!F109,'50 strains'!F130,'50 strains'!F151,'50 strains'!F172,'50 strains'!F193,'50 strains'!F214)</f>
        <v>0</v>
      </c>
      <c r="AA2">
        <f>STDEV('50 strains'!B25,'50 strains'!B46,'50 strains'!B67,'50 strains'!B88,'50 strains'!B109,'50 strains'!B130,'50 strains'!B151,'50 strains'!B172,'50 strains'!B193,'50 strains'!B214)</f>
        <v>0</v>
      </c>
      <c r="AB2">
        <f>STDEV('50 strains'!C25,'50 strains'!C46,'50 strains'!C67,'50 strains'!C88,'50 strains'!C109,'50 strains'!C130,'50 strains'!C151,'50 strains'!C172,'50 strains'!C193,'50 strains'!C214)</f>
        <v>0</v>
      </c>
      <c r="AC2">
        <f>STDEV('50 strains'!D25,'50 strains'!D46,'50 strains'!D67,'50 strains'!D88,'50 strains'!D109,'50 strains'!D130,'50 strains'!D151,'50 strains'!D172,'50 strains'!D193,'50 strains'!D214)</f>
        <v>0</v>
      </c>
      <c r="AD2">
        <f>STDEV('50 strains'!E25,'50 strains'!E46,'50 strains'!E67,'50 strains'!E88,'50 strains'!E109,'50 strains'!E130,'50 strains'!E151,'50 strains'!E172,'50 strains'!E193,'50 strains'!E214)</f>
        <v>0</v>
      </c>
      <c r="AE2">
        <f>STDEV('50 strains'!F25,'50 strains'!F46,'50 strains'!F67,'50 strains'!F88,'50 strains'!F109,'50 strains'!F130,'50 strains'!F151,'50 strains'!F172,'50 strains'!F193,'50 strains'!F214)</f>
        <v>0</v>
      </c>
    </row>
    <row r="3" spans="1:31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>AVERAGE('15 strains'!B26,'15 strains'!B68,'15 strains'!B89,'15 strains'!B110,'15 strains'!B131,'15 strains'!B152,'15 strains'!B173,'15 strains'!B194,'15 strains'!B215)</f>
        <v>0</v>
      </c>
      <c r="M3">
        <f>AVERAGE('15 strains'!C26,'15 strains'!C68,'15 strains'!C89,'15 strains'!C110,'15 strains'!C131,'15 strains'!C152,'15 strains'!C173,'15 strains'!C194,'15 strains'!C215)</f>
        <v>0</v>
      </c>
      <c r="N3">
        <f>AVERAGE('15 strains'!D26,'15 strains'!D68,'15 strains'!D89,'15 strains'!D110,'15 strains'!D131,'15 strains'!D152,'15 strains'!D173,'15 strains'!D194,'15 strains'!D215)</f>
        <v>0</v>
      </c>
      <c r="O3">
        <f>AVERAGE('15 strains'!E26,'15 strains'!E68,'15 strains'!E89,'15 strains'!E110,'15 strains'!E131,'15 strains'!E152,'15 strains'!E173,'15 strains'!E194,'15 strains'!E215)</f>
        <v>0</v>
      </c>
      <c r="P3">
        <f>AVERAGE('15 strains'!F26,'15 strains'!F68,'15 strains'!F89,'15 strains'!F110,'15 strains'!F131,'15 strains'!F152,'15 strains'!F173,'15 strains'!F194,'15 strains'!F215)</f>
        <v>0</v>
      </c>
      <c r="Q3">
        <f>STDEV('15 strains'!B26,'15 strains'!B68,'15 strains'!B89,'15 strains'!B110,'15 strains'!B131,'15 strains'!B152,'15 strains'!B173,'15 strains'!B194,'15 strains'!B215)</f>
        <v>0</v>
      </c>
      <c r="R3">
        <f>STDEV('15 strains'!C26,'15 strains'!C68,'15 strains'!C89,'15 strains'!C110,'15 strains'!C131,'15 strains'!C152,'15 strains'!C173,'15 strains'!C194,'15 strains'!C215)</f>
        <v>0</v>
      </c>
      <c r="S3">
        <f>STDEV('15 strains'!D26,'15 strains'!D68,'15 strains'!D89,'15 strains'!D110,'15 strains'!D131,'15 strains'!D152,'15 strains'!D173,'15 strains'!D194,'15 strains'!D215)</f>
        <v>0</v>
      </c>
      <c r="T3">
        <f>STDEV('15 strains'!E26,'15 strains'!E68,'15 strains'!E89,'15 strains'!E110,'15 strains'!E131,'15 strains'!E152,'15 strains'!E173,'15 strains'!E194,'15 strains'!E215)</f>
        <v>0</v>
      </c>
      <c r="U3">
        <f>STDEV('15 strains'!F26,'15 strains'!F68,'15 strains'!F89,'15 strains'!F110,'15 strains'!F131,'15 strains'!F152,'15 strains'!F173,'15 strains'!F194,'15 strains'!F215)</f>
        <v>0</v>
      </c>
      <c r="V3">
        <f>AVERAGE('50 strains'!B26,'50 strains'!B47,'50 strains'!B68,'50 strains'!B89,'50 strains'!B110,'50 strains'!B131,'50 strains'!B152,'50 strains'!B173,'50 strains'!B194,'50 strains'!B215)</f>
        <v>0</v>
      </c>
      <c r="W3">
        <f>AVERAGE('50 strains'!C26,'50 strains'!C47,'50 strains'!C68,'50 strains'!C89,'50 strains'!C110,'50 strains'!C131,'50 strains'!C152,'50 strains'!C173,'50 strains'!C194,'50 strains'!C215)</f>
        <v>0</v>
      </c>
      <c r="X3">
        <f>AVERAGE('50 strains'!D26,'50 strains'!D47,'50 strains'!D68,'50 strains'!D89,'50 strains'!D110,'50 strains'!D131,'50 strains'!D152,'50 strains'!D173,'50 strains'!D194,'50 strains'!D215)</f>
        <v>0</v>
      </c>
      <c r="Y3">
        <f>AVERAGE('50 strains'!E26,'50 strains'!E47,'50 strains'!E68,'50 strains'!E89,'50 strains'!E110,'50 strains'!E131,'50 strains'!E152,'50 strains'!E173,'50 strains'!E194,'50 strains'!E215)</f>
        <v>0</v>
      </c>
      <c r="Z3">
        <f>AVERAGE('50 strains'!F26,'50 strains'!F47,'50 strains'!F68,'50 strains'!F89,'50 strains'!F110,'50 strains'!F131,'50 strains'!F152,'50 strains'!F173,'50 strains'!F194,'50 strains'!F215)</f>
        <v>0</v>
      </c>
      <c r="AA3">
        <f>STDEV('50 strains'!B26,'50 strains'!B47,'50 strains'!B68,'50 strains'!B89,'50 strains'!B110,'50 strains'!B131,'50 strains'!B152,'50 strains'!B173,'50 strains'!B194,'50 strains'!B215)</f>
        <v>0</v>
      </c>
      <c r="AB3">
        <f>STDEV('50 strains'!C26,'50 strains'!C47,'50 strains'!C68,'50 strains'!C89,'50 strains'!C110,'50 strains'!C131,'50 strains'!C152,'50 strains'!C173,'50 strains'!C194,'50 strains'!C215)</f>
        <v>0</v>
      </c>
      <c r="AC3">
        <f>STDEV('50 strains'!D26,'50 strains'!D47,'50 strains'!D68,'50 strains'!D89,'50 strains'!D110,'50 strains'!D131,'50 strains'!D152,'50 strains'!D173,'50 strains'!D194,'50 strains'!D215)</f>
        <v>0</v>
      </c>
      <c r="AD3">
        <f>STDEV('50 strains'!E26,'50 strains'!E47,'50 strains'!E68,'50 strains'!E89,'50 strains'!E110,'50 strains'!E131,'50 strains'!E152,'50 strains'!E173,'50 strains'!E194,'50 strains'!E215)</f>
        <v>0</v>
      </c>
      <c r="AE3">
        <f>STDEV('50 strains'!F26,'50 strains'!F47,'50 strains'!F68,'50 strains'!F89,'50 strains'!F110,'50 strains'!F131,'50 strains'!F152,'50 strains'!F173,'50 strains'!F194,'50 strains'!F215)</f>
        <v>0</v>
      </c>
    </row>
    <row r="4" spans="1:31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>AVERAGE('15 strains'!B27,'15 strains'!B69,'15 strains'!B90,'15 strains'!B111,'15 strains'!B132,'15 strains'!B153,'15 strains'!B174,'15 strains'!B195,'15 strains'!B216)</f>
        <v>0</v>
      </c>
      <c r="M4">
        <f>AVERAGE('15 strains'!C27,'15 strains'!C69,'15 strains'!C90,'15 strains'!C111,'15 strains'!C132,'15 strains'!C153,'15 strains'!C174,'15 strains'!C195,'15 strains'!C216)</f>
        <v>0</v>
      </c>
      <c r="N4">
        <f>AVERAGE('15 strains'!D27,'15 strains'!D69,'15 strains'!D90,'15 strains'!D111,'15 strains'!D132,'15 strains'!D153,'15 strains'!D174,'15 strains'!D195,'15 strains'!D216)</f>
        <v>0</v>
      </c>
      <c r="O4">
        <f>AVERAGE('15 strains'!E27,'15 strains'!E69,'15 strains'!E90,'15 strains'!E111,'15 strains'!E132,'15 strains'!E153,'15 strains'!E174,'15 strains'!E195,'15 strains'!E216)</f>
        <v>0</v>
      </c>
      <c r="P4">
        <f>AVERAGE('15 strains'!F27,'15 strains'!F69,'15 strains'!F90,'15 strains'!F111,'15 strains'!F132,'15 strains'!F153,'15 strains'!F174,'15 strains'!F195,'15 strains'!F216)</f>
        <v>0</v>
      </c>
      <c r="Q4">
        <f>STDEV('15 strains'!B27,'15 strains'!B69,'15 strains'!B90,'15 strains'!B111,'15 strains'!B132,'15 strains'!B153,'15 strains'!B174,'15 strains'!B195,'15 strains'!B216)</f>
        <v>0</v>
      </c>
      <c r="R4">
        <f>STDEV('15 strains'!C27,'15 strains'!C69,'15 strains'!C90,'15 strains'!C111,'15 strains'!C132,'15 strains'!C153,'15 strains'!C174,'15 strains'!C195,'15 strains'!C216)</f>
        <v>0</v>
      </c>
      <c r="S4">
        <f>STDEV('15 strains'!D27,'15 strains'!D69,'15 strains'!D90,'15 strains'!D111,'15 strains'!D132,'15 strains'!D153,'15 strains'!D174,'15 strains'!D195,'15 strains'!D216)</f>
        <v>0</v>
      </c>
      <c r="T4">
        <f>STDEV('15 strains'!E27,'15 strains'!E69,'15 strains'!E90,'15 strains'!E111,'15 strains'!E132,'15 strains'!E153,'15 strains'!E174,'15 strains'!E195,'15 strains'!E216)</f>
        <v>0</v>
      </c>
      <c r="U4">
        <f>STDEV('15 strains'!F27,'15 strains'!F69,'15 strains'!F90,'15 strains'!F111,'15 strains'!F132,'15 strains'!F153,'15 strains'!F174,'15 strains'!F195,'15 strains'!F216)</f>
        <v>0</v>
      </c>
      <c r="V4">
        <f>AVERAGE('50 strains'!B27,'50 strains'!B48,'50 strains'!B69,'50 strains'!B90,'50 strains'!B111,'50 strains'!B132,'50 strains'!B153,'50 strains'!B174,'50 strains'!B195,'50 strains'!B216)</f>
        <v>0</v>
      </c>
      <c r="W4">
        <f>AVERAGE('50 strains'!C27,'50 strains'!C48,'50 strains'!C69,'50 strains'!C90,'50 strains'!C111,'50 strains'!C132,'50 strains'!C153,'50 strains'!C174,'50 strains'!C195,'50 strains'!C216)</f>
        <v>0</v>
      </c>
      <c r="X4">
        <f>AVERAGE('50 strains'!D27,'50 strains'!D48,'50 strains'!D69,'50 strains'!D90,'50 strains'!D111,'50 strains'!D132,'50 strains'!D153,'50 strains'!D174,'50 strains'!D195,'50 strains'!D216)</f>
        <v>0</v>
      </c>
      <c r="Y4">
        <f>AVERAGE('50 strains'!E27,'50 strains'!E48,'50 strains'!E69,'50 strains'!E90,'50 strains'!E111,'50 strains'!E132,'50 strains'!E153,'50 strains'!E174,'50 strains'!E195,'50 strains'!E216)</f>
        <v>0</v>
      </c>
      <c r="Z4">
        <f>AVERAGE('50 strains'!F27,'50 strains'!F48,'50 strains'!F69,'50 strains'!F90,'50 strains'!F111,'50 strains'!F132,'50 strains'!F153,'50 strains'!F174,'50 strains'!F195,'50 strains'!F216)</f>
        <v>0</v>
      </c>
      <c r="AA4">
        <f>STDEV('50 strains'!B27,'50 strains'!B48,'50 strains'!B69,'50 strains'!B90,'50 strains'!B111,'50 strains'!B132,'50 strains'!B153,'50 strains'!B174,'50 strains'!B195,'50 strains'!B216)</f>
        <v>0</v>
      </c>
      <c r="AB4">
        <f>STDEV('50 strains'!C27,'50 strains'!C48,'50 strains'!C69,'50 strains'!C90,'50 strains'!C111,'50 strains'!C132,'50 strains'!C153,'50 strains'!C174,'50 strains'!C195,'50 strains'!C216)</f>
        <v>0</v>
      </c>
      <c r="AC4">
        <f>STDEV('50 strains'!D27,'50 strains'!D48,'50 strains'!D69,'50 strains'!D90,'50 strains'!D111,'50 strains'!D132,'50 strains'!D153,'50 strains'!D174,'50 strains'!D195,'50 strains'!D216)</f>
        <v>0</v>
      </c>
      <c r="AD4">
        <f>STDEV('50 strains'!E27,'50 strains'!E48,'50 strains'!E69,'50 strains'!E90,'50 strains'!E111,'50 strains'!E132,'50 strains'!E153,'50 strains'!E174,'50 strains'!E195,'50 strains'!E216)</f>
        <v>0</v>
      </c>
      <c r="AE4">
        <f>STDEV('50 strains'!F27,'50 strains'!F48,'50 strains'!F69,'50 strains'!F90,'50 strains'!F111,'50 strains'!F132,'50 strains'!F153,'50 strains'!F174,'50 strains'!F195,'50 strains'!F216)</f>
        <v>0</v>
      </c>
    </row>
    <row r="5" spans="1:31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>AVERAGE('15 strains'!B28,'15 strains'!B70,'15 strains'!B91,'15 strains'!B112,'15 strains'!B133,'15 strains'!B154,'15 strains'!B175,'15 strains'!B196,'15 strains'!B217)</f>
        <v>0</v>
      </c>
      <c r="M5">
        <f>AVERAGE('15 strains'!C28,'15 strains'!C70,'15 strains'!C91,'15 strains'!C112,'15 strains'!C133,'15 strains'!C154,'15 strains'!C175,'15 strains'!C196,'15 strains'!C217)</f>
        <v>0</v>
      </c>
      <c r="N5">
        <f>AVERAGE('15 strains'!D28,'15 strains'!D70,'15 strains'!D91,'15 strains'!D112,'15 strains'!D133,'15 strains'!D154,'15 strains'!D175,'15 strains'!D196,'15 strains'!D217)</f>
        <v>0</v>
      </c>
      <c r="O5">
        <f>AVERAGE('15 strains'!E28,'15 strains'!E70,'15 strains'!E91,'15 strains'!E112,'15 strains'!E133,'15 strains'!E154,'15 strains'!E175,'15 strains'!E196,'15 strains'!E217)</f>
        <v>0</v>
      </c>
      <c r="P5">
        <f>AVERAGE('15 strains'!F28,'15 strains'!F70,'15 strains'!F91,'15 strains'!F112,'15 strains'!F133,'15 strains'!F154,'15 strains'!F175,'15 strains'!F196,'15 strains'!F217)</f>
        <v>0</v>
      </c>
      <c r="Q5">
        <f>STDEV('15 strains'!B28,'15 strains'!B70,'15 strains'!B91,'15 strains'!B112,'15 strains'!B133,'15 strains'!B154,'15 strains'!B175,'15 strains'!B196,'15 strains'!B217)</f>
        <v>0</v>
      </c>
      <c r="R5">
        <f>STDEV('15 strains'!C28,'15 strains'!C70,'15 strains'!C91,'15 strains'!C112,'15 strains'!C133,'15 strains'!C154,'15 strains'!C175,'15 strains'!C196,'15 strains'!C217)</f>
        <v>0</v>
      </c>
      <c r="S5">
        <f>STDEV('15 strains'!D28,'15 strains'!D70,'15 strains'!D91,'15 strains'!D112,'15 strains'!D133,'15 strains'!D154,'15 strains'!D175,'15 strains'!D196,'15 strains'!D217)</f>
        <v>0</v>
      </c>
      <c r="T5">
        <f>STDEV('15 strains'!E28,'15 strains'!E70,'15 strains'!E91,'15 strains'!E112,'15 strains'!E133,'15 strains'!E154,'15 strains'!E175,'15 strains'!E196,'15 strains'!E217)</f>
        <v>0</v>
      </c>
      <c r="U5">
        <f>STDEV('15 strains'!F28,'15 strains'!F70,'15 strains'!F91,'15 strains'!F112,'15 strains'!F133,'15 strains'!F154,'15 strains'!F175,'15 strains'!F196,'15 strains'!F217)</f>
        <v>0</v>
      </c>
      <c r="V5">
        <f>AVERAGE('50 strains'!B28,'50 strains'!B49,'50 strains'!B70,'50 strains'!B91,'50 strains'!B112,'50 strains'!B133,'50 strains'!B154,'50 strains'!B175,'50 strains'!B196,'50 strains'!B217)</f>
        <v>0</v>
      </c>
      <c r="W5">
        <f>AVERAGE('50 strains'!C28,'50 strains'!C49,'50 strains'!C70,'50 strains'!C91,'50 strains'!C112,'50 strains'!C133,'50 strains'!C154,'50 strains'!C175,'50 strains'!C196,'50 strains'!C217)</f>
        <v>0</v>
      </c>
      <c r="X5">
        <f>AVERAGE('50 strains'!D28,'50 strains'!D49,'50 strains'!D70,'50 strains'!D91,'50 strains'!D112,'50 strains'!D133,'50 strains'!D154,'50 strains'!D175,'50 strains'!D196,'50 strains'!D217)</f>
        <v>0</v>
      </c>
      <c r="Y5">
        <f>AVERAGE('50 strains'!E28,'50 strains'!E49,'50 strains'!E70,'50 strains'!E91,'50 strains'!E112,'50 strains'!E133,'50 strains'!E154,'50 strains'!E175,'50 strains'!E196,'50 strains'!E217)</f>
        <v>0</v>
      </c>
      <c r="Z5">
        <f>AVERAGE('50 strains'!F28,'50 strains'!F49,'50 strains'!F70,'50 strains'!F91,'50 strains'!F112,'50 strains'!F133,'50 strains'!F154,'50 strains'!F175,'50 strains'!F196,'50 strains'!F217)</f>
        <v>0</v>
      </c>
      <c r="AA5">
        <f>STDEV('50 strains'!B28,'50 strains'!B49,'50 strains'!B70,'50 strains'!B91,'50 strains'!B112,'50 strains'!B133,'50 strains'!B154,'50 strains'!B175,'50 strains'!B196,'50 strains'!B217)</f>
        <v>0</v>
      </c>
      <c r="AB5">
        <f>STDEV('50 strains'!C28,'50 strains'!C49,'50 strains'!C70,'50 strains'!C91,'50 strains'!C112,'50 strains'!C133,'50 strains'!C154,'50 strains'!C175,'50 strains'!C196,'50 strains'!C217)</f>
        <v>0</v>
      </c>
      <c r="AC5">
        <f>STDEV('50 strains'!D28,'50 strains'!D49,'50 strains'!D70,'50 strains'!D91,'50 strains'!D112,'50 strains'!D133,'50 strains'!D154,'50 strains'!D175,'50 strains'!D196,'50 strains'!D217)</f>
        <v>0</v>
      </c>
      <c r="AD5">
        <f>STDEV('50 strains'!E28,'50 strains'!E49,'50 strains'!E70,'50 strains'!E91,'50 strains'!E112,'50 strains'!E133,'50 strains'!E154,'50 strains'!E175,'50 strains'!E196,'50 strains'!E217)</f>
        <v>0</v>
      </c>
      <c r="AE5">
        <f>STDEV('50 strains'!F28,'50 strains'!F49,'50 strains'!F70,'50 strains'!F91,'50 strains'!F112,'50 strains'!F133,'50 strains'!F154,'50 strains'!F175,'50 strains'!F196,'50 strains'!F217)</f>
        <v>0</v>
      </c>
    </row>
    <row r="6" spans="1:31" x14ac:dyDescent="0.2">
      <c r="A6">
        <v>5</v>
      </c>
      <c r="B6">
        <v>1.8181818181818199E-3</v>
      </c>
      <c r="C6">
        <v>0</v>
      </c>
      <c r="D6">
        <v>0</v>
      </c>
      <c r="E6">
        <v>1.0833333333333301E-2</v>
      </c>
      <c r="F6">
        <v>2.6315789473684199E-2</v>
      </c>
      <c r="G6">
        <v>0</v>
      </c>
      <c r="H6">
        <v>0</v>
      </c>
      <c r="I6">
        <v>0</v>
      </c>
      <c r="J6">
        <v>0</v>
      </c>
      <c r="K6">
        <v>0</v>
      </c>
      <c r="L6">
        <f>AVERAGE('15 strains'!B29,'15 strains'!B71,'15 strains'!B92,'15 strains'!B113,'15 strains'!B134,'15 strains'!B155,'15 strains'!B176,'15 strains'!B197,'15 strains'!B218)</f>
        <v>1.4814814814814777E-3</v>
      </c>
      <c r="M6">
        <f>AVERAGE('15 strains'!C29,'15 strains'!C71,'15 strains'!C92,'15 strains'!C113,'15 strains'!C134,'15 strains'!C155,'15 strains'!C176,'15 strains'!C197,'15 strains'!C218)</f>
        <v>0</v>
      </c>
      <c r="N6">
        <f>AVERAGE('15 strains'!D29,'15 strains'!D71,'15 strains'!D92,'15 strains'!D113,'15 strains'!D134,'15 strains'!D155,'15 strains'!D176,'15 strains'!D197,'15 strains'!D218)</f>
        <v>0</v>
      </c>
      <c r="O6">
        <f>AVERAGE('15 strains'!E29,'15 strains'!E71,'15 strains'!E92,'15 strains'!E113,'15 strains'!E134,'15 strains'!E155,'15 strains'!E176,'15 strains'!E197,'15 strains'!E218)</f>
        <v>1.0370370370370367E-2</v>
      </c>
      <c r="P6">
        <f>AVERAGE('15 strains'!F29,'15 strains'!F71,'15 strains'!F92,'15 strains'!F113,'15 strains'!F134,'15 strains'!F155,'15 strains'!F176,'15 strains'!F197,'15 strains'!F218)</f>
        <v>2.6666666666666679E-2</v>
      </c>
      <c r="Q6">
        <f>STDEV('15 strains'!B29,'15 strains'!B71,'15 strains'!B92,'15 strains'!B113,'15 strains'!B134,'15 strains'!B155,'15 strains'!B176,'15 strains'!B197,'15 strains'!B218)</f>
        <v>4.4444444444444332E-3</v>
      </c>
      <c r="R6">
        <f>STDEV('15 strains'!C29,'15 strains'!C71,'15 strains'!C92,'15 strains'!C113,'15 strains'!C134,'15 strains'!C155,'15 strains'!C176,'15 strains'!C197,'15 strains'!C218)</f>
        <v>0</v>
      </c>
      <c r="S6">
        <f>STDEV('15 strains'!D29,'15 strains'!D71,'15 strains'!D92,'15 strains'!D113,'15 strains'!D134,'15 strains'!D155,'15 strains'!D176,'15 strains'!D197,'15 strains'!D218)</f>
        <v>0</v>
      </c>
      <c r="T6">
        <f>STDEV('15 strains'!E29,'15 strains'!E71,'15 strains'!E92,'15 strains'!E113,'15 strains'!E134,'15 strains'!E155,'15 strains'!E176,'15 strains'!E197,'15 strains'!E218)</f>
        <v>1.7356110390903678E-2</v>
      </c>
      <c r="U6">
        <f>STDEV('15 strains'!F29,'15 strains'!F71,'15 strains'!F92,'15 strains'!F113,'15 strains'!F134,'15 strains'!F155,'15 strains'!F176,'15 strains'!F197,'15 strains'!F218)</f>
        <v>2.1081851067789207E-2</v>
      </c>
      <c r="V6">
        <f>AVERAGE('50 strains'!B29,'50 strains'!B50,'50 strains'!B71,'50 strains'!B92,'50 strains'!B113,'50 strains'!B134,'50 strains'!B155,'50 strains'!B176,'50 strains'!B197,'50 strains'!B218)</f>
        <v>2E-3</v>
      </c>
      <c r="W6">
        <f>AVERAGE('50 strains'!C29,'50 strains'!C50,'50 strains'!C71,'50 strains'!C92,'50 strains'!C113,'50 strains'!C134,'50 strains'!C155,'50 strains'!C176,'50 strains'!C197,'50 strains'!C218)</f>
        <v>0</v>
      </c>
      <c r="X6">
        <f>AVERAGE('50 strains'!D29,'50 strains'!D50,'50 strains'!D71,'50 strains'!D92,'50 strains'!D113,'50 strains'!D134,'50 strains'!D155,'50 strains'!D176,'50 strains'!D197,'50 strains'!D218)</f>
        <v>0</v>
      </c>
      <c r="Y6">
        <f>AVERAGE('50 strains'!E29,'50 strains'!E50,'50 strains'!E71,'50 strains'!E92,'50 strains'!E113,'50 strains'!E134,'50 strains'!E155,'50 strains'!E176,'50 strains'!E197,'50 strains'!E218)</f>
        <v>1.32E-2</v>
      </c>
      <c r="Z6">
        <f>AVERAGE('50 strains'!F29,'50 strains'!F50,'50 strains'!F71,'50 strains'!F92,'50 strains'!F113,'50 strains'!F134,'50 strains'!F155,'50 strains'!F176,'50 strains'!F197,'50 strains'!F218)</f>
        <v>2.8000000000000004E-2</v>
      </c>
      <c r="AA6">
        <f>STDEV('50 strains'!B29,'50 strains'!B50,'50 strains'!B71,'50 strains'!B92,'50 strains'!B113,'50 strains'!B134,'50 strains'!B155,'50 strains'!B176,'50 strains'!B197,'50 strains'!B218)</f>
        <v>2.1081851067789193E-3</v>
      </c>
      <c r="AB6">
        <f>STDEV('50 strains'!C29,'50 strains'!C50,'50 strains'!C71,'50 strains'!C92,'50 strains'!C113,'50 strains'!C134,'50 strains'!C155,'50 strains'!C176,'50 strains'!C197,'50 strains'!C218)</f>
        <v>0</v>
      </c>
      <c r="AC6">
        <f>STDEV('50 strains'!D29,'50 strains'!D50,'50 strains'!D71,'50 strains'!D92,'50 strains'!D113,'50 strains'!D134,'50 strains'!D155,'50 strains'!D176,'50 strains'!D197,'50 strains'!D218)</f>
        <v>0</v>
      </c>
      <c r="AD6">
        <f>STDEV('50 strains'!E29,'50 strains'!E50,'50 strains'!E71,'50 strains'!E92,'50 strains'!E113,'50 strains'!E134,'50 strains'!E155,'50 strains'!E176,'50 strains'!E197,'50 strains'!E218)</f>
        <v>8.1758451822698044E-3</v>
      </c>
      <c r="AE6">
        <f>STDEV('50 strains'!F29,'50 strains'!F50,'50 strains'!F71,'50 strains'!F92,'50 strains'!F113,'50 strains'!F134,'50 strains'!F155,'50 strains'!F176,'50 strains'!F197,'50 strains'!F218)</f>
        <v>1.2220201853215571E-2</v>
      </c>
    </row>
    <row r="7" spans="1:31" x14ac:dyDescent="0.2">
      <c r="A7">
        <v>6</v>
      </c>
      <c r="B7">
        <v>6.8181818181818205E-2</v>
      </c>
      <c r="C7">
        <v>0</v>
      </c>
      <c r="D7">
        <v>0</v>
      </c>
      <c r="E7">
        <v>7.3611111111111099E-2</v>
      </c>
      <c r="F7">
        <v>7.4561403508771898E-2</v>
      </c>
      <c r="G7">
        <v>0</v>
      </c>
      <c r="H7">
        <v>0</v>
      </c>
      <c r="I7">
        <v>0</v>
      </c>
      <c r="J7">
        <v>0</v>
      </c>
      <c r="K7">
        <v>0</v>
      </c>
      <c r="L7">
        <f>AVERAGE('15 strains'!B30,'15 strains'!B72,'15 strains'!B93,'15 strains'!B114,'15 strains'!B135,'15 strains'!B156,'15 strains'!B177,'15 strains'!B198,'15 strains'!B219)</f>
        <v>5.802469135802471E-2</v>
      </c>
      <c r="M7">
        <f>AVERAGE('15 strains'!C30,'15 strains'!C72,'15 strains'!C93,'15 strains'!C114,'15 strains'!C135,'15 strains'!C156,'15 strains'!C177,'15 strains'!C198,'15 strains'!C219)</f>
        <v>0</v>
      </c>
      <c r="N7">
        <f>AVERAGE('15 strains'!D30,'15 strains'!D72,'15 strains'!D93,'15 strains'!D114,'15 strains'!D135,'15 strains'!D156,'15 strains'!D177,'15 strains'!D198,'15 strains'!D219)</f>
        <v>0</v>
      </c>
      <c r="O7">
        <f>AVERAGE('15 strains'!E30,'15 strains'!E72,'15 strains'!E93,'15 strains'!E114,'15 strains'!E135,'15 strains'!E156,'15 strains'!E177,'15 strains'!E198,'15 strains'!E219)</f>
        <v>7.1604938271604954E-2</v>
      </c>
      <c r="P7">
        <f>AVERAGE('15 strains'!F30,'15 strains'!F72,'15 strains'!F93,'15 strains'!F114,'15 strains'!F135,'15 strains'!F156,'15 strains'!F177,'15 strains'!F198,'15 strains'!F219)</f>
        <v>7.1604938271604954E-2</v>
      </c>
      <c r="Q7">
        <f>STDEV('15 strains'!B30,'15 strains'!B72,'15 strains'!B93,'15 strains'!B114,'15 strains'!B135,'15 strains'!B156,'15 strains'!B177,'15 strains'!B198,'15 strains'!B219)</f>
        <v>1.6459619291325233E-2</v>
      </c>
      <c r="R7">
        <f>STDEV('15 strains'!C30,'15 strains'!C72,'15 strains'!C93,'15 strains'!C114,'15 strains'!C135,'15 strains'!C156,'15 strains'!C177,'15 strains'!C198,'15 strains'!C219)</f>
        <v>0</v>
      </c>
      <c r="S7">
        <f>STDEV('15 strains'!D30,'15 strains'!D72,'15 strains'!D93,'15 strains'!D114,'15 strains'!D135,'15 strains'!D156,'15 strains'!D177,'15 strains'!D198,'15 strains'!D219)</f>
        <v>0</v>
      </c>
      <c r="T7">
        <f>STDEV('15 strains'!E30,'15 strains'!E72,'15 strains'!E93,'15 strains'!E114,'15 strains'!E135,'15 strains'!E156,'15 strains'!E177,'15 strains'!E198,'15 strains'!E219)</f>
        <v>1.6769231737291519E-2</v>
      </c>
      <c r="U7">
        <f>STDEV('15 strains'!F30,'15 strains'!F72,'15 strains'!F93,'15 strains'!F114,'15 strains'!F135,'15 strains'!F156,'15 strains'!F177,'15 strains'!F198,'15 strains'!F219)</f>
        <v>2.0116260168889347E-2</v>
      </c>
      <c r="V7">
        <f>AVERAGE('50 strains'!B30,'50 strains'!B51,'50 strains'!B72,'50 strains'!B93,'50 strains'!B114,'50 strains'!B135,'50 strains'!B156,'50 strains'!B177,'50 strains'!B198,'50 strains'!B219)</f>
        <v>6.8333333333333329E-2</v>
      </c>
      <c r="W7">
        <f>AVERAGE('50 strains'!C30,'50 strains'!C51,'50 strains'!C72,'50 strains'!C93,'50 strains'!C114,'50 strains'!C135,'50 strains'!C156,'50 strains'!C177,'50 strains'!C198,'50 strains'!C219)</f>
        <v>0</v>
      </c>
      <c r="X7">
        <f>AVERAGE('50 strains'!D30,'50 strains'!D51,'50 strains'!D72,'50 strains'!D93,'50 strains'!D114,'50 strains'!D135,'50 strains'!D156,'50 strains'!D177,'50 strains'!D198,'50 strains'!D219)</f>
        <v>0</v>
      </c>
      <c r="Y7">
        <f>AVERAGE('50 strains'!E30,'50 strains'!E51,'50 strains'!E72,'50 strains'!E93,'50 strains'!E114,'50 strains'!E135,'50 strains'!E156,'50 strains'!E177,'50 strains'!E198,'50 strains'!E219)</f>
        <v>7.1333333333333332E-2</v>
      </c>
      <c r="Z7">
        <f>AVERAGE('50 strains'!F30,'50 strains'!F51,'50 strains'!F72,'50 strains'!F93,'50 strains'!F114,'50 strains'!F135,'50 strains'!F156,'50 strains'!F177,'50 strains'!F198,'50 strains'!F219)</f>
        <v>7.8333333333333297E-2</v>
      </c>
      <c r="AA7">
        <f>STDEV('50 strains'!B30,'50 strains'!B51,'50 strains'!B72,'50 strains'!B93,'50 strains'!B114,'50 strains'!B135,'50 strains'!B156,'50 strains'!B177,'50 strains'!B198,'50 strains'!B219)</f>
        <v>1.1138854253201842E-2</v>
      </c>
      <c r="AB7">
        <f>STDEV('50 strains'!C30,'50 strains'!C51,'50 strains'!C72,'50 strains'!C93,'50 strains'!C114,'50 strains'!C135,'50 strains'!C156,'50 strains'!C177,'50 strains'!C198,'50 strains'!C219)</f>
        <v>0</v>
      </c>
      <c r="AC7">
        <f>STDEV('50 strains'!D30,'50 strains'!D51,'50 strains'!D72,'50 strains'!D93,'50 strains'!D114,'50 strains'!D135,'50 strains'!D156,'50 strains'!D177,'50 strains'!D198,'50 strains'!D219)</f>
        <v>0</v>
      </c>
      <c r="AD7">
        <f>STDEV('50 strains'!E30,'50 strains'!E51,'50 strains'!E72,'50 strains'!E93,'50 strains'!E114,'50 strains'!E135,'50 strains'!E156,'50 strains'!E177,'50 strains'!E198,'50 strains'!E219)</f>
        <v>1.1674600476945546E-2</v>
      </c>
      <c r="AE7">
        <f>STDEV('50 strains'!F30,'50 strains'!F51,'50 strains'!F72,'50 strains'!F93,'50 strains'!F114,'50 strains'!F135,'50 strains'!F156,'50 strains'!F177,'50 strains'!F198,'50 strains'!F219)</f>
        <v>1.2692955176439787E-2</v>
      </c>
    </row>
    <row r="8" spans="1:31" x14ac:dyDescent="0.2">
      <c r="A8">
        <v>7</v>
      </c>
      <c r="B8">
        <v>0.101298701298701</v>
      </c>
      <c r="C8">
        <v>0</v>
      </c>
      <c r="D8">
        <v>0</v>
      </c>
      <c r="E8">
        <v>0.107142857142857</v>
      </c>
      <c r="F8">
        <v>6.8922305764410996E-2</v>
      </c>
      <c r="G8">
        <v>0</v>
      </c>
      <c r="H8">
        <v>0</v>
      </c>
      <c r="I8">
        <v>0</v>
      </c>
      <c r="J8">
        <v>0</v>
      </c>
      <c r="K8">
        <v>0</v>
      </c>
      <c r="L8">
        <f>AVERAGE('15 strains'!B31,'15 strains'!B73,'15 strains'!B94,'15 strains'!B115,'15 strains'!B136,'15 strains'!B157,'15 strains'!B178,'15 strains'!B199,'15 strains'!B220)</f>
        <v>9.8412698412698382E-2</v>
      </c>
      <c r="M8">
        <f>AVERAGE('15 strains'!C31,'15 strains'!C73,'15 strains'!C94,'15 strains'!C115,'15 strains'!C136,'15 strains'!C157,'15 strains'!C178,'15 strains'!C199,'15 strains'!C220)</f>
        <v>0</v>
      </c>
      <c r="N8">
        <f>AVERAGE('15 strains'!D31,'15 strains'!D73,'15 strains'!D94,'15 strains'!D115,'15 strains'!D136,'15 strains'!D157,'15 strains'!D178,'15 strains'!D199,'15 strains'!D220)</f>
        <v>0</v>
      </c>
      <c r="O8">
        <f>AVERAGE('15 strains'!E31,'15 strains'!E73,'15 strains'!E94,'15 strains'!E115,'15 strains'!E136,'15 strains'!E157,'15 strains'!E178,'15 strains'!E199,'15 strains'!E220)</f>
        <v>9.4179894179894197E-2</v>
      </c>
      <c r="P8">
        <f>AVERAGE('15 strains'!F31,'15 strains'!F73,'15 strains'!F94,'15 strains'!F115,'15 strains'!F136,'15 strains'!F157,'15 strains'!F178,'15 strains'!F199,'15 strains'!F220)</f>
        <v>6.8783068783068807E-2</v>
      </c>
      <c r="Q8">
        <f>STDEV('15 strains'!B31,'15 strains'!B73,'15 strains'!B94,'15 strains'!B115,'15 strains'!B136,'15 strains'!B157,'15 strains'!B178,'15 strains'!B199,'15 strains'!B220)</f>
        <v>2.935435239509037E-2</v>
      </c>
      <c r="R8">
        <f>STDEV('15 strains'!C31,'15 strains'!C73,'15 strains'!C94,'15 strains'!C115,'15 strains'!C136,'15 strains'!C157,'15 strains'!C178,'15 strains'!C199,'15 strains'!C220)</f>
        <v>0</v>
      </c>
      <c r="S8">
        <f>STDEV('15 strains'!D31,'15 strains'!D73,'15 strains'!D94,'15 strains'!D115,'15 strains'!D136,'15 strains'!D157,'15 strains'!D178,'15 strains'!D199,'15 strains'!D220)</f>
        <v>0</v>
      </c>
      <c r="T8">
        <f>STDEV('15 strains'!E31,'15 strains'!E73,'15 strains'!E94,'15 strains'!E115,'15 strains'!E136,'15 strains'!E157,'15 strains'!E178,'15 strains'!E199,'15 strains'!E220)</f>
        <v>2.153120629563578E-2</v>
      </c>
      <c r="U8">
        <f>STDEV('15 strains'!F31,'15 strains'!F73,'15 strains'!F94,'15 strains'!F115,'15 strains'!F136,'15 strains'!F157,'15 strains'!F178,'15 strains'!F199,'15 strains'!F220)</f>
        <v>2.0077953397894532E-2</v>
      </c>
      <c r="V8">
        <f>AVERAGE('50 strains'!B31,'50 strains'!B52,'50 strains'!B73,'50 strains'!B94,'50 strains'!B115,'50 strains'!B136,'50 strains'!B157,'50 strains'!B178,'50 strains'!B199,'50 strains'!B220)</f>
        <v>9.9428571428571436E-2</v>
      </c>
      <c r="W8">
        <f>AVERAGE('50 strains'!C31,'50 strains'!C52,'50 strains'!C73,'50 strains'!C94,'50 strains'!C115,'50 strains'!C136,'50 strains'!C157,'50 strains'!C178,'50 strains'!C199,'50 strains'!C220)</f>
        <v>0</v>
      </c>
      <c r="X8">
        <f>AVERAGE('50 strains'!D31,'50 strains'!D52,'50 strains'!D73,'50 strains'!D94,'50 strains'!D115,'50 strains'!D136,'50 strains'!D157,'50 strains'!D178,'50 strains'!D199,'50 strains'!D220)</f>
        <v>0</v>
      </c>
      <c r="Y8">
        <f>AVERAGE('50 strains'!E31,'50 strains'!E52,'50 strains'!E73,'50 strains'!E94,'50 strains'!E115,'50 strains'!E136,'50 strains'!E157,'50 strains'!E178,'50 strains'!E199,'50 strains'!E220)</f>
        <v>0.10342857142857145</v>
      </c>
      <c r="Z8">
        <f>AVERAGE('50 strains'!F31,'50 strains'!F52,'50 strains'!F73,'50 strains'!F94,'50 strains'!F115,'50 strains'!F136,'50 strains'!F157,'50 strains'!F178,'50 strains'!F199,'50 strains'!F220)</f>
        <v>7.2285714285714259E-2</v>
      </c>
      <c r="AA8">
        <f>STDEV('50 strains'!B31,'50 strains'!B52,'50 strains'!B73,'50 strains'!B94,'50 strains'!B115,'50 strains'!B136,'50 strains'!B157,'50 strains'!B178,'50 strains'!B199,'50 strains'!B220)</f>
        <v>1.2106856062529956E-2</v>
      </c>
      <c r="AB8">
        <f>STDEV('50 strains'!C31,'50 strains'!C52,'50 strains'!C73,'50 strains'!C94,'50 strains'!C115,'50 strains'!C136,'50 strains'!C157,'50 strains'!C178,'50 strains'!C199,'50 strains'!C220)</f>
        <v>0</v>
      </c>
      <c r="AC8">
        <f>STDEV('50 strains'!D31,'50 strains'!D52,'50 strains'!D73,'50 strains'!D94,'50 strains'!D115,'50 strains'!D136,'50 strains'!D157,'50 strains'!D178,'50 strains'!D199,'50 strains'!D220)</f>
        <v>0</v>
      </c>
      <c r="AD8">
        <f>STDEV('50 strains'!E31,'50 strains'!E52,'50 strains'!E73,'50 strains'!E94,'50 strains'!E115,'50 strains'!E136,'50 strains'!E157,'50 strains'!E178,'50 strains'!E199,'50 strains'!E220)</f>
        <v>1.5226185822256103E-2</v>
      </c>
      <c r="AE8">
        <f>STDEV('50 strains'!F31,'50 strains'!F52,'50 strains'!F73,'50 strains'!F94,'50 strains'!F115,'50 strains'!F136,'50 strains'!F157,'50 strains'!F178,'50 strains'!F199,'50 strains'!F220)</f>
        <v>1.2200144975161949E-2</v>
      </c>
    </row>
    <row r="9" spans="1:31" x14ac:dyDescent="0.2">
      <c r="A9">
        <v>8</v>
      </c>
      <c r="B9">
        <v>0.118181818181818</v>
      </c>
      <c r="C9">
        <v>0.125</v>
      </c>
      <c r="D9">
        <v>8.9583333333333307E-2</v>
      </c>
      <c r="E9">
        <v>0.125</v>
      </c>
      <c r="F9">
        <v>0.12828947368421101</v>
      </c>
      <c r="G9">
        <v>0</v>
      </c>
      <c r="H9">
        <v>0</v>
      </c>
      <c r="I9">
        <v>0</v>
      </c>
      <c r="J9">
        <v>0</v>
      </c>
      <c r="K9">
        <v>0</v>
      </c>
      <c r="L9">
        <f>AVERAGE('15 strains'!B32,'15 strains'!B74,'15 strains'!B95,'15 strains'!B116,'15 strains'!B137,'15 strains'!B158,'15 strains'!B179,'15 strains'!B200,'15 strains'!B221)</f>
        <v>0.11111111111111113</v>
      </c>
      <c r="M9">
        <f>AVERAGE('15 strains'!C32,'15 strains'!C74,'15 strains'!C95,'15 strains'!C116,'15 strains'!C137,'15 strains'!C158,'15 strains'!C179,'15 strains'!C200,'15 strains'!C221)</f>
        <v>0.125</v>
      </c>
      <c r="N9">
        <f>AVERAGE('15 strains'!D32,'15 strains'!D74,'15 strains'!D95,'15 strains'!D116,'15 strains'!D137,'15 strains'!D158,'15 strains'!D179,'15 strains'!D200,'15 strains'!D221)</f>
        <v>8.425925925925927E-2</v>
      </c>
      <c r="O9">
        <f>AVERAGE('15 strains'!E32,'15 strains'!E74,'15 strains'!E95,'15 strains'!E116,'15 strains'!E137,'15 strains'!E158,'15 strains'!E179,'15 strains'!E200,'15 strains'!E221)</f>
        <v>0.1231481481481481</v>
      </c>
      <c r="P9">
        <f>AVERAGE('15 strains'!F32,'15 strains'!F74,'15 strains'!F95,'15 strains'!F116,'15 strains'!F137,'15 strains'!F158,'15 strains'!F179,'15 strains'!F200,'15 strains'!F221)</f>
        <v>0.13148148148148131</v>
      </c>
      <c r="Q9">
        <f>STDEV('15 strains'!B32,'15 strains'!B74,'15 strains'!B95,'15 strains'!B116,'15 strains'!B137,'15 strains'!B158,'15 strains'!B179,'15 strains'!B200,'15 strains'!B221)</f>
        <v>1.9982631347136418E-2</v>
      </c>
      <c r="R9">
        <f>STDEV('15 strains'!C32,'15 strains'!C74,'15 strains'!C95,'15 strains'!C116,'15 strains'!C137,'15 strains'!C158,'15 strains'!C179,'15 strains'!C200,'15 strains'!C221)</f>
        <v>0</v>
      </c>
      <c r="S9">
        <f>STDEV('15 strains'!D32,'15 strains'!D74,'15 strains'!D95,'15 strains'!D116,'15 strains'!D137,'15 strains'!D158,'15 strains'!D179,'15 strains'!D200,'15 strains'!D221)</f>
        <v>1.4698618394803393E-2</v>
      </c>
      <c r="T9">
        <f>STDEV('15 strains'!E32,'15 strains'!E74,'15 strains'!E95,'15 strains'!E116,'15 strains'!E137,'15 strains'!E158,'15 strains'!E179,'15 strains'!E200,'15 strains'!E221)</f>
        <v>5.5555555555556659E-3</v>
      </c>
      <c r="U9">
        <f>STDEV('15 strains'!F32,'15 strains'!F74,'15 strains'!F95,'15 strains'!F116,'15 strains'!F137,'15 strains'!F158,'15 strains'!F179,'15 strains'!F200,'15 strains'!F221)</f>
        <v>1.9444444444444528E-2</v>
      </c>
      <c r="V9">
        <f>AVERAGE('50 strains'!B32,'50 strains'!B53,'50 strains'!B74,'50 strains'!B95,'50 strains'!B116,'50 strains'!B137,'50 strains'!B158,'50 strains'!B179,'50 strains'!B200,'50 strains'!B221)</f>
        <v>0.11849999999999998</v>
      </c>
      <c r="W9">
        <f>AVERAGE('50 strains'!C32,'50 strains'!C53,'50 strains'!C74,'50 strains'!C95,'50 strains'!C116,'50 strains'!C137,'50 strains'!C158,'50 strains'!C179,'50 strains'!C200,'50 strains'!C221)</f>
        <v>0.125</v>
      </c>
      <c r="X9">
        <f>AVERAGE('50 strains'!D32,'50 strains'!D53,'50 strains'!D74,'50 strains'!D95,'50 strains'!D116,'50 strains'!D137,'50 strains'!D158,'50 strains'!D179,'50 strains'!D200,'50 strains'!D221)</f>
        <v>8.8000000000000009E-2</v>
      </c>
      <c r="Y9">
        <f>AVERAGE('50 strains'!E32,'50 strains'!E53,'50 strains'!E74,'50 strains'!E95,'50 strains'!E116,'50 strains'!E137,'50 strains'!E158,'50 strains'!E179,'50 strains'!E200,'50 strains'!E221)</f>
        <v>0.125</v>
      </c>
      <c r="Z9">
        <f>AVERAGE('50 strains'!F32,'50 strains'!F53,'50 strains'!F74,'50 strains'!F95,'50 strains'!F116,'50 strains'!F137,'50 strains'!F158,'50 strains'!F179,'50 strains'!F200,'50 strains'!F221)</f>
        <v>0.1295</v>
      </c>
      <c r="AA9">
        <f>STDEV('50 strains'!B32,'50 strains'!B53,'50 strains'!B74,'50 strains'!B95,'50 strains'!B116,'50 strains'!B137,'50 strains'!B158,'50 strains'!B179,'50 strains'!B200,'50 strains'!B221)</f>
        <v>5.0277010429994528E-3</v>
      </c>
      <c r="AB9">
        <f>STDEV('50 strains'!C32,'50 strains'!C53,'50 strains'!C74,'50 strains'!C95,'50 strains'!C116,'50 strains'!C137,'50 strains'!C158,'50 strains'!C179,'50 strains'!C200,'50 strains'!C221)</f>
        <v>0</v>
      </c>
      <c r="AC9">
        <f>STDEV('50 strains'!D32,'50 strains'!D53,'50 strains'!D74,'50 strains'!D95,'50 strains'!D116,'50 strains'!D137,'50 strains'!D158,'50 strains'!D179,'50 strains'!D200,'50 strains'!D221)</f>
        <v>8.3166499665830989E-3</v>
      </c>
      <c r="AD9">
        <f>STDEV('50 strains'!E32,'50 strains'!E53,'50 strains'!E74,'50 strains'!E95,'50 strains'!E116,'50 strains'!E137,'50 strains'!E158,'50 strains'!E179,'50 strains'!E200,'50 strains'!E221)</f>
        <v>0</v>
      </c>
      <c r="AE9">
        <f>STDEV('50 strains'!F32,'50 strains'!F53,'50 strains'!F74,'50 strains'!F95,'50 strains'!F116,'50 strains'!F137,'50 strains'!F158,'50 strains'!F179,'50 strains'!F200,'50 strains'!F221)</f>
        <v>1.2791055902899929E-2</v>
      </c>
    </row>
    <row r="10" spans="1:31" x14ac:dyDescent="0.2">
      <c r="A10">
        <v>9</v>
      </c>
      <c r="B10">
        <v>0.12020202020202</v>
      </c>
      <c r="C10">
        <v>0.11111111111111099</v>
      </c>
      <c r="D10">
        <v>0.11111111111111099</v>
      </c>
      <c r="E10">
        <v>0.17499999999999999</v>
      </c>
      <c r="F10">
        <v>0.175438596491228</v>
      </c>
      <c r="G10">
        <v>0</v>
      </c>
      <c r="H10">
        <v>0</v>
      </c>
      <c r="I10">
        <v>0</v>
      </c>
      <c r="J10">
        <v>0</v>
      </c>
      <c r="K10">
        <v>0</v>
      </c>
      <c r="L10">
        <f>AVERAGE('15 strains'!B33,'15 strains'!B75,'15 strains'!B96,'15 strains'!B117,'15 strains'!B138,'15 strains'!B159,'15 strains'!B180,'15 strains'!B201,'15 strains'!B222)</f>
        <v>0.11358024691358019</v>
      </c>
      <c r="M10">
        <f>AVERAGE('15 strains'!C33,'15 strains'!C75,'15 strains'!C96,'15 strains'!C117,'15 strains'!C138,'15 strains'!C159,'15 strains'!C180,'15 strains'!C201,'15 strains'!C222)</f>
        <v>0.11111111111111097</v>
      </c>
      <c r="N10">
        <f>AVERAGE('15 strains'!D33,'15 strains'!D75,'15 strains'!D96,'15 strains'!D117,'15 strains'!D138,'15 strains'!D159,'15 strains'!D180,'15 strains'!D201,'15 strains'!D222)</f>
        <v>0.11111111111111097</v>
      </c>
      <c r="O10">
        <f>AVERAGE('15 strains'!E33,'15 strains'!E75,'15 strains'!E96,'15 strains'!E117,'15 strains'!E138,'15 strains'!E159,'15 strains'!E180,'15 strains'!E201,'15 strains'!E222)</f>
        <v>0.16625514403292194</v>
      </c>
      <c r="P10">
        <f>AVERAGE('15 strains'!F33,'15 strains'!F75,'15 strains'!F96,'15 strains'!F117,'15 strains'!F138,'15 strains'!F159,'15 strains'!F180,'15 strains'!F201,'15 strains'!F222)</f>
        <v>0.15802469135802466</v>
      </c>
      <c r="Q10">
        <f>STDEV('15 strains'!B33,'15 strains'!B75,'15 strains'!B96,'15 strains'!B117,'15 strains'!B138,'15 strains'!B159,'15 strains'!B180,'15 strains'!B201,'15 strains'!B222)</f>
        <v>2.566001196398332E-2</v>
      </c>
      <c r="R10">
        <f>STDEV('15 strains'!C33,'15 strains'!C75,'15 strains'!C96,'15 strains'!C117,'15 strains'!C138,'15 strains'!C159,'15 strains'!C180,'15 strains'!C201,'15 strains'!C222)</f>
        <v>2.943923360032078E-17</v>
      </c>
      <c r="S10">
        <f>STDEV('15 strains'!D33,'15 strains'!D75,'15 strains'!D96,'15 strains'!D117,'15 strains'!D138,'15 strains'!D159,'15 strains'!D180,'15 strains'!D201,'15 strains'!D222)</f>
        <v>2.943923360032078E-17</v>
      </c>
      <c r="T10">
        <f>STDEV('15 strains'!E33,'15 strains'!E75,'15 strains'!E96,'15 strains'!E117,'15 strains'!E138,'15 strains'!E159,'15 strains'!E180,'15 strains'!E201,'15 strains'!E222)</f>
        <v>1.6609412403794582E-2</v>
      </c>
      <c r="U10">
        <f>STDEV('15 strains'!F33,'15 strains'!F75,'15 strains'!F96,'15 strains'!F117,'15 strains'!F138,'15 strains'!F159,'15 strains'!F180,'15 strains'!F201,'15 strains'!F222)</f>
        <v>1.9598157859738025E-2</v>
      </c>
      <c r="V10">
        <f>AVERAGE('50 strains'!B33,'50 strains'!B54,'50 strains'!B75,'50 strains'!B96,'50 strains'!B117,'50 strains'!B138,'50 strains'!B159,'50 strains'!B180,'50 strains'!B201,'50 strains'!B222)</f>
        <v>0.11888888888888889</v>
      </c>
      <c r="W10">
        <f>AVERAGE('50 strains'!C33,'50 strains'!C54,'50 strains'!C75,'50 strains'!C96,'50 strains'!C117,'50 strains'!C138,'50 strains'!C159,'50 strains'!C180,'50 strains'!C201,'50 strains'!C222)</f>
        <v>0.11111111111111097</v>
      </c>
      <c r="X10">
        <f>AVERAGE('50 strains'!D33,'50 strains'!D54,'50 strains'!D75,'50 strains'!D96,'50 strains'!D117,'50 strains'!D138,'50 strains'!D159,'50 strains'!D180,'50 strains'!D201,'50 strains'!D222)</f>
        <v>0.11111111111111097</v>
      </c>
      <c r="Y10">
        <f>AVERAGE('50 strains'!E33,'50 strains'!E54,'50 strains'!E75,'50 strains'!E96,'50 strains'!E117,'50 strains'!E138,'50 strains'!E159,'50 strains'!E180,'50 strains'!E201,'50 strains'!E222)</f>
        <v>0.16599999999999998</v>
      </c>
      <c r="Z10">
        <f>AVERAGE('50 strains'!F33,'50 strains'!F54,'50 strains'!F75,'50 strains'!F96,'50 strains'!F117,'50 strains'!F138,'50 strains'!F159,'50 strains'!F180,'50 strains'!F201,'50 strains'!F222)</f>
        <v>0.1760000000000001</v>
      </c>
      <c r="AA10">
        <f>STDEV('50 strains'!B33,'50 strains'!B54,'50 strains'!B75,'50 strains'!B96,'50 strains'!B117,'50 strains'!B138,'50 strains'!B159,'50 strains'!B180,'50 strains'!B201,'50 strains'!B222)</f>
        <v>8.1312957037406354E-3</v>
      </c>
      <c r="AB10">
        <f>STDEV('50 strains'!C33,'50 strains'!C54,'50 strains'!C75,'50 strains'!C96,'50 strains'!C117,'50 strains'!C138,'50 strains'!C159,'50 strains'!C180,'50 strains'!C201,'50 strains'!C222)</f>
        <v>2.925694557147251E-17</v>
      </c>
      <c r="AC10">
        <f>STDEV('50 strains'!D33,'50 strains'!D54,'50 strains'!D75,'50 strains'!D96,'50 strains'!D117,'50 strains'!D138,'50 strains'!D159,'50 strains'!D180,'50 strains'!D201,'50 strains'!D222)</f>
        <v>2.925694557147251E-17</v>
      </c>
      <c r="AD10">
        <f>STDEV('50 strains'!E33,'50 strains'!E54,'50 strains'!E75,'50 strains'!E96,'50 strains'!E117,'50 strains'!E138,'50 strains'!E159,'50 strains'!E180,'50 strains'!E201,'50 strains'!E222)</f>
        <v>8.117788558694777E-3</v>
      </c>
      <c r="AE10">
        <f>STDEV('50 strains'!F33,'50 strains'!F54,'50 strains'!F75,'50 strains'!F96,'50 strains'!F117,'50 strains'!F138,'50 strains'!F159,'50 strains'!F180,'50 strains'!F201,'50 strains'!F222)</f>
        <v>6.3548475820822646E-3</v>
      </c>
    </row>
    <row r="11" spans="1:31" x14ac:dyDescent="0.2">
      <c r="A11">
        <v>10</v>
      </c>
      <c r="B11">
        <v>0.110909090909091</v>
      </c>
      <c r="C11">
        <v>0.1</v>
      </c>
      <c r="D11">
        <v>0.1</v>
      </c>
      <c r="E11">
        <v>0.17</v>
      </c>
      <c r="F11">
        <v>0.18157894736842101</v>
      </c>
      <c r="G11">
        <v>0</v>
      </c>
      <c r="H11">
        <v>0</v>
      </c>
      <c r="I11">
        <v>0</v>
      </c>
      <c r="J11">
        <v>0</v>
      </c>
      <c r="K11">
        <v>0</v>
      </c>
      <c r="L11">
        <f>AVERAGE('15 strains'!B34,'15 strains'!B76,'15 strains'!B97,'15 strains'!B118,'15 strains'!B139,'15 strains'!B160,'15 strains'!B181,'15 strains'!B202,'15 strains'!B223)</f>
        <v>0.10740740740740756</v>
      </c>
      <c r="M11">
        <f>AVERAGE('15 strains'!C34,'15 strains'!C76,'15 strains'!C97,'15 strains'!C118,'15 strains'!C139,'15 strains'!C160,'15 strains'!C181,'15 strains'!C202,'15 strains'!C223)</f>
        <v>9.9999999999999992E-2</v>
      </c>
      <c r="N11">
        <f>AVERAGE('15 strains'!D34,'15 strains'!D76,'15 strains'!D97,'15 strains'!D118,'15 strains'!D139,'15 strains'!D160,'15 strains'!D181,'15 strains'!D202,'15 strains'!D223)</f>
        <v>9.9999999999999992E-2</v>
      </c>
      <c r="O11">
        <f>AVERAGE('15 strains'!E34,'15 strains'!E76,'15 strains'!E97,'15 strains'!E118,'15 strains'!E139,'15 strains'!E160,'15 strains'!E181,'15 strains'!E202,'15 strains'!E223)</f>
        <v>0.16148148148148131</v>
      </c>
      <c r="P11">
        <f>AVERAGE('15 strains'!F34,'15 strains'!F76,'15 strains'!F97,'15 strains'!F118,'15 strains'!F139,'15 strains'!F160,'15 strains'!F181,'15 strains'!F202,'15 strains'!F223)</f>
        <v>0.17703703703703699</v>
      </c>
      <c r="Q11">
        <f>STDEV('15 strains'!B34,'15 strains'!B76,'15 strains'!B97,'15 strains'!B118,'15 strains'!B139,'15 strains'!B160,'15 strains'!B181,'15 strains'!B202,'15 strains'!B223)</f>
        <v>2.2959975910857577E-2</v>
      </c>
      <c r="R11">
        <f>STDEV('15 strains'!C34,'15 strains'!C76,'15 strains'!C97,'15 strains'!C118,'15 strains'!C139,'15 strains'!C160,'15 strains'!C181,'15 strains'!C202,'15 strains'!C223)</f>
        <v>1.471961680016039E-17</v>
      </c>
      <c r="S11">
        <f>STDEV('15 strains'!D34,'15 strains'!D76,'15 strains'!D97,'15 strains'!D118,'15 strains'!D139,'15 strains'!D160,'15 strains'!D181,'15 strains'!D202,'15 strains'!D223)</f>
        <v>1.471961680016039E-17</v>
      </c>
      <c r="T11">
        <f>STDEV('15 strains'!E34,'15 strains'!E76,'15 strains'!E97,'15 strains'!E118,'15 strains'!E139,'15 strains'!E160,'15 strains'!E181,'15 strains'!E202,'15 strains'!E223)</f>
        <v>1.8189672826383771E-2</v>
      </c>
      <c r="U11">
        <f>STDEV('15 strains'!F34,'15 strains'!F76,'15 strains'!F97,'15 strains'!F118,'15 strains'!F139,'15 strains'!F160,'15 strains'!F181,'15 strains'!F202,'15 strains'!F223)</f>
        <v>1.4572085609560017E-2</v>
      </c>
      <c r="V11">
        <f>AVERAGE('50 strains'!B34,'50 strains'!B55,'50 strains'!B76,'50 strains'!B97,'50 strains'!B118,'50 strains'!B139,'50 strains'!B160,'50 strains'!B181,'50 strains'!B202,'50 strains'!B223)</f>
        <v>0.10840000000000001</v>
      </c>
      <c r="W11">
        <f>AVERAGE('50 strains'!C34,'50 strains'!C55,'50 strains'!C76,'50 strains'!C97,'50 strains'!C118,'50 strains'!C139,'50 strains'!C160,'50 strains'!C181,'50 strains'!C202,'50 strains'!C223)</f>
        <v>9.9999999999999992E-2</v>
      </c>
      <c r="X11">
        <f>AVERAGE('50 strains'!D34,'50 strains'!D55,'50 strains'!D76,'50 strains'!D97,'50 strains'!D118,'50 strains'!D139,'50 strains'!D160,'50 strains'!D181,'50 strains'!D202,'50 strains'!D223)</f>
        <v>9.9999999999999992E-2</v>
      </c>
      <c r="Y11">
        <f>AVERAGE('50 strains'!E34,'50 strains'!E55,'50 strains'!E76,'50 strains'!E97,'50 strains'!E118,'50 strains'!E139,'50 strains'!E160,'50 strains'!E181,'50 strains'!E202,'50 strains'!E223)</f>
        <v>0.16379999999999997</v>
      </c>
      <c r="Z11">
        <f>AVERAGE('50 strains'!F34,'50 strains'!F55,'50 strains'!F76,'50 strains'!F97,'50 strains'!F118,'50 strains'!F139,'50 strains'!F160,'50 strains'!F181,'50 strains'!F202,'50 strains'!F223)</f>
        <v>0.18619999999999998</v>
      </c>
      <c r="AA11">
        <f>STDEV('50 strains'!B34,'50 strains'!B55,'50 strains'!B76,'50 strains'!B97,'50 strains'!B118,'50 strains'!B139,'50 strains'!B160,'50 strains'!B181,'50 strains'!B202,'50 strains'!B223)</f>
        <v>8.2083967848647407E-3</v>
      </c>
      <c r="AB11">
        <f>STDEV('50 strains'!C34,'50 strains'!C55,'50 strains'!C76,'50 strains'!C97,'50 strains'!C118,'50 strains'!C139,'50 strains'!C160,'50 strains'!C181,'50 strains'!C202,'50 strains'!C223)</f>
        <v>1.4628472785736255E-17</v>
      </c>
      <c r="AC11">
        <f>STDEV('50 strains'!D34,'50 strains'!D55,'50 strains'!D76,'50 strains'!D97,'50 strains'!D118,'50 strains'!D139,'50 strains'!D160,'50 strains'!D181,'50 strains'!D202,'50 strains'!D223)</f>
        <v>1.4628472785736255E-17</v>
      </c>
      <c r="AD11">
        <f>STDEV('50 strains'!E34,'50 strains'!E55,'50 strains'!E76,'50 strains'!E97,'50 strains'!E118,'50 strains'!E139,'50 strains'!E160,'50 strains'!E181,'50 strains'!E202,'50 strains'!E223)</f>
        <v>6.4256430720114584E-3</v>
      </c>
      <c r="AE11">
        <f>STDEV('50 strains'!F34,'50 strains'!F55,'50 strains'!F76,'50 strains'!F97,'50 strains'!F118,'50 strains'!F139,'50 strains'!F160,'50 strains'!F181,'50 strains'!F202,'50 strains'!F223)</f>
        <v>7.0836274448743963E-3</v>
      </c>
    </row>
    <row r="12" spans="1:31" x14ac:dyDescent="0.2">
      <c r="A12">
        <v>11</v>
      </c>
      <c r="B12">
        <v>0.104132231404959</v>
      </c>
      <c r="C12">
        <v>0.18181818181818199</v>
      </c>
      <c r="D12">
        <v>0.16515151515151499</v>
      </c>
      <c r="E12">
        <v>0.18181818181818199</v>
      </c>
      <c r="F12">
        <v>0.190590111642743</v>
      </c>
      <c r="G12">
        <v>0</v>
      </c>
      <c r="H12">
        <v>0</v>
      </c>
      <c r="I12">
        <v>0</v>
      </c>
      <c r="J12">
        <v>0</v>
      </c>
      <c r="K12">
        <v>0</v>
      </c>
      <c r="L12">
        <f>AVERAGE('15 strains'!B35,'15 strains'!B77,'15 strains'!B98,'15 strains'!B119,'15 strains'!B140,'15 strains'!B161,'15 strains'!B182,'15 strains'!B203,'15 strains'!B224)</f>
        <v>0.10033670033670025</v>
      </c>
      <c r="M12">
        <f>AVERAGE('15 strains'!C35,'15 strains'!C77,'15 strains'!C98,'15 strains'!C119,'15 strains'!C140,'15 strains'!C161,'15 strains'!C182,'15 strains'!C203,'15 strains'!C224)</f>
        <v>0.1811447811447813</v>
      </c>
      <c r="N12">
        <f>AVERAGE('15 strains'!D35,'15 strains'!D77,'15 strains'!D98,'15 strains'!D119,'15 strains'!D140,'15 strains'!D161,'15 strains'!D182,'15 strains'!D203,'15 strains'!D224)</f>
        <v>0.16430976430976457</v>
      </c>
      <c r="O12">
        <f>AVERAGE('15 strains'!E35,'15 strains'!E77,'15 strains'!E98,'15 strains'!E119,'15 strains'!E140,'15 strains'!E161,'15 strains'!E182,'15 strains'!E203,'15 strains'!E224)</f>
        <v>0.17845117845117869</v>
      </c>
      <c r="P12">
        <f>AVERAGE('15 strains'!F35,'15 strains'!F77,'15 strains'!F98,'15 strains'!F119,'15 strains'!F140,'15 strains'!F161,'15 strains'!F182,'15 strains'!F203,'15 strains'!F224)</f>
        <v>0.18249158249158265</v>
      </c>
      <c r="Q12">
        <f>STDEV('15 strains'!B35,'15 strains'!B77,'15 strains'!B98,'15 strains'!B119,'15 strains'!B140,'15 strains'!B161,'15 strains'!B182,'15 strains'!B203,'15 strains'!B224)</f>
        <v>2.2290986354256453E-2</v>
      </c>
      <c r="R12">
        <f>STDEV('15 strains'!C35,'15 strains'!C77,'15 strains'!C98,'15 strains'!C119,'15 strains'!C140,'15 strains'!C161,'15 strains'!C182,'15 strains'!C203,'15 strains'!C224)</f>
        <v>2.0202020202019963E-3</v>
      </c>
      <c r="S12">
        <f>STDEV('15 strains'!D35,'15 strains'!D77,'15 strains'!D98,'15 strains'!D119,'15 strains'!D140,'15 strains'!D161,'15 strains'!D182,'15 strains'!D203,'15 strains'!D224)</f>
        <v>1.0689904287129771E-2</v>
      </c>
      <c r="T12">
        <f>STDEV('15 strains'!E35,'15 strains'!E77,'15 strains'!E98,'15 strains'!E119,'15 strains'!E140,'15 strains'!E161,'15 strains'!E182,'15 strains'!E203,'15 strains'!E224)</f>
        <v>6.850838366793126E-3</v>
      </c>
      <c r="U12">
        <f>STDEV('15 strains'!F35,'15 strains'!F77,'15 strains'!F98,'15 strains'!F119,'15 strains'!F140,'15 strains'!F161,'15 strains'!F182,'15 strains'!F203,'15 strains'!F224)</f>
        <v>1.5285601970122633E-2</v>
      </c>
      <c r="V12">
        <f>AVERAGE('50 strains'!B35,'50 strains'!B56,'50 strains'!B77,'50 strains'!B98,'50 strains'!B119,'50 strains'!B140,'50 strains'!B161,'50 strains'!B182,'50 strains'!B203,'50 strains'!B224)</f>
        <v>0.10181818181818184</v>
      </c>
      <c r="W12">
        <f>AVERAGE('50 strains'!C35,'50 strains'!C56,'50 strains'!C77,'50 strains'!C98,'50 strains'!C119,'50 strains'!C140,'50 strains'!C161,'50 strains'!C182,'50 strains'!C203,'50 strains'!C224)</f>
        <v>0.18181818181818202</v>
      </c>
      <c r="X12">
        <f>AVERAGE('50 strains'!D35,'50 strains'!D56,'50 strains'!D77,'50 strains'!D98,'50 strains'!D119,'50 strains'!D140,'50 strains'!D161,'50 strains'!D182,'50 strains'!D203,'50 strains'!D224)</f>
        <v>0.16363636363636364</v>
      </c>
      <c r="Y12">
        <f>AVERAGE('50 strains'!E35,'50 strains'!E56,'50 strains'!E77,'50 strains'!E98,'50 strains'!E119,'50 strains'!E140,'50 strains'!E161,'50 strains'!E182,'50 strains'!E203,'50 strains'!E224)</f>
        <v>0.1801818181818183</v>
      </c>
      <c r="Z12">
        <f>AVERAGE('50 strains'!F35,'50 strains'!F56,'50 strains'!F77,'50 strains'!F98,'50 strains'!F119,'50 strains'!F140,'50 strains'!F161,'50 strains'!F182,'50 strains'!F203,'50 strains'!F224)</f>
        <v>0.19327272727272743</v>
      </c>
      <c r="AA12">
        <f>STDEV('50 strains'!B35,'50 strains'!B56,'50 strains'!B77,'50 strains'!B98,'50 strains'!B119,'50 strains'!B140,'50 strains'!B161,'50 strains'!B182,'50 strains'!B203,'50 strains'!B224)</f>
        <v>8.0403025220736751E-3</v>
      </c>
      <c r="AB12">
        <f>STDEV('50 strains'!C35,'50 strains'!C56,'50 strains'!C77,'50 strains'!C98,'50 strains'!C119,'50 strains'!C140,'50 strains'!C161,'50 strains'!C182,'50 strains'!C203,'50 strains'!C224)</f>
        <v>2.925694557147251E-17</v>
      </c>
      <c r="AC12">
        <f>STDEV('50 strains'!D35,'50 strains'!D56,'50 strains'!D77,'50 strains'!D98,'50 strains'!D119,'50 strains'!D140,'50 strains'!D161,'50 strains'!D182,'50 strains'!D203,'50 strains'!D224)</f>
        <v>7.9020635214577528E-3</v>
      </c>
      <c r="AD12">
        <f>STDEV('50 strains'!E35,'50 strains'!E56,'50 strains'!E77,'50 strains'!E98,'50 strains'!E119,'50 strains'!E140,'50 strains'!E161,'50 strains'!E182,'50 strains'!E203,'50 strains'!E224)</f>
        <v>2.7706980486454911E-3</v>
      </c>
      <c r="AE12">
        <f>STDEV('50 strains'!F35,'50 strains'!F56,'50 strains'!F77,'50 strains'!F98,'50 strains'!F119,'50 strains'!F140,'50 strains'!F161,'50 strains'!F182,'50 strains'!F203,'50 strains'!F224)</f>
        <v>5.557942554235331E-3</v>
      </c>
    </row>
    <row r="13" spans="1:31" x14ac:dyDescent="0.2">
      <c r="A13">
        <v>12</v>
      </c>
      <c r="B13">
        <v>0.163636363636364</v>
      </c>
      <c r="C13">
        <v>0.16666666666666699</v>
      </c>
      <c r="D13">
        <v>0.16666666666666699</v>
      </c>
      <c r="E13">
        <v>0.21319444444444399</v>
      </c>
      <c r="F13">
        <v>0.197368421052632</v>
      </c>
      <c r="G13">
        <v>0</v>
      </c>
      <c r="H13">
        <v>0</v>
      </c>
      <c r="I13">
        <v>0</v>
      </c>
      <c r="J13">
        <v>0</v>
      </c>
      <c r="K13">
        <v>0</v>
      </c>
      <c r="L13">
        <f>AVERAGE('15 strains'!B36,'15 strains'!B78,'15 strains'!B99,'15 strains'!B120,'15 strains'!B141,'15 strains'!B162,'15 strains'!B183,'15 strains'!B204,'15 strains'!B225)</f>
        <v>0.16358024691358022</v>
      </c>
      <c r="M13">
        <f>AVERAGE('15 strains'!C36,'15 strains'!C78,'15 strains'!C99,'15 strains'!C120,'15 strains'!C141,'15 strains'!C162,'15 strains'!C183,'15 strains'!C204,'15 strains'!C225)</f>
        <v>0.16666666666666699</v>
      </c>
      <c r="N13">
        <f>AVERAGE('15 strains'!D36,'15 strains'!D78,'15 strains'!D99,'15 strains'!D120,'15 strains'!D141,'15 strains'!D162,'15 strains'!D183,'15 strains'!D204,'15 strains'!D225)</f>
        <v>0.16234567901234587</v>
      </c>
      <c r="O13">
        <f>AVERAGE('15 strains'!E36,'15 strains'!E78,'15 strains'!E99,'15 strains'!E120,'15 strains'!E141,'15 strains'!E162,'15 strains'!E183,'15 strains'!E204,'15 strains'!E225)</f>
        <v>0.20555555555555555</v>
      </c>
      <c r="P13">
        <f>AVERAGE('15 strains'!F36,'15 strains'!F78,'15 strains'!F99,'15 strains'!F120,'15 strains'!F141,'15 strains'!F162,'15 strains'!F183,'15 strains'!F204,'15 strains'!F225)</f>
        <v>0.19506172839506164</v>
      </c>
      <c r="Q13">
        <f>STDEV('15 strains'!B36,'15 strains'!B78,'15 strains'!B99,'15 strains'!B120,'15 strains'!B141,'15 strains'!B162,'15 strains'!B183,'15 strains'!B204,'15 strains'!B225)</f>
        <v>2.2241503980489269E-2</v>
      </c>
      <c r="R13">
        <f>STDEV('15 strains'!C36,'15 strains'!C78,'15 strains'!C99,'15 strains'!C120,'15 strains'!C141,'15 strains'!C162,'15 strains'!C183,'15 strains'!C204,'15 strains'!C225)</f>
        <v>0</v>
      </c>
      <c r="S13">
        <f>STDEV('15 strains'!D36,'15 strains'!D78,'15 strains'!D99,'15 strains'!D120,'15 strains'!D141,'15 strains'!D162,'15 strains'!D183,'15 strains'!D204,'15 strains'!D225)</f>
        <v>7.7468520975379571E-3</v>
      </c>
      <c r="T13">
        <f>STDEV('15 strains'!E36,'15 strains'!E78,'15 strains'!E99,'15 strains'!E120,'15 strains'!E141,'15 strains'!E162,'15 strains'!E183,'15 strains'!E204,'15 strains'!E225)</f>
        <v>1.3888888888889152E-2</v>
      </c>
      <c r="U13">
        <f>STDEV('15 strains'!F36,'15 strains'!F78,'15 strains'!F99,'15 strains'!F120,'15 strains'!F141,'15 strains'!F162,'15 strains'!F183,'15 strains'!F204,'15 strains'!F225)</f>
        <v>9.7990789298689814E-3</v>
      </c>
      <c r="V13">
        <f>AVERAGE('50 strains'!B36,'50 strains'!B57,'50 strains'!B78,'50 strains'!B99,'50 strains'!B120,'50 strains'!B141,'50 strains'!B162,'50 strains'!B183,'50 strains'!B204,'50 strains'!B225)</f>
        <v>0.16116666666666671</v>
      </c>
      <c r="W13">
        <f>AVERAGE('50 strains'!C36,'50 strains'!C57,'50 strains'!C78,'50 strains'!C99,'50 strains'!C120,'50 strains'!C141,'50 strains'!C162,'50 strains'!C183,'50 strains'!C204,'50 strains'!C225)</f>
        <v>0.16666666666666699</v>
      </c>
      <c r="X13">
        <f>AVERAGE('50 strains'!D36,'50 strains'!D57,'50 strains'!D78,'50 strains'!D99,'50 strains'!D120,'50 strains'!D141,'50 strains'!D162,'50 strains'!D183,'50 strains'!D204,'50 strains'!D225)</f>
        <v>0.1643333333333335</v>
      </c>
      <c r="Y13">
        <f>AVERAGE('50 strains'!E36,'50 strains'!E57,'50 strains'!E78,'50 strains'!E99,'50 strains'!E120,'50 strains'!E141,'50 strains'!E162,'50 strains'!E183,'50 strains'!E204,'50 strains'!E225)</f>
        <v>0.20949999999999996</v>
      </c>
      <c r="Z13">
        <f>AVERAGE('50 strains'!F36,'50 strains'!F57,'50 strains'!F78,'50 strains'!F99,'50 strains'!F120,'50 strains'!F141,'50 strains'!F162,'50 strains'!F183,'50 strains'!F204,'50 strains'!F225)</f>
        <v>0.19850000000000001</v>
      </c>
      <c r="AA13">
        <f>STDEV('50 strains'!B36,'50 strains'!B57,'50 strains'!B78,'50 strains'!B99,'50 strains'!B120,'50 strains'!B141,'50 strains'!B162,'50 strains'!B183,'50 strains'!B204,'50 strains'!B225)</f>
        <v>7.1167512355111862E-3</v>
      </c>
      <c r="AB13">
        <f>STDEV('50 strains'!C36,'50 strains'!C57,'50 strains'!C78,'50 strains'!C99,'50 strains'!C120,'50 strains'!C141,'50 strains'!C162,'50 strains'!C183,'50 strains'!C204,'50 strains'!C225)</f>
        <v>0</v>
      </c>
      <c r="AC13">
        <f>STDEV('50 strains'!D36,'50 strains'!D57,'50 strains'!D78,'50 strains'!D99,'50 strains'!D120,'50 strains'!D141,'50 strains'!D162,'50 strains'!D183,'50 strains'!D204,'50 strains'!D225)</f>
        <v>4.6613726585342718E-3</v>
      </c>
      <c r="AD13">
        <f>STDEV('50 strains'!E36,'50 strains'!E57,'50 strains'!E78,'50 strains'!E99,'50 strains'!E120,'50 strains'!E141,'50 strains'!E162,'50 strains'!E183,'50 strains'!E204,'50 strains'!E225)</f>
        <v>5.3315969395599291E-3</v>
      </c>
      <c r="AE13">
        <f>STDEV('50 strains'!F36,'50 strains'!F57,'50 strains'!F78,'50 strains'!F99,'50 strains'!F120,'50 strains'!F141,'50 strains'!F162,'50 strains'!F183,'50 strains'!F204,'50 strains'!F225)</f>
        <v>3.9635686626082432E-3</v>
      </c>
    </row>
    <row r="14" spans="1:31" x14ac:dyDescent="0.2">
      <c r="A14">
        <v>13</v>
      </c>
      <c r="B14">
        <v>0.162937062937063</v>
      </c>
      <c r="C14">
        <v>0.15384615384615399</v>
      </c>
      <c r="D14">
        <v>0.15384615384615399</v>
      </c>
      <c r="E14">
        <v>0.20512820512820501</v>
      </c>
      <c r="F14">
        <v>0.201079622132254</v>
      </c>
      <c r="G14">
        <v>0</v>
      </c>
      <c r="H14">
        <v>0</v>
      </c>
      <c r="I14">
        <v>0</v>
      </c>
      <c r="J14">
        <v>0</v>
      </c>
      <c r="K14">
        <v>0</v>
      </c>
      <c r="L14">
        <f>AVERAGE('15 strains'!B37,'15 strains'!B79,'15 strains'!B100,'15 strains'!B121,'15 strains'!B142,'15 strains'!B163,'15 strains'!B184,'15 strains'!B205,'15 strains'!B226)</f>
        <v>0.16353276353276344</v>
      </c>
      <c r="M14">
        <f>AVERAGE('15 strains'!C37,'15 strains'!C79,'15 strains'!C100,'15 strains'!C121,'15 strains'!C142,'15 strains'!C163,'15 strains'!C184,'15 strains'!C205,'15 strains'!C226)</f>
        <v>0.15384615384615399</v>
      </c>
      <c r="N14">
        <f>AVERAGE('15 strains'!D37,'15 strains'!D79,'15 strains'!D100,'15 strains'!D121,'15 strains'!D142,'15 strains'!D163,'15 strains'!D184,'15 strains'!D205,'15 strains'!D226)</f>
        <v>0.15384615384615399</v>
      </c>
      <c r="O14">
        <f>AVERAGE('15 strains'!E37,'15 strains'!E79,'15 strains'!E100,'15 strains'!E121,'15 strains'!E142,'15 strains'!E163,'15 strains'!E184,'15 strains'!E205,'15 strains'!E226)</f>
        <v>0.20569800569800581</v>
      </c>
      <c r="P14">
        <f>AVERAGE('15 strains'!F37,'15 strains'!F79,'15 strains'!F100,'15 strains'!F121,'15 strains'!F142,'15 strains'!F163,'15 strains'!F184,'15 strains'!F205,'15 strains'!F226)</f>
        <v>0.19487179487179501</v>
      </c>
      <c r="Q14">
        <f>STDEV('15 strains'!B37,'15 strains'!B79,'15 strains'!B100,'15 strains'!B121,'15 strains'!B142,'15 strains'!B163,'15 strains'!B184,'15 strains'!B205,'15 strains'!B226)</f>
        <v>2.2418593245477035E-2</v>
      </c>
      <c r="R14">
        <f>STDEV('15 strains'!C37,'15 strains'!C79,'15 strains'!C100,'15 strains'!C121,'15 strains'!C142,'15 strains'!C163,'15 strains'!C184,'15 strains'!C205,'15 strains'!C226)</f>
        <v>0</v>
      </c>
      <c r="S14">
        <f>STDEV('15 strains'!D37,'15 strains'!D79,'15 strains'!D100,'15 strains'!D121,'15 strains'!D142,'15 strains'!D163,'15 strains'!D184,'15 strains'!D205,'15 strains'!D226)</f>
        <v>0</v>
      </c>
      <c r="T14">
        <f>STDEV('15 strains'!E37,'15 strains'!E79,'15 strains'!E100,'15 strains'!E121,'15 strains'!E142,'15 strains'!E163,'15 strains'!E184,'15 strains'!E205,'15 strains'!E226)</f>
        <v>1.6507015312673404E-2</v>
      </c>
      <c r="U14">
        <f>STDEV('15 strains'!F37,'15 strains'!F79,'15 strains'!F100,'15 strains'!F121,'15 strains'!F142,'15 strains'!F163,'15 strains'!F184,'15 strains'!F205,'15 strains'!F226)</f>
        <v>8.1084042568418026E-3</v>
      </c>
      <c r="V14">
        <f>AVERAGE('50 strains'!B37,'50 strains'!B58,'50 strains'!B79,'50 strains'!B100,'50 strains'!B121,'50 strains'!B142,'50 strains'!B163,'50 strains'!B184,'50 strains'!B205,'50 strains'!B226)</f>
        <v>0.16046153846153838</v>
      </c>
      <c r="W14">
        <f>AVERAGE('50 strains'!C37,'50 strains'!C58,'50 strains'!C79,'50 strains'!C100,'50 strains'!C121,'50 strains'!C142,'50 strains'!C163,'50 strains'!C184,'50 strains'!C205,'50 strains'!C226)</f>
        <v>0.15384615384615399</v>
      </c>
      <c r="X14">
        <f>AVERAGE('50 strains'!D37,'50 strains'!D58,'50 strains'!D79,'50 strains'!D100,'50 strains'!D121,'50 strains'!D142,'50 strains'!D163,'50 strains'!D184,'50 strains'!D205,'50 strains'!D226)</f>
        <v>0.15384615384615399</v>
      </c>
      <c r="Y14">
        <f>AVERAGE('50 strains'!E37,'50 strains'!E58,'50 strains'!E79,'50 strains'!E100,'50 strains'!E121,'50 strains'!E142,'50 strains'!E163,'50 strains'!E184,'50 strains'!E205,'50 strains'!E226)</f>
        <v>0.20076923076923067</v>
      </c>
      <c r="Z14">
        <f>AVERAGE('50 strains'!F37,'50 strains'!F58,'50 strains'!F79,'50 strains'!F100,'50 strains'!F121,'50 strains'!F142,'50 strains'!F163,'50 strains'!F184,'50 strains'!F205,'50 strains'!F226)</f>
        <v>0.20415384615384627</v>
      </c>
      <c r="AA14">
        <f>STDEV('50 strains'!B37,'50 strains'!B58,'50 strains'!B79,'50 strains'!B100,'50 strains'!B121,'50 strains'!B142,'50 strains'!B163,'50 strains'!B184,'50 strains'!B205,'50 strains'!B226)</f>
        <v>6.9958191703732324E-3</v>
      </c>
      <c r="AB14">
        <f>STDEV('50 strains'!C37,'50 strains'!C58,'50 strains'!C79,'50 strains'!C100,'50 strains'!C121,'50 strains'!C142,'50 strains'!C163,'50 strains'!C184,'50 strains'!C205,'50 strains'!C226)</f>
        <v>0</v>
      </c>
      <c r="AC14">
        <f>STDEV('50 strains'!D37,'50 strains'!D58,'50 strains'!D79,'50 strains'!D100,'50 strains'!D121,'50 strains'!D142,'50 strains'!D163,'50 strains'!D184,'50 strains'!D205,'50 strains'!D226)</f>
        <v>0</v>
      </c>
      <c r="AD14">
        <f>STDEV('50 strains'!E37,'50 strains'!E58,'50 strains'!E79,'50 strains'!E100,'50 strains'!E121,'50 strains'!E142,'50 strains'!E163,'50 strains'!E184,'50 strains'!E205,'50 strains'!E226)</f>
        <v>6.8129898746596505E-3</v>
      </c>
      <c r="AE14">
        <f>STDEV('50 strains'!F37,'50 strains'!F58,'50 strains'!F79,'50 strains'!F100,'50 strains'!F121,'50 strains'!F142,'50 strains'!F163,'50 strains'!F184,'50 strains'!F205,'50 strains'!F226)</f>
        <v>4.1693285382929822E-3</v>
      </c>
    </row>
    <row r="15" spans="1:31" x14ac:dyDescent="0.2">
      <c r="A15">
        <v>14</v>
      </c>
      <c r="B15">
        <v>0.188961038961039</v>
      </c>
      <c r="C15">
        <v>0.14285714285714299</v>
      </c>
      <c r="D15">
        <v>0.14285714285714299</v>
      </c>
      <c r="E15">
        <v>0.2</v>
      </c>
      <c r="F15">
        <v>0.203634085213033</v>
      </c>
      <c r="G15">
        <v>0</v>
      </c>
      <c r="H15">
        <v>0</v>
      </c>
      <c r="I15">
        <v>0</v>
      </c>
      <c r="J15">
        <v>0</v>
      </c>
      <c r="K15">
        <v>0</v>
      </c>
      <c r="L15">
        <f>AVERAGE('15 strains'!B38,'15 strains'!B80,'15 strains'!B101,'15 strains'!B122,'15 strains'!B143,'15 strains'!B164,'15 strains'!B185,'15 strains'!B206,'15 strains'!B227)</f>
        <v>0.17936507936507923</v>
      </c>
      <c r="M15">
        <f>AVERAGE('15 strains'!C38,'15 strains'!C80,'15 strains'!C101,'15 strains'!C122,'15 strains'!C143,'15 strains'!C164,'15 strains'!C185,'15 strains'!C206,'15 strains'!C227)</f>
        <v>0.14285714285714299</v>
      </c>
      <c r="N15">
        <f>AVERAGE('15 strains'!D38,'15 strains'!D80,'15 strains'!D101,'15 strains'!D122,'15 strains'!D143,'15 strains'!D164,'15 strains'!D185,'15 strains'!D206,'15 strains'!D227)</f>
        <v>0.14285714285714299</v>
      </c>
      <c r="O15">
        <f>AVERAGE('15 strains'!E38,'15 strains'!E80,'15 strains'!E101,'15 strains'!E122,'15 strains'!E143,'15 strains'!E164,'15 strains'!E185,'15 strains'!E206,'15 strains'!E227)</f>
        <v>0.20370370370370366</v>
      </c>
      <c r="P15">
        <f>AVERAGE('15 strains'!F38,'15 strains'!F80,'15 strains'!F101,'15 strains'!F122,'15 strains'!F143,'15 strains'!F164,'15 strains'!F185,'15 strains'!F206,'15 strains'!F227)</f>
        <v>0.19682539682539688</v>
      </c>
      <c r="Q15">
        <f>STDEV('15 strains'!B38,'15 strains'!B80,'15 strains'!B101,'15 strains'!B122,'15 strains'!B143,'15 strains'!B164,'15 strains'!B185,'15 strains'!B206,'15 strains'!B227)</f>
        <v>1.6835875742536931E-2</v>
      </c>
      <c r="R15">
        <f>STDEV('15 strains'!C38,'15 strains'!C80,'15 strains'!C101,'15 strains'!C122,'15 strains'!C143,'15 strains'!C164,'15 strains'!C185,'15 strains'!C206,'15 strains'!C227)</f>
        <v>0</v>
      </c>
      <c r="S15">
        <f>STDEV('15 strains'!D38,'15 strains'!D80,'15 strains'!D101,'15 strains'!D122,'15 strains'!D143,'15 strains'!D164,'15 strains'!D185,'15 strains'!D206,'15 strains'!D227)</f>
        <v>0</v>
      </c>
      <c r="T15">
        <f>STDEV('15 strains'!E38,'15 strains'!E80,'15 strains'!E101,'15 strains'!E122,'15 strains'!E143,'15 strains'!E164,'15 strains'!E185,'15 strains'!E206,'15 strains'!E227)</f>
        <v>2.2933624248888534E-2</v>
      </c>
      <c r="U15">
        <f>STDEV('15 strains'!F38,'15 strains'!F80,'15 strains'!F101,'15 strains'!F122,'15 strains'!F143,'15 strains'!F164,'15 strains'!F185,'15 strains'!F206,'15 strains'!F227)</f>
        <v>7.8967256913224249E-3</v>
      </c>
      <c r="V15">
        <f>AVERAGE('50 strains'!B38,'50 strains'!B59,'50 strains'!B80,'50 strains'!B101,'50 strains'!B122,'50 strains'!B143,'50 strains'!B164,'50 strains'!B185,'50 strains'!B206,'50 strains'!B227)</f>
        <v>0.18414285714285722</v>
      </c>
      <c r="W15">
        <f>AVERAGE('50 strains'!C38,'50 strains'!C59,'50 strains'!C80,'50 strains'!C101,'50 strains'!C122,'50 strains'!C143,'50 strains'!C164,'50 strains'!C185,'50 strains'!C206,'50 strains'!C227)</f>
        <v>0.14285714285714299</v>
      </c>
      <c r="X15">
        <f>AVERAGE('50 strains'!D38,'50 strains'!D59,'50 strains'!D80,'50 strains'!D101,'50 strains'!D122,'50 strains'!D143,'50 strains'!D164,'50 strains'!D185,'50 strains'!D206,'50 strains'!D227)</f>
        <v>0.14285714285714299</v>
      </c>
      <c r="Y15">
        <f>AVERAGE('50 strains'!E38,'50 strains'!E59,'50 strains'!E80,'50 strains'!E101,'50 strains'!E122,'50 strains'!E143,'50 strains'!E164,'50 strains'!E185,'50 strains'!E206,'50 strains'!E227)</f>
        <v>0.19571428571428579</v>
      </c>
      <c r="Z15">
        <f>AVERAGE('50 strains'!F38,'50 strains'!F59,'50 strains'!F80,'50 strains'!F101,'50 strains'!F122,'50 strains'!F143,'50 strains'!F164,'50 strains'!F185,'50 strains'!F206,'50 strains'!F227)</f>
        <v>0.20700000000000013</v>
      </c>
      <c r="AA15">
        <f>STDEV('50 strains'!B38,'50 strains'!B59,'50 strains'!B80,'50 strains'!B101,'50 strains'!B122,'50 strains'!B143,'50 strains'!B164,'50 strains'!B185,'50 strains'!B206,'50 strains'!B227)</f>
        <v>7.3909302756916722E-3</v>
      </c>
      <c r="AB15">
        <f>STDEV('50 strains'!C38,'50 strains'!C59,'50 strains'!C80,'50 strains'!C101,'50 strains'!C122,'50 strains'!C143,'50 strains'!C164,'50 strains'!C185,'50 strains'!C206,'50 strains'!C227)</f>
        <v>0</v>
      </c>
      <c r="AC15">
        <f>STDEV('50 strains'!D38,'50 strains'!D59,'50 strains'!D80,'50 strains'!D101,'50 strains'!D122,'50 strains'!D143,'50 strains'!D164,'50 strains'!D185,'50 strains'!D206,'50 strains'!D227)</f>
        <v>0</v>
      </c>
      <c r="AD15">
        <f>STDEV('50 strains'!E38,'50 strains'!E59,'50 strains'!E80,'50 strains'!E101,'50 strains'!E122,'50 strains'!E143,'50 strains'!E164,'50 strains'!E185,'50 strains'!E206,'50 strains'!E227)</f>
        <v>7.6190476190475184E-3</v>
      </c>
      <c r="AE15">
        <f>STDEV('50 strains'!F38,'50 strains'!F59,'50 strains'!F80,'50 strains'!F101,'50 strains'!F122,'50 strains'!F143,'50 strains'!F164,'50 strains'!F185,'50 strains'!F206,'50 strains'!F227)</f>
        <v>5.2359302885348104E-3</v>
      </c>
    </row>
    <row r="16" spans="1:31" x14ac:dyDescent="0.2">
      <c r="A16">
        <v>15</v>
      </c>
      <c r="B16">
        <v>0.178787878787879</v>
      </c>
      <c r="C16">
        <v>0.2</v>
      </c>
      <c r="D16">
        <v>0.180555555555556</v>
      </c>
      <c r="E16">
        <v>0.219444444444444</v>
      </c>
      <c r="F16">
        <v>0.205847953216374</v>
      </c>
      <c r="G16">
        <v>0</v>
      </c>
      <c r="H16">
        <v>0</v>
      </c>
      <c r="I16">
        <v>0</v>
      </c>
      <c r="J16">
        <v>0</v>
      </c>
      <c r="K16">
        <v>0</v>
      </c>
      <c r="L16">
        <f>AVERAGE('15 strains'!B39,'15 strains'!B81,'15 strains'!B102,'15 strains'!B123,'15 strains'!B144,'15 strains'!B165,'15 strains'!B186,'15 strains'!B207,'15 strains'!B228)</f>
        <v>0.17827160493827177</v>
      </c>
      <c r="M16">
        <f>AVERAGE('15 strains'!C39,'15 strains'!C81,'15 strains'!C102,'15 strains'!C123,'15 strains'!C144,'15 strains'!C165,'15 strains'!C186,'15 strains'!C207,'15 strains'!C228)</f>
        <v>0.19999999999999998</v>
      </c>
      <c r="N16">
        <f>AVERAGE('15 strains'!D39,'15 strains'!D81,'15 strains'!D102,'15 strains'!D123,'15 strains'!D144,'15 strains'!D165,'15 strains'!D186,'15 strains'!D207,'15 strains'!D228)</f>
        <v>0.19358024691358022</v>
      </c>
      <c r="O16">
        <f>AVERAGE('15 strains'!E39,'15 strains'!E81,'15 strains'!E102,'15 strains'!E123,'15 strains'!E144,'15 strains'!E165,'15 strains'!E186,'15 strains'!E207,'15 strains'!E228)</f>
        <v>0.21925925925925913</v>
      </c>
      <c r="P16">
        <f>AVERAGE('15 strains'!F39,'15 strains'!F81,'15 strains'!F102,'15 strains'!F123,'15 strains'!F144,'15 strains'!F165,'15 strains'!F186,'15 strains'!F207,'15 strains'!F228)</f>
        <v>0.19901234567901244</v>
      </c>
      <c r="Q16">
        <f>STDEV('15 strains'!B39,'15 strains'!B81,'15 strains'!B102,'15 strains'!B123,'15 strains'!B144,'15 strains'!B165,'15 strains'!B186,'15 strains'!B207,'15 strains'!B228)</f>
        <v>2.2819143408517921E-2</v>
      </c>
      <c r="R16">
        <f>STDEV('15 strains'!C39,'15 strains'!C81,'15 strains'!C102,'15 strains'!C123,'15 strains'!C144,'15 strains'!C165,'15 strains'!C186,'15 strains'!C207,'15 strains'!C228)</f>
        <v>2.943923360032078E-17</v>
      </c>
      <c r="S16">
        <f>STDEV('15 strains'!D39,'15 strains'!D81,'15 strains'!D102,'15 strains'!D123,'15 strains'!D144,'15 strains'!D165,'15 strains'!D186,'15 strains'!D207,'15 strains'!D228)</f>
        <v>7.1530399688253029E-3</v>
      </c>
      <c r="T16">
        <f>STDEV('15 strains'!E39,'15 strains'!E81,'15 strains'!E102,'15 strains'!E123,'15 strains'!E144,'15 strains'!E165,'15 strains'!E186,'15 strains'!E207,'15 strains'!E228)</f>
        <v>2.0123078084749776E-2</v>
      </c>
      <c r="U16">
        <f>STDEV('15 strains'!F39,'15 strains'!F81,'15 strains'!F102,'15 strains'!F123,'15 strains'!F144,'15 strains'!F165,'15 strains'!F186,'15 strains'!F207,'15 strains'!F228)</f>
        <v>1.0836102843205762E-2</v>
      </c>
      <c r="V16">
        <f>AVERAGE('50 strains'!B39,'50 strains'!B60,'50 strains'!B81,'50 strains'!B102,'50 strains'!B123,'50 strains'!B144,'50 strains'!B165,'50 strains'!B186,'50 strains'!B207,'50 strains'!B228)</f>
        <v>0.17599999999999999</v>
      </c>
      <c r="W16">
        <f>AVERAGE('50 strains'!C39,'50 strains'!C60,'50 strains'!C81,'50 strains'!C102,'50 strains'!C123,'50 strains'!C144,'50 strains'!C165,'50 strains'!C186,'50 strains'!C207,'50 strains'!C228)</f>
        <v>0.19999999999999998</v>
      </c>
      <c r="X16">
        <f>AVERAGE('50 strains'!D39,'50 strains'!D60,'50 strains'!D81,'50 strains'!D102,'50 strains'!D123,'50 strains'!D144,'50 strains'!D165,'50 strains'!D186,'50 strains'!D207,'50 strains'!D228)</f>
        <v>0.18253333333333327</v>
      </c>
      <c r="Y16">
        <f>AVERAGE('50 strains'!E39,'50 strains'!E60,'50 strains'!E81,'50 strains'!E102,'50 strains'!E123,'50 strains'!E144,'50 strains'!E165,'50 strains'!E186,'50 strains'!E207,'50 strains'!E228)</f>
        <v>0.21466666666666662</v>
      </c>
      <c r="Z16">
        <f>AVERAGE('50 strains'!F39,'50 strains'!F60,'50 strains'!F81,'50 strains'!F102,'50 strains'!F123,'50 strains'!F144,'50 strains'!F165,'50 strains'!F186,'50 strains'!F207,'50 strains'!F228)</f>
        <v>0.20733333333333342</v>
      </c>
      <c r="AA16">
        <f>STDEV('50 strains'!B39,'50 strains'!B60,'50 strains'!B81,'50 strains'!B102,'50 strains'!B123,'50 strains'!B144,'50 strains'!B165,'50 strains'!B186,'50 strains'!B207,'50 strains'!B228)</f>
        <v>8.0981631814616619E-3</v>
      </c>
      <c r="AB16">
        <f>STDEV('50 strains'!C39,'50 strains'!C60,'50 strains'!C81,'50 strains'!C102,'50 strains'!C123,'50 strains'!C144,'50 strains'!C165,'50 strains'!C186,'50 strains'!C207,'50 strains'!C228)</f>
        <v>2.925694557147251E-17</v>
      </c>
      <c r="AC16">
        <f>STDEV('50 strains'!D39,'50 strains'!D60,'50 strains'!D81,'50 strains'!D102,'50 strains'!D123,'50 strains'!D144,'50 strains'!D165,'50 strains'!D186,'50 strains'!D207,'50 strains'!D228)</f>
        <v>4.967051936337159E-3</v>
      </c>
      <c r="AD16">
        <f>STDEV('50 strains'!E39,'50 strains'!E60,'50 strains'!E81,'50 strains'!E102,'50 strains'!E123,'50 strains'!E144,'50 strains'!E165,'50 strains'!E186,'50 strains'!E207,'50 strains'!E228)</f>
        <v>4.3997755273830121E-3</v>
      </c>
      <c r="AE16">
        <f>STDEV('50 strains'!F39,'50 strains'!F60,'50 strains'!F81,'50 strains'!F102,'50 strains'!F123,'50 strains'!F144,'50 strains'!F165,'50 strains'!F186,'50 strains'!F207,'50 strains'!F228)</f>
        <v>6.4482747237987244E-3</v>
      </c>
    </row>
    <row r="17" spans="1:31" x14ac:dyDescent="0.2">
      <c r="A17">
        <v>16</v>
      </c>
      <c r="B17">
        <v>0.22784090909090901</v>
      </c>
      <c r="C17">
        <v>0.1875</v>
      </c>
      <c r="D17">
        <v>0.1875</v>
      </c>
      <c r="E17">
        <v>0.235416666666667</v>
      </c>
      <c r="F17">
        <v>0.21052631578947401</v>
      </c>
      <c r="G17">
        <v>0</v>
      </c>
      <c r="H17">
        <v>0</v>
      </c>
      <c r="I17">
        <v>0</v>
      </c>
      <c r="J17">
        <v>0</v>
      </c>
      <c r="K17">
        <v>0</v>
      </c>
      <c r="L17">
        <f>AVERAGE('15 strains'!B40,'15 strains'!B82,'15 strains'!B103,'15 strains'!B124,'15 strains'!B145,'15 strains'!B166,'15 strains'!B187,'15 strains'!B208,'15 strains'!B229)</f>
        <v>0.22592592592592592</v>
      </c>
      <c r="M17">
        <f>AVERAGE('15 strains'!C40,'15 strains'!C82,'15 strains'!C103,'15 strains'!C124,'15 strains'!C145,'15 strains'!C166,'15 strains'!C187,'15 strains'!C208,'15 strains'!C229)</f>
        <v>0.1875</v>
      </c>
      <c r="N17">
        <f>AVERAGE('15 strains'!D40,'15 strains'!D82,'15 strains'!D103,'15 strains'!D124,'15 strains'!D145,'15 strains'!D166,'15 strains'!D187,'15 strains'!D208,'15 strains'!D229)</f>
        <v>0.1875</v>
      </c>
      <c r="O17">
        <f>AVERAGE('15 strains'!E40,'15 strains'!E82,'15 strains'!E103,'15 strains'!E124,'15 strains'!E145,'15 strains'!E166,'15 strains'!E187,'15 strains'!E208,'15 strains'!E229)</f>
        <v>0.23009259259259263</v>
      </c>
      <c r="P17">
        <f>AVERAGE('15 strains'!F40,'15 strains'!F82,'15 strains'!F103,'15 strains'!F124,'15 strains'!F145,'15 strains'!F166,'15 strains'!F187,'15 strains'!F208,'15 strains'!F229)</f>
        <v>0.20555555555555557</v>
      </c>
      <c r="Q17">
        <f>STDEV('15 strains'!B40,'15 strains'!B82,'15 strains'!B103,'15 strains'!B124,'15 strains'!B145,'15 strains'!B166,'15 strains'!B187,'15 strains'!B208,'15 strains'!B229)</f>
        <v>2.0174776453241765E-2</v>
      </c>
      <c r="R17">
        <f>STDEV('15 strains'!C40,'15 strains'!C82,'15 strains'!C103,'15 strains'!C124,'15 strains'!C145,'15 strains'!C166,'15 strains'!C187,'15 strains'!C208,'15 strains'!C229)</f>
        <v>0</v>
      </c>
      <c r="S17">
        <f>STDEV('15 strains'!D40,'15 strains'!D82,'15 strains'!D103,'15 strains'!D124,'15 strains'!D145,'15 strains'!D166,'15 strains'!D187,'15 strains'!D208,'15 strains'!D229)</f>
        <v>0</v>
      </c>
      <c r="T17">
        <f>STDEV('15 strains'!E40,'15 strains'!E82,'15 strains'!E103,'15 strains'!E124,'15 strains'!E145,'15 strains'!E166,'15 strains'!E187,'15 strains'!E208,'15 strains'!E229)</f>
        <v>1.8491009660686598E-2</v>
      </c>
      <c r="U17">
        <f>STDEV('15 strains'!F40,'15 strains'!F82,'15 strains'!F103,'15 strains'!F124,'15 strains'!F145,'15 strains'!F166,'15 strains'!F187,'15 strains'!F208,'15 strains'!F229)</f>
        <v>1.0206207261596538E-2</v>
      </c>
      <c r="V17">
        <f>AVERAGE('50 strains'!B40,'50 strains'!B61,'50 strains'!B82,'50 strains'!B103,'50 strains'!B124,'50 strains'!B145,'50 strains'!B166,'50 strains'!B187,'50 strains'!B208,'50 strains'!B229)</f>
        <v>0.22537500000000005</v>
      </c>
      <c r="W17">
        <f>AVERAGE('50 strains'!C40,'50 strains'!C61,'50 strains'!C82,'50 strains'!C103,'50 strains'!C124,'50 strains'!C145,'50 strains'!C166,'50 strains'!C187,'50 strains'!C208,'50 strains'!C229)</f>
        <v>0.1875</v>
      </c>
      <c r="X17">
        <f>AVERAGE('50 strains'!D40,'50 strains'!D61,'50 strains'!D82,'50 strains'!D103,'50 strains'!D124,'50 strains'!D145,'50 strains'!D166,'50 strains'!D187,'50 strains'!D208,'50 strains'!D229)</f>
        <v>0.1875</v>
      </c>
      <c r="Y17">
        <f>AVERAGE('50 strains'!E40,'50 strains'!E61,'50 strains'!E82,'50 strains'!E103,'50 strains'!E124,'50 strains'!E145,'50 strains'!E166,'50 strains'!E187,'50 strains'!E208,'50 strains'!E229)</f>
        <v>0.22900000000000004</v>
      </c>
      <c r="Z17">
        <f>AVERAGE('50 strains'!F40,'50 strains'!F61,'50 strains'!F82,'50 strains'!F103,'50 strains'!F124,'50 strains'!F145,'50 strains'!F166,'50 strains'!F187,'50 strains'!F208,'50 strains'!F229)</f>
        <v>0.21287499999999998</v>
      </c>
      <c r="AA17">
        <f>STDEV('50 strains'!B40,'50 strains'!B61,'50 strains'!B82,'50 strains'!B103,'50 strains'!B124,'50 strains'!B145,'50 strains'!B166,'50 strains'!B187,'50 strains'!B208,'50 strains'!B229)</f>
        <v>7.1455600044907476E-3</v>
      </c>
      <c r="AB17">
        <f>STDEV('50 strains'!C40,'50 strains'!C61,'50 strains'!C82,'50 strains'!C103,'50 strains'!C124,'50 strains'!C145,'50 strains'!C166,'50 strains'!C187,'50 strains'!C208,'50 strains'!C229)</f>
        <v>0</v>
      </c>
      <c r="AC17">
        <f>STDEV('50 strains'!D40,'50 strains'!D61,'50 strains'!D82,'50 strains'!D103,'50 strains'!D124,'50 strains'!D145,'50 strains'!D166,'50 strains'!D187,'50 strains'!D208,'50 strains'!D229)</f>
        <v>0</v>
      </c>
      <c r="AD17">
        <f>STDEV('50 strains'!E40,'50 strains'!E61,'50 strains'!E82,'50 strains'!E103,'50 strains'!E124,'50 strains'!E145,'50 strains'!E166,'50 strains'!E187,'50 strains'!E208,'50 strains'!E229)</f>
        <v>4.2817441928883742E-3</v>
      </c>
      <c r="AE17">
        <f>STDEV('50 strains'!F40,'50 strains'!F61,'50 strains'!F82,'50 strains'!F103,'50 strains'!F124,'50 strains'!F145,'50 strains'!F166,'50 strains'!F187,'50 strains'!F208,'50 strains'!F229)</f>
        <v>6.7969049328842771E-3</v>
      </c>
    </row>
    <row r="18" spans="1:31" x14ac:dyDescent="0.2">
      <c r="A18">
        <v>17</v>
      </c>
      <c r="B18">
        <v>0.21711229946524099</v>
      </c>
      <c r="C18">
        <v>0.177005347593583</v>
      </c>
      <c r="D18">
        <v>0.20588235294117599</v>
      </c>
      <c r="E18">
        <v>0.231862745098039</v>
      </c>
      <c r="F18">
        <v>0.22187822497420001</v>
      </c>
      <c r="G18">
        <v>0</v>
      </c>
      <c r="H18">
        <v>0</v>
      </c>
      <c r="I18">
        <v>0</v>
      </c>
      <c r="J18">
        <v>0</v>
      </c>
      <c r="K18">
        <v>0</v>
      </c>
      <c r="L18">
        <f>AVERAGE('15 strains'!B41,'15 strains'!B83,'15 strains'!B104,'15 strains'!B125,'15 strains'!B146,'15 strains'!B167,'15 strains'!B188,'15 strains'!B209,'15 strains'!B230)</f>
        <v>0.21612200435729856</v>
      </c>
      <c r="M18">
        <f>AVERAGE('15 strains'!C41,'15 strains'!C83,'15 strains'!C104,'15 strains'!C125,'15 strains'!C146,'15 strains'!C167,'15 strains'!C188,'15 strains'!C209,'15 strains'!C230)</f>
        <v>0.17647058823529396</v>
      </c>
      <c r="N18">
        <f>AVERAGE('15 strains'!D41,'15 strains'!D83,'15 strains'!D104,'15 strains'!D125,'15 strains'!D146,'15 strains'!D167,'15 strains'!D188,'15 strains'!D209,'15 strains'!D230)</f>
        <v>0.20588235294117599</v>
      </c>
      <c r="O18">
        <f>AVERAGE('15 strains'!E41,'15 strains'!E83,'15 strains'!E104,'15 strains'!E125,'15 strains'!E146,'15 strains'!E167,'15 strains'!E188,'15 strains'!E209,'15 strains'!E230)</f>
        <v>0.23355119825708076</v>
      </c>
      <c r="P18">
        <f>AVERAGE('15 strains'!F41,'15 strains'!F83,'15 strains'!F104,'15 strains'!F125,'15 strains'!F146,'15 strains'!F167,'15 strains'!F188,'15 strains'!F209,'15 strains'!F230)</f>
        <v>0.21568627450980402</v>
      </c>
      <c r="Q18">
        <f>STDEV('15 strains'!B41,'15 strains'!B83,'15 strains'!B104,'15 strains'!B125,'15 strains'!B146,'15 strains'!B167,'15 strains'!B188,'15 strains'!B209,'15 strains'!B230)</f>
        <v>1.9156014234971135E-2</v>
      </c>
      <c r="R18">
        <f>STDEV('15 strains'!C41,'15 strains'!C83,'15 strains'!C104,'15 strains'!C125,'15 strains'!C146,'15 strains'!C167,'15 strains'!C188,'15 strains'!C209,'15 strains'!C230)</f>
        <v>2.943923360032078E-17</v>
      </c>
      <c r="S18">
        <f>STDEV('15 strains'!D41,'15 strains'!D83,'15 strains'!D104,'15 strains'!D125,'15 strains'!D146,'15 strains'!D167,'15 strains'!D188,'15 strains'!D209,'15 strains'!D230)</f>
        <v>0</v>
      </c>
      <c r="T18">
        <f>STDEV('15 strains'!E41,'15 strains'!E83,'15 strains'!E104,'15 strains'!E125,'15 strains'!E146,'15 strains'!E167,'15 strains'!E188,'15 strains'!E209,'15 strains'!E230)</f>
        <v>2.2451717695840201E-2</v>
      </c>
      <c r="U18">
        <f>STDEV('15 strains'!F41,'15 strains'!F83,'15 strains'!F104,'15 strains'!F125,'15 strains'!F146,'15 strains'!F167,'15 strains'!F188,'15 strains'!F209,'15 strains'!F230)</f>
        <v>7.069708383262761E-3</v>
      </c>
      <c r="V18">
        <f>AVERAGE('50 strains'!B41,'50 strains'!B62,'50 strains'!B83,'50 strains'!B104,'50 strains'!B125,'50 strains'!B146,'50 strains'!B167,'50 strains'!B188,'50 strains'!B209,'50 strains'!B230)</f>
        <v>0.21447058823529402</v>
      </c>
      <c r="W18">
        <f>AVERAGE('50 strains'!C41,'50 strains'!C62,'50 strains'!C83,'50 strains'!C104,'50 strains'!C125,'50 strains'!C146,'50 strains'!C167,'50 strains'!C188,'50 strains'!C209,'50 strains'!C230)</f>
        <v>0.17682352941176446</v>
      </c>
      <c r="X18">
        <f>AVERAGE('50 strains'!D41,'50 strains'!D62,'50 strains'!D83,'50 strains'!D104,'50 strains'!D125,'50 strains'!D146,'50 strains'!D167,'50 strains'!D188,'50 strains'!D209,'50 strains'!D230)</f>
        <v>0.20588235294117602</v>
      </c>
      <c r="Y18">
        <f>AVERAGE('50 strains'!E41,'50 strains'!E62,'50 strains'!E83,'50 strains'!E104,'50 strains'!E125,'50 strains'!E146,'50 strains'!E167,'50 strains'!E188,'50 strains'!E209,'50 strains'!E230)</f>
        <v>0.22752941176470584</v>
      </c>
      <c r="Z18">
        <f>AVERAGE('50 strains'!F41,'50 strains'!F62,'50 strains'!F83,'50 strains'!F104,'50 strains'!F125,'50 strains'!F146,'50 strains'!F167,'50 strains'!F188,'50 strains'!F209,'50 strains'!F230)</f>
        <v>0.22176470588235303</v>
      </c>
      <c r="AA18">
        <f>STDEV('50 strains'!B41,'50 strains'!B62,'50 strains'!B83,'50 strains'!B104,'50 strains'!B125,'50 strains'!B146,'50 strains'!B167,'50 strains'!B188,'50 strains'!B209,'50 strains'!B230)</f>
        <v>7.6052148279833996E-3</v>
      </c>
      <c r="AB18">
        <f>STDEV('50 strains'!C41,'50 strains'!C62,'50 strains'!C83,'50 strains'!C104,'50 strains'!C125,'50 strains'!C146,'50 strains'!C167,'50 strains'!C188,'50 strains'!C209,'50 strains'!C230)</f>
        <v>5.6828928416415025E-4</v>
      </c>
      <c r="AC18">
        <f>STDEV('50 strains'!D41,'50 strains'!D62,'50 strains'!D83,'50 strains'!D104,'50 strains'!D125,'50 strains'!D146,'50 strains'!D167,'50 strains'!D188,'50 strains'!D209,'50 strains'!D230)</f>
        <v>2.925694557147251E-17</v>
      </c>
      <c r="AD18">
        <f>STDEV('50 strains'!E41,'50 strains'!E62,'50 strains'!E83,'50 strains'!E104,'50 strains'!E125,'50 strains'!E146,'50 strains'!E167,'50 strains'!E188,'50 strains'!E209,'50 strains'!E230)</f>
        <v>8.0978255680879269E-3</v>
      </c>
      <c r="AE18">
        <f>STDEV('50 strains'!F41,'50 strains'!F62,'50 strains'!F83,'50 strains'!F104,'50 strains'!F125,'50 strains'!F146,'50 strains'!F167,'50 strains'!F188,'50 strains'!F209,'50 strains'!F230)</f>
        <v>4.0848365992157375E-3</v>
      </c>
    </row>
    <row r="19" spans="1:31" x14ac:dyDescent="0.2">
      <c r="A19">
        <v>18</v>
      </c>
      <c r="B19">
        <v>0.20707070707070699</v>
      </c>
      <c r="C19">
        <v>0.20303030303030301</v>
      </c>
      <c r="D19">
        <v>0.22222222222222199</v>
      </c>
      <c r="E19">
        <v>0.24629629629629601</v>
      </c>
      <c r="F19">
        <v>0.223196881091618</v>
      </c>
      <c r="G19">
        <v>0</v>
      </c>
      <c r="H19">
        <v>0</v>
      </c>
      <c r="I19">
        <v>0</v>
      </c>
      <c r="J19">
        <v>0</v>
      </c>
      <c r="K19">
        <v>0</v>
      </c>
      <c r="L19">
        <f>AVERAGE('15 strains'!B42,'15 strains'!B84,'15 strains'!B105,'15 strains'!B126,'15 strains'!B147,'15 strains'!B168,'15 strains'!B189,'15 strains'!B210,'15 strains'!B231)</f>
        <v>0.20658436213991768</v>
      </c>
      <c r="M19">
        <f>AVERAGE('15 strains'!C42,'15 strains'!C84,'15 strains'!C105,'15 strains'!C126,'15 strains'!C147,'15 strains'!C168,'15 strains'!C189,'15 strains'!C210,'15 strains'!C231)</f>
        <v>0.20123456790123465</v>
      </c>
      <c r="N19">
        <f>AVERAGE('15 strains'!D42,'15 strains'!D84,'15 strains'!D105,'15 strains'!D126,'15 strains'!D147,'15 strains'!D168,'15 strains'!D189,'15 strains'!D210,'15 strains'!D231)</f>
        <v>0.22222222222222193</v>
      </c>
      <c r="O19">
        <f>AVERAGE('15 strains'!E42,'15 strains'!E84,'15 strains'!E105,'15 strains'!E126,'15 strains'!E147,'15 strains'!E168,'15 strains'!E189,'15 strains'!E210,'15 strains'!E231)</f>
        <v>0.23827160493827165</v>
      </c>
      <c r="P19">
        <f>AVERAGE('15 strains'!F42,'15 strains'!F84,'15 strains'!F105,'15 strains'!F126,'15 strains'!F147,'15 strains'!F168,'15 strains'!F189,'15 strains'!F210,'15 strains'!F231)</f>
        <v>0.21769547325102889</v>
      </c>
      <c r="Q19">
        <f>STDEV('15 strains'!B42,'15 strains'!B84,'15 strains'!B105,'15 strains'!B126,'15 strains'!B147,'15 strains'!B168,'15 strains'!B189,'15 strains'!B210,'15 strains'!B231)</f>
        <v>1.9490930128206092E-2</v>
      </c>
      <c r="R19">
        <f>STDEV('15 strains'!C42,'15 strains'!C84,'15 strains'!C105,'15 strains'!C126,'15 strains'!C147,'15 strains'!C168,'15 strains'!C189,'15 strains'!C210,'15 strains'!C231)</f>
        <v>2.6189140043948269E-3</v>
      </c>
      <c r="S19">
        <f>STDEV('15 strains'!D42,'15 strains'!D84,'15 strains'!D105,'15 strains'!D126,'15 strains'!D147,'15 strains'!D168,'15 strains'!D189,'15 strains'!D210,'15 strains'!D231)</f>
        <v>5.887846720064156E-17</v>
      </c>
      <c r="T19">
        <f>STDEV('15 strains'!E42,'15 strains'!E84,'15 strains'!E105,'15 strains'!E126,'15 strains'!E147,'15 strains'!E168,'15 strains'!E189,'15 strains'!E210,'15 strains'!E231)</f>
        <v>1.269565666740927E-2</v>
      </c>
      <c r="U19">
        <f>STDEV('15 strains'!F42,'15 strains'!F84,'15 strains'!F105,'15 strains'!F126,'15 strains'!F147,'15 strains'!F168,'15 strains'!F189,'15 strains'!F210,'15 strains'!F231)</f>
        <v>9.402189019585146E-3</v>
      </c>
      <c r="V19">
        <f>AVERAGE('50 strains'!B42,'50 strains'!B63,'50 strains'!B84,'50 strains'!B105,'50 strains'!B126,'50 strains'!B147,'50 strains'!B168,'50 strains'!B189,'50 strains'!B210,'50 strains'!B231)</f>
        <v>0.20466666666666669</v>
      </c>
      <c r="W19">
        <f>AVERAGE('50 strains'!C42,'50 strains'!C63,'50 strains'!C84,'50 strains'!C105,'50 strains'!C126,'50 strains'!C147,'50 strains'!C168,'50 strains'!C189,'50 strains'!C210,'50 strains'!C231)</f>
        <v>0.20299999999999993</v>
      </c>
      <c r="X19">
        <f>AVERAGE('50 strains'!D42,'50 strains'!D63,'50 strains'!D84,'50 strains'!D105,'50 strains'!D126,'50 strains'!D147,'50 strains'!D168,'50 strains'!D189,'50 strains'!D210,'50 strains'!D231)</f>
        <v>0.22222222222222193</v>
      </c>
      <c r="Y19">
        <f>AVERAGE('50 strains'!E42,'50 strains'!E63,'50 strains'!E84,'50 strains'!E105,'50 strains'!E126,'50 strains'!E147,'50 strains'!E168,'50 strains'!E189,'50 strains'!E210,'50 strains'!E231)</f>
        <v>0.24211111111111111</v>
      </c>
      <c r="Z19">
        <f>AVERAGE('50 strains'!F42,'50 strains'!F63,'50 strains'!F84,'50 strains'!F105,'50 strains'!F126,'50 strains'!F147,'50 strains'!F168,'50 strains'!F189,'50 strains'!F210,'50 strains'!F231)</f>
        <v>0.22500000000000014</v>
      </c>
      <c r="AA19">
        <f>STDEV('50 strains'!B42,'50 strains'!B63,'50 strains'!B84,'50 strains'!B105,'50 strains'!B126,'50 strains'!B147,'50 strains'!B168,'50 strains'!B189,'50 strains'!B210,'50 strains'!B231)</f>
        <v>7.4406660763540813E-3</v>
      </c>
      <c r="AB19">
        <f>STDEV('50 strains'!C42,'50 strains'!C63,'50 strains'!C84,'50 strains'!C105,'50 strains'!C126,'50 strains'!C147,'50 strains'!C168,'50 strains'!C189,'50 strains'!C210,'50 strains'!C231)</f>
        <v>2.6215316102498865E-3</v>
      </c>
      <c r="AC19">
        <f>STDEV('50 strains'!D42,'50 strains'!D63,'50 strains'!D84,'50 strains'!D105,'50 strains'!D126,'50 strains'!D147,'50 strains'!D168,'50 strains'!D189,'50 strains'!D210,'50 strains'!D231)</f>
        <v>5.851389114294502E-17</v>
      </c>
      <c r="AD19">
        <f>STDEV('50 strains'!E42,'50 strains'!E63,'50 strains'!E84,'50 strains'!E105,'50 strains'!E126,'50 strains'!E147,'50 strains'!E168,'50 strains'!E189,'50 strains'!E210,'50 strains'!E231)</f>
        <v>5.2234041215747833E-3</v>
      </c>
      <c r="AE19">
        <f>STDEV('50 strains'!F42,'50 strains'!F63,'50 strains'!F84,'50 strains'!F105,'50 strains'!F126,'50 strains'!F147,'50 strains'!F168,'50 strains'!F189,'50 strains'!F210,'50 strains'!F231)</f>
        <v>4.7790695928013717E-3</v>
      </c>
    </row>
    <row r="20" spans="1:31" x14ac:dyDescent="0.2">
      <c r="A20">
        <v>19</v>
      </c>
      <c r="B20">
        <v>0.24688995215310999</v>
      </c>
      <c r="C20">
        <v>0.24449760765550199</v>
      </c>
      <c r="D20">
        <v>0.23684210526315799</v>
      </c>
      <c r="E20">
        <v>0.26096491228070201</v>
      </c>
      <c r="F20">
        <v>0.226223453370268</v>
      </c>
      <c r="G20">
        <v>0</v>
      </c>
      <c r="H20">
        <v>0</v>
      </c>
      <c r="I20">
        <v>0</v>
      </c>
      <c r="J20">
        <v>0</v>
      </c>
      <c r="K20">
        <v>0</v>
      </c>
      <c r="L20">
        <f>AVERAGE('15 strains'!B43,'15 strains'!B85,'15 strains'!B106,'15 strains'!B127,'15 strains'!B148,'15 strains'!B169,'15 strains'!B190,'15 strains'!B211,'15 strains'!B232)</f>
        <v>0.24444444444444446</v>
      </c>
      <c r="M20">
        <f>AVERAGE('15 strains'!C43,'15 strains'!C85,'15 strains'!C106,'15 strains'!C127,'15 strains'!C148,'15 strains'!C169,'15 strains'!C190,'15 strains'!C211,'15 strains'!C232)</f>
        <v>0.24327485380116956</v>
      </c>
      <c r="N20">
        <f>AVERAGE('15 strains'!D43,'15 strains'!D85,'15 strains'!D106,'15 strains'!D127,'15 strains'!D148,'15 strains'!D169,'15 strains'!D190,'15 strains'!D211,'15 strains'!D232)</f>
        <v>0.23684210526315802</v>
      </c>
      <c r="O20">
        <f>AVERAGE('15 strains'!E43,'15 strains'!E85,'15 strains'!E106,'15 strains'!E127,'15 strains'!E148,'15 strains'!E169,'15 strains'!E190,'15 strains'!E211,'15 strains'!E232)</f>
        <v>0.25886939571150092</v>
      </c>
      <c r="P20">
        <f>AVERAGE('15 strains'!F43,'15 strains'!F85,'15 strains'!F106,'15 strains'!F127,'15 strains'!F148,'15 strains'!F169,'15 strains'!F190,'15 strains'!F211,'15 strains'!F232)</f>
        <v>0.22144249512670555</v>
      </c>
      <c r="Q20">
        <f>STDEV('15 strains'!B43,'15 strains'!B85,'15 strains'!B106,'15 strains'!B127,'15 strains'!B148,'15 strains'!B169,'15 strains'!B190,'15 strains'!B211,'15 strains'!B232)</f>
        <v>1.8813693499585237E-2</v>
      </c>
      <c r="R20">
        <f>STDEV('15 strains'!C43,'15 strains'!C85,'15 strains'!C106,'15 strains'!C127,'15 strains'!C148,'15 strains'!C169,'15 strains'!C190,'15 strains'!C211,'15 strains'!C232)</f>
        <v>2.4810764252158005E-3</v>
      </c>
      <c r="S20">
        <f>STDEV('15 strains'!D43,'15 strains'!D85,'15 strains'!D106,'15 strains'!D127,'15 strains'!D148,'15 strains'!D169,'15 strains'!D190,'15 strains'!D211,'15 strains'!D232)</f>
        <v>2.943923360032078E-17</v>
      </c>
      <c r="T20">
        <f>STDEV('15 strains'!E43,'15 strains'!E85,'15 strains'!E106,'15 strains'!E127,'15 strains'!E148,'15 strains'!E169,'15 strains'!E190,'15 strains'!E211,'15 strains'!E232)</f>
        <v>1.7258894226168178E-2</v>
      </c>
      <c r="U20">
        <f>STDEV('15 strains'!F43,'15 strains'!F85,'15 strains'!F106,'15 strains'!F127,'15 strains'!F148,'15 strains'!F169,'15 strains'!F190,'15 strains'!F211,'15 strains'!F232)</f>
        <v>1.1695906432748718E-2</v>
      </c>
      <c r="V20">
        <f>AVERAGE('50 strains'!B43,'50 strains'!B64,'50 strains'!B85,'50 strains'!B106,'50 strains'!B127,'50 strains'!B148,'50 strains'!B169,'50 strains'!B190,'50 strains'!B211,'50 strains'!B232)</f>
        <v>0.24473684210526309</v>
      </c>
      <c r="W20">
        <f>AVERAGE('50 strains'!C43,'50 strains'!C64,'50 strains'!C85,'50 strains'!C106,'50 strains'!C127,'50 strains'!C148,'50 strains'!C169,'50 strains'!C190,'50 strains'!C211,'50 strains'!C232)</f>
        <v>0.2447368421052632</v>
      </c>
      <c r="X20">
        <f>AVERAGE('50 strains'!D43,'50 strains'!D64,'50 strains'!D85,'50 strains'!D106,'50 strains'!D127,'50 strains'!D148,'50 strains'!D169,'50 strains'!D190,'50 strains'!D211,'50 strains'!D232)</f>
        <v>0.23684210526315802</v>
      </c>
      <c r="Y20">
        <f>AVERAGE('50 strains'!E43,'50 strains'!E64,'50 strains'!E85,'50 strains'!E106,'50 strains'!E127,'50 strains'!E148,'50 strains'!E169,'50 strains'!E190,'50 strains'!E211,'50 strains'!E232)</f>
        <v>0.2577894736842104</v>
      </c>
      <c r="Z20">
        <f>AVERAGE('50 strains'!F43,'50 strains'!F64,'50 strains'!F85,'50 strains'!F106,'50 strains'!F127,'50 strains'!F148,'50 strains'!F169,'50 strains'!F190,'50 strains'!F211,'50 strains'!F232)</f>
        <v>0.22831578947368411</v>
      </c>
      <c r="AA20">
        <f>STDEV('50 strains'!B43,'50 strains'!B64,'50 strains'!B85,'50 strains'!B106,'50 strains'!B127,'50 strains'!B148,'50 strains'!B169,'50 strains'!B190,'50 strains'!B211,'50 strains'!B232)</f>
        <v>6.6989063480830417E-3</v>
      </c>
      <c r="AB20">
        <f>STDEV('50 strains'!C43,'50 strains'!C64,'50 strains'!C85,'50 strains'!C106,'50 strains'!C127,'50 strains'!C148,'50 strains'!C169,'50 strains'!C190,'50 strains'!C211,'50 strains'!C232)</f>
        <v>2.3406428182678319E-3</v>
      </c>
      <c r="AC20">
        <f>STDEV('50 strains'!D43,'50 strains'!D64,'50 strains'!D85,'50 strains'!D106,'50 strains'!D127,'50 strains'!D148,'50 strains'!D169,'50 strains'!D190,'50 strains'!D211,'50 strains'!D232)</f>
        <v>2.925694557147251E-17</v>
      </c>
      <c r="AD20">
        <f>STDEV('50 strains'!E43,'50 strains'!E64,'50 strains'!E85,'50 strains'!E106,'50 strains'!E127,'50 strains'!E148,'50 strains'!E169,'50 strains'!E190,'50 strains'!E211,'50 strains'!E232)</f>
        <v>4.1649580984485417E-3</v>
      </c>
      <c r="AE20">
        <f>STDEV('50 strains'!F43,'50 strains'!F64,'50 strains'!F85,'50 strains'!F106,'50 strains'!F127,'50 strains'!F148,'50 strains'!F169,'50 strains'!F190,'50 strains'!F211,'50 strains'!F232)</f>
        <v>5.4232948295522476E-3</v>
      </c>
    </row>
    <row r="21" spans="1:31" x14ac:dyDescent="0.2">
      <c r="A21">
        <v>20</v>
      </c>
      <c r="B21">
        <v>0.25363636363636399</v>
      </c>
      <c r="C21">
        <v>0.23954545454545501</v>
      </c>
      <c r="D21">
        <v>0.25</v>
      </c>
      <c r="E21">
        <v>0.27541666666666698</v>
      </c>
      <c r="F21">
        <v>0.22982456140350899</v>
      </c>
      <c r="G21">
        <v>0</v>
      </c>
      <c r="H21">
        <v>0</v>
      </c>
      <c r="I21">
        <v>0</v>
      </c>
      <c r="J21">
        <v>0</v>
      </c>
      <c r="K21">
        <v>0</v>
      </c>
      <c r="L21">
        <f>AVERAGE('15 strains'!B44,'15 strains'!B86,'15 strains'!B107,'15 strains'!B128,'15 strains'!B149,'15 strains'!B170,'15 strains'!B191,'15 strains'!B212,'15 strains'!B233)</f>
        <v>0.25222222222222235</v>
      </c>
      <c r="M21">
        <f>AVERAGE('15 strains'!C44,'15 strains'!C86,'15 strains'!C107,'15 strains'!C128,'15 strains'!C149,'15 strains'!C170,'15 strains'!C191,'15 strains'!C212,'15 strains'!C233)</f>
        <v>0.23777777777777789</v>
      </c>
      <c r="N21">
        <f>AVERAGE('15 strains'!D44,'15 strains'!D86,'15 strains'!D107,'15 strains'!D128,'15 strains'!D149,'15 strains'!D170,'15 strains'!D191,'15 strains'!D212,'15 strains'!D233)</f>
        <v>0.25</v>
      </c>
      <c r="O21">
        <f>AVERAGE('15 strains'!E44,'15 strains'!E86,'15 strains'!E107,'15 strains'!E128,'15 strains'!E149,'15 strains'!E170,'15 strains'!E191,'15 strains'!E212,'15 strains'!E233)</f>
        <v>0.26888888888888901</v>
      </c>
      <c r="P21">
        <f>AVERAGE('15 strains'!F44,'15 strains'!F86,'15 strains'!F107,'15 strains'!F128,'15 strains'!F149,'15 strains'!F170,'15 strains'!F191,'15 strains'!F212,'15 strains'!F233)</f>
        <v>0.22592592592592586</v>
      </c>
      <c r="Q21">
        <f>STDEV('15 strains'!B44,'15 strains'!B86,'15 strains'!B107,'15 strains'!B128,'15 strains'!B149,'15 strains'!B170,'15 strains'!B191,'15 strains'!B212,'15 strains'!B233)</f>
        <v>2.0344259359556124E-2</v>
      </c>
      <c r="R21">
        <f>STDEV('15 strains'!C44,'15 strains'!C86,'15 strains'!C107,'15 strains'!C128,'15 strains'!C149,'15 strains'!C170,'15 strains'!C191,'15 strains'!C212,'15 strains'!C233)</f>
        <v>6.2360956446233674E-3</v>
      </c>
      <c r="S21">
        <f>STDEV('15 strains'!D44,'15 strains'!D86,'15 strains'!D107,'15 strains'!D128,'15 strains'!D149,'15 strains'!D170,'15 strains'!D191,'15 strains'!D212,'15 strains'!D233)</f>
        <v>0</v>
      </c>
      <c r="T21">
        <f>STDEV('15 strains'!E44,'15 strains'!E86,'15 strains'!E107,'15 strains'!E128,'15 strains'!E149,'15 strains'!E170,'15 strains'!E191,'15 strains'!E212,'15 strains'!E233)</f>
        <v>1.2583057392117954E-2</v>
      </c>
      <c r="U21">
        <f>STDEV('15 strains'!F44,'15 strains'!F86,'15 strains'!F107,'15 strains'!F128,'15 strains'!F149,'15 strains'!F170,'15 strains'!F191,'15 strains'!F212,'15 strains'!F233)</f>
        <v>1.2335335172874714E-2</v>
      </c>
      <c r="V21">
        <f>AVERAGE('50 strains'!B44,'50 strains'!B65,'50 strains'!B86,'50 strains'!B107,'50 strains'!B128,'50 strains'!B149,'50 strains'!B170,'50 strains'!B191,'50 strains'!B212,'50 strains'!B233)</f>
        <v>0.25109999999999999</v>
      </c>
      <c r="W21">
        <f>AVERAGE('50 strains'!C44,'50 strains'!C65,'50 strains'!C86,'50 strains'!C107,'50 strains'!C128,'50 strains'!C149,'50 strains'!C170,'50 strains'!C191,'50 strains'!C212,'50 strains'!C233)</f>
        <v>0.2394</v>
      </c>
      <c r="X21">
        <f>AVERAGE('50 strains'!D44,'50 strains'!D65,'50 strains'!D86,'50 strains'!D107,'50 strains'!D128,'50 strains'!D149,'50 strains'!D170,'50 strains'!D191,'50 strains'!D212,'50 strains'!D233)</f>
        <v>0.25</v>
      </c>
      <c r="Y21">
        <f>AVERAGE('50 strains'!E44,'50 strains'!E65,'50 strains'!E86,'50 strains'!E107,'50 strains'!E128,'50 strains'!E149,'50 strains'!E170,'50 strains'!E191,'50 strains'!E212,'50 strains'!E233)</f>
        <v>0.27100000000000002</v>
      </c>
      <c r="Z21">
        <f>AVERAGE('50 strains'!F44,'50 strains'!F65,'50 strains'!F86,'50 strains'!F107,'50 strains'!F128,'50 strains'!F149,'50 strains'!F170,'50 strains'!F191,'50 strains'!F212,'50 strains'!F233)</f>
        <v>0.23349999999999996</v>
      </c>
      <c r="AA21">
        <f>STDEV('50 strains'!B44,'50 strains'!B65,'50 strains'!B86,'50 strains'!B107,'50 strains'!B128,'50 strains'!B149,'50 strains'!B170,'50 strains'!B191,'50 strains'!B212,'50 strains'!B233)</f>
        <v>5.933895104491751E-3</v>
      </c>
      <c r="AB21">
        <f>STDEV('50 strains'!C44,'50 strains'!C65,'50 strains'!C86,'50 strains'!C107,'50 strains'!C128,'50 strains'!C149,'50 strains'!C170,'50 strains'!C191,'50 strains'!C212,'50 strains'!C233)</f>
        <v>2.1705094128132963E-3</v>
      </c>
      <c r="AC21">
        <f>STDEV('50 strains'!D44,'50 strains'!D65,'50 strains'!D86,'50 strains'!D107,'50 strains'!D128,'50 strains'!D149,'50 strains'!D170,'50 strains'!D191,'50 strains'!D212,'50 strains'!D233)</f>
        <v>0</v>
      </c>
      <c r="AD21">
        <f>STDEV('50 strains'!E44,'50 strains'!E65,'50 strains'!E86,'50 strains'!E107,'50 strains'!E128,'50 strains'!E149,'50 strains'!E170,'50 strains'!E191,'50 strains'!E212,'50 strains'!E233)</f>
        <v>5.3541261347363417E-3</v>
      </c>
      <c r="AE21">
        <f>STDEV('50 strains'!F44,'50 strains'!F65,'50 strains'!F86,'50 strains'!F107,'50 strains'!F128,'50 strains'!F149,'50 strains'!F170,'50 strains'!F191,'50 strains'!F212,'50 strains'!F233)</f>
        <v>5.0607421502296525E-3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F939-FADA-0446-BEEE-F631E79E4AED}">
  <dimension ref="A1:D31"/>
  <sheetViews>
    <sheetView tabSelected="1" workbookViewId="0">
      <selection activeCell="C22" sqref="C22:C31"/>
    </sheetView>
  </sheetViews>
  <sheetFormatPr baseColWidth="10" defaultRowHeight="16" x14ac:dyDescent="0.2"/>
  <sheetData>
    <row r="1" spans="1:4" x14ac:dyDescent="0.2">
      <c r="A1" t="s">
        <v>41</v>
      </c>
      <c r="B1" t="s">
        <v>42</v>
      </c>
      <c r="C1" t="s">
        <v>49</v>
      </c>
      <c r="D1" t="s">
        <v>50</v>
      </c>
    </row>
    <row r="2" spans="1:4" x14ac:dyDescent="0.2">
      <c r="A2" t="s">
        <v>16</v>
      </c>
      <c r="B2" t="s">
        <v>43</v>
      </c>
      <c r="C2" t="s">
        <v>57</v>
      </c>
      <c r="D2" t="s">
        <v>48</v>
      </c>
    </row>
    <row r="3" spans="1:4" x14ac:dyDescent="0.2">
      <c r="A3" t="s">
        <v>17</v>
      </c>
      <c r="B3" t="s">
        <v>44</v>
      </c>
      <c r="C3" t="s">
        <v>57</v>
      </c>
      <c r="D3" t="s">
        <v>48</v>
      </c>
    </row>
    <row r="4" spans="1:4" x14ac:dyDescent="0.2">
      <c r="A4" t="s">
        <v>18</v>
      </c>
      <c r="B4" t="s">
        <v>2</v>
      </c>
      <c r="C4" t="s">
        <v>57</v>
      </c>
      <c r="D4" t="s">
        <v>48</v>
      </c>
    </row>
    <row r="5" spans="1:4" x14ac:dyDescent="0.2">
      <c r="A5" t="s">
        <v>19</v>
      </c>
      <c r="B5" t="s">
        <v>45</v>
      </c>
      <c r="C5" t="s">
        <v>57</v>
      </c>
      <c r="D5" t="s">
        <v>48</v>
      </c>
    </row>
    <row r="6" spans="1:4" x14ac:dyDescent="0.2">
      <c r="A6" t="s">
        <v>20</v>
      </c>
      <c r="B6" t="s">
        <v>46</v>
      </c>
      <c r="C6" t="s">
        <v>57</v>
      </c>
      <c r="D6" t="s">
        <v>48</v>
      </c>
    </row>
    <row r="7" spans="1:4" x14ac:dyDescent="0.2">
      <c r="A7" t="s">
        <v>56</v>
      </c>
      <c r="B7" t="s">
        <v>43</v>
      </c>
      <c r="C7" t="s">
        <v>57</v>
      </c>
      <c r="D7" t="s">
        <v>47</v>
      </c>
    </row>
    <row r="8" spans="1:4" x14ac:dyDescent="0.2">
      <c r="A8" t="s">
        <v>52</v>
      </c>
      <c r="B8" t="s">
        <v>44</v>
      </c>
      <c r="C8" t="s">
        <v>57</v>
      </c>
      <c r="D8" t="s">
        <v>47</v>
      </c>
    </row>
    <row r="9" spans="1:4" x14ac:dyDescent="0.2">
      <c r="A9" t="s">
        <v>53</v>
      </c>
      <c r="B9" t="s">
        <v>2</v>
      </c>
      <c r="C9" t="s">
        <v>57</v>
      </c>
      <c r="D9" t="s">
        <v>47</v>
      </c>
    </row>
    <row r="10" spans="1:4" x14ac:dyDescent="0.2">
      <c r="A10" t="s">
        <v>54</v>
      </c>
      <c r="B10" t="s">
        <v>45</v>
      </c>
      <c r="C10" t="s">
        <v>57</v>
      </c>
      <c r="D10" t="s">
        <v>47</v>
      </c>
    </row>
    <row r="11" spans="1:4" x14ac:dyDescent="0.2">
      <c r="A11" t="s">
        <v>55</v>
      </c>
      <c r="B11" t="s">
        <v>46</v>
      </c>
      <c r="C11" t="s">
        <v>57</v>
      </c>
      <c r="D11" t="s">
        <v>47</v>
      </c>
    </row>
    <row r="12" spans="1:4" x14ac:dyDescent="0.2">
      <c r="A12" t="s">
        <v>21</v>
      </c>
      <c r="B12" t="s">
        <v>43</v>
      </c>
      <c r="C12" t="s">
        <v>58</v>
      </c>
      <c r="D12" t="s">
        <v>48</v>
      </c>
    </row>
    <row r="13" spans="1:4" x14ac:dyDescent="0.2">
      <c r="A13" t="s">
        <v>22</v>
      </c>
      <c r="B13" t="s">
        <v>44</v>
      </c>
      <c r="C13" t="s">
        <v>58</v>
      </c>
      <c r="D13" t="s">
        <v>48</v>
      </c>
    </row>
    <row r="14" spans="1:4" x14ac:dyDescent="0.2">
      <c r="A14" t="s">
        <v>23</v>
      </c>
      <c r="B14" t="s">
        <v>2</v>
      </c>
      <c r="C14" t="s">
        <v>58</v>
      </c>
      <c r="D14" t="s">
        <v>48</v>
      </c>
    </row>
    <row r="15" spans="1:4" x14ac:dyDescent="0.2">
      <c r="A15" t="s">
        <v>24</v>
      </c>
      <c r="B15" t="s">
        <v>45</v>
      </c>
      <c r="C15" t="s">
        <v>58</v>
      </c>
      <c r="D15" t="s">
        <v>48</v>
      </c>
    </row>
    <row r="16" spans="1:4" x14ac:dyDescent="0.2">
      <c r="A16" t="s">
        <v>25</v>
      </c>
      <c r="B16" t="s">
        <v>46</v>
      </c>
      <c r="C16" t="s">
        <v>58</v>
      </c>
      <c r="D16" t="s">
        <v>48</v>
      </c>
    </row>
    <row r="17" spans="1:4" x14ac:dyDescent="0.2">
      <c r="A17" t="s">
        <v>26</v>
      </c>
      <c r="B17" t="s">
        <v>43</v>
      </c>
      <c r="C17" t="s">
        <v>58</v>
      </c>
      <c r="D17" t="s">
        <v>47</v>
      </c>
    </row>
    <row r="18" spans="1:4" x14ac:dyDescent="0.2">
      <c r="A18" t="s">
        <v>27</v>
      </c>
      <c r="B18" t="s">
        <v>44</v>
      </c>
      <c r="C18" t="s">
        <v>58</v>
      </c>
      <c r="D18" t="s">
        <v>47</v>
      </c>
    </row>
    <row r="19" spans="1:4" x14ac:dyDescent="0.2">
      <c r="A19" t="s">
        <v>28</v>
      </c>
      <c r="B19" t="s">
        <v>2</v>
      </c>
      <c r="C19" t="s">
        <v>58</v>
      </c>
      <c r="D19" t="s">
        <v>47</v>
      </c>
    </row>
    <row r="20" spans="1:4" x14ac:dyDescent="0.2">
      <c r="A20" t="s">
        <v>30</v>
      </c>
      <c r="B20" t="s">
        <v>45</v>
      </c>
      <c r="C20" t="s">
        <v>58</v>
      </c>
      <c r="D20" t="s">
        <v>47</v>
      </c>
    </row>
    <row r="21" spans="1:4" x14ac:dyDescent="0.2">
      <c r="A21" t="s">
        <v>29</v>
      </c>
      <c r="B21" t="s">
        <v>46</v>
      </c>
      <c r="C21" t="s">
        <v>58</v>
      </c>
      <c r="D21" t="s">
        <v>47</v>
      </c>
    </row>
    <row r="22" spans="1:4" x14ac:dyDescent="0.2">
      <c r="A22" t="s">
        <v>31</v>
      </c>
      <c r="B22" t="s">
        <v>43</v>
      </c>
      <c r="C22" t="s">
        <v>59</v>
      </c>
      <c r="D22" t="s">
        <v>48</v>
      </c>
    </row>
    <row r="23" spans="1:4" x14ac:dyDescent="0.2">
      <c r="A23" t="s">
        <v>32</v>
      </c>
      <c r="B23" t="s">
        <v>44</v>
      </c>
      <c r="C23" t="s">
        <v>59</v>
      </c>
      <c r="D23" t="s">
        <v>48</v>
      </c>
    </row>
    <row r="24" spans="1:4" x14ac:dyDescent="0.2">
      <c r="A24" t="s">
        <v>33</v>
      </c>
      <c r="B24" t="s">
        <v>2</v>
      </c>
      <c r="C24" t="s">
        <v>59</v>
      </c>
      <c r="D24" t="s">
        <v>48</v>
      </c>
    </row>
    <row r="25" spans="1:4" x14ac:dyDescent="0.2">
      <c r="A25" t="s">
        <v>34</v>
      </c>
      <c r="B25" t="s">
        <v>45</v>
      </c>
      <c r="C25" t="s">
        <v>59</v>
      </c>
      <c r="D25" t="s">
        <v>48</v>
      </c>
    </row>
    <row r="26" spans="1:4" x14ac:dyDescent="0.2">
      <c r="A26" t="s">
        <v>35</v>
      </c>
      <c r="B26" t="s">
        <v>46</v>
      </c>
      <c r="C26" t="s">
        <v>59</v>
      </c>
      <c r="D26" t="s">
        <v>48</v>
      </c>
    </row>
    <row r="27" spans="1:4" x14ac:dyDescent="0.2">
      <c r="A27" t="s">
        <v>36</v>
      </c>
      <c r="B27" t="s">
        <v>43</v>
      </c>
      <c r="C27" t="s">
        <v>59</v>
      </c>
      <c r="D27" t="s">
        <v>47</v>
      </c>
    </row>
    <row r="28" spans="1:4" x14ac:dyDescent="0.2">
      <c r="A28" t="s">
        <v>37</v>
      </c>
      <c r="B28" t="s">
        <v>44</v>
      </c>
      <c r="C28" t="s">
        <v>59</v>
      </c>
      <c r="D28" t="s">
        <v>47</v>
      </c>
    </row>
    <row r="29" spans="1:4" x14ac:dyDescent="0.2">
      <c r="A29" t="s">
        <v>38</v>
      </c>
      <c r="B29" t="s">
        <v>2</v>
      </c>
      <c r="C29" t="s">
        <v>59</v>
      </c>
      <c r="D29" t="s">
        <v>47</v>
      </c>
    </row>
    <row r="30" spans="1:4" x14ac:dyDescent="0.2">
      <c r="A30" t="s">
        <v>39</v>
      </c>
      <c r="B30" t="s">
        <v>45</v>
      </c>
      <c r="C30" t="s">
        <v>59</v>
      </c>
      <c r="D30" t="s">
        <v>47</v>
      </c>
    </row>
    <row r="31" spans="1:4" x14ac:dyDescent="0.2">
      <c r="A31" t="s">
        <v>40</v>
      </c>
      <c r="B31" t="s">
        <v>46</v>
      </c>
      <c r="C31" t="s">
        <v>59</v>
      </c>
      <c r="D3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69FD-A364-BB4D-A9D7-8A9BE343368D}">
  <dimension ref="A1:L233"/>
  <sheetViews>
    <sheetView topLeftCell="E1" zoomScale="93" workbookViewId="0">
      <selection activeCell="M23" sqref="M23"/>
    </sheetView>
  </sheetViews>
  <sheetFormatPr baseColWidth="10" defaultRowHeight="16" x14ac:dyDescent="0.2"/>
  <sheetData>
    <row r="1" spans="1:12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"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B4">
        <v>0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B5">
        <v>0</v>
      </c>
      <c r="C5">
        <v>0</v>
      </c>
      <c r="D5">
        <v>0</v>
      </c>
      <c r="E5">
        <v>0</v>
      </c>
      <c r="F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B6">
        <v>1.33333333333333E-3</v>
      </c>
      <c r="C6">
        <v>0</v>
      </c>
      <c r="D6">
        <v>0</v>
      </c>
      <c r="E6">
        <v>1.2E-2</v>
      </c>
      <c r="F6">
        <v>2.5333333333333301E-2</v>
      </c>
      <c r="H6">
        <v>4.2163702135578403E-3</v>
      </c>
      <c r="I6">
        <v>0</v>
      </c>
      <c r="J6">
        <v>0</v>
      </c>
      <c r="K6">
        <v>1.7155785836105601E-2</v>
      </c>
      <c r="L6">
        <v>2.03184523567333E-2</v>
      </c>
    </row>
    <row r="7" spans="1:12" x14ac:dyDescent="0.2">
      <c r="B7">
        <v>6.1111111111111102E-2</v>
      </c>
      <c r="C7">
        <v>0</v>
      </c>
      <c r="D7">
        <v>0</v>
      </c>
      <c r="E7">
        <v>7.2222222222222202E-2</v>
      </c>
      <c r="F7">
        <v>7.1111111111111097E-2</v>
      </c>
      <c r="H7">
        <v>1.8332398030762299E-2</v>
      </c>
      <c r="I7">
        <v>0</v>
      </c>
      <c r="J7">
        <v>0</v>
      </c>
      <c r="K7">
        <v>1.5930231976004901E-2</v>
      </c>
      <c r="L7">
        <v>1.9029974190615001E-2</v>
      </c>
    </row>
    <row r="8" spans="1:12" x14ac:dyDescent="0.2">
      <c r="B8">
        <v>0.1</v>
      </c>
      <c r="C8">
        <v>0</v>
      </c>
      <c r="D8">
        <v>0</v>
      </c>
      <c r="E8">
        <v>9.5238095238095302E-2</v>
      </c>
      <c r="F8">
        <v>6.8571428571428603E-2</v>
      </c>
      <c r="H8">
        <v>2.8127055788364001E-2</v>
      </c>
      <c r="I8">
        <v>0</v>
      </c>
      <c r="J8">
        <v>0</v>
      </c>
      <c r="K8">
        <v>2.0573779994945599E-2</v>
      </c>
      <c r="L8">
        <v>1.8941503352604801E-2</v>
      </c>
    </row>
    <row r="9" spans="1:12" x14ac:dyDescent="0.2">
      <c r="B9">
        <v>0.11083333333333301</v>
      </c>
      <c r="C9">
        <v>0.125</v>
      </c>
      <c r="D9">
        <v>8.5833333333333303E-2</v>
      </c>
      <c r="E9">
        <v>0.123333333333333</v>
      </c>
      <c r="F9">
        <v>0.13166666666666699</v>
      </c>
      <c r="H9">
        <v>1.8860272440853299E-2</v>
      </c>
      <c r="I9">
        <v>0</v>
      </c>
      <c r="J9">
        <v>1.47248425341095E-2</v>
      </c>
      <c r="K9">
        <v>5.2704627669473E-3</v>
      </c>
      <c r="L9">
        <v>1.83417489102435E-2</v>
      </c>
    </row>
    <row r="10" spans="1:12" x14ac:dyDescent="0.2">
      <c r="B10">
        <v>0.11407407407407399</v>
      </c>
      <c r="C10">
        <v>0.11111111111111099</v>
      </c>
      <c r="D10">
        <v>0.11111111111111099</v>
      </c>
      <c r="E10">
        <v>0.16740740740740701</v>
      </c>
      <c r="F10">
        <v>0.15777777777777799</v>
      </c>
      <c r="H10">
        <v>2.42428399182886E-2</v>
      </c>
      <c r="I10" s="1">
        <v>2.9256945571472498E-17</v>
      </c>
      <c r="J10" s="1">
        <v>2.9256945571472498E-17</v>
      </c>
      <c r="K10">
        <v>1.6077847502320702E-2</v>
      </c>
      <c r="L10">
        <v>1.8493810677604E-2</v>
      </c>
    </row>
    <row r="11" spans="1:12" x14ac:dyDescent="0.2">
      <c r="B11">
        <v>0.107333333333333</v>
      </c>
      <c r="C11">
        <v>0.1</v>
      </c>
      <c r="D11">
        <v>0.1</v>
      </c>
      <c r="E11">
        <v>0.16266666666666699</v>
      </c>
      <c r="F11">
        <v>0.17533333333333301</v>
      </c>
      <c r="H11">
        <v>2.16481402274801E-2</v>
      </c>
      <c r="I11" s="1">
        <v>1.4628472785736301E-17</v>
      </c>
      <c r="J11" s="1">
        <v>1.4628472785736301E-17</v>
      </c>
      <c r="K11">
        <v>1.7554149029450201E-2</v>
      </c>
      <c r="L11">
        <v>1.47572957474524E-2</v>
      </c>
    </row>
    <row r="12" spans="1:12" x14ac:dyDescent="0.2">
      <c r="B12">
        <v>0.1</v>
      </c>
      <c r="C12">
        <v>0.18121212121212099</v>
      </c>
      <c r="D12">
        <v>0.16484848484848499</v>
      </c>
      <c r="E12">
        <v>0.178787878787879</v>
      </c>
      <c r="F12">
        <v>0.18181818181818199</v>
      </c>
      <c r="H12">
        <v>2.1043097632322899E-2</v>
      </c>
      <c r="I12">
        <v>1.9165319152535699E-3</v>
      </c>
      <c r="J12">
        <v>1.0221503548019E-2</v>
      </c>
      <c r="K12">
        <v>6.5462027256645103E-3</v>
      </c>
      <c r="L12">
        <v>1.45678839412686E-2</v>
      </c>
    </row>
    <row r="13" spans="1:12" x14ac:dyDescent="0.2">
      <c r="B13">
        <v>0.163888888888889</v>
      </c>
      <c r="C13">
        <v>0.16666666666666699</v>
      </c>
      <c r="D13">
        <v>0.16277777777777799</v>
      </c>
      <c r="E13">
        <v>0.206666666666667</v>
      </c>
      <c r="F13">
        <v>0.194444444444444</v>
      </c>
      <c r="H13">
        <v>2.0992192682879E-2</v>
      </c>
      <c r="I13" s="1">
        <v>2.9256945571472498E-17</v>
      </c>
      <c r="J13">
        <v>7.4305194991625498E-3</v>
      </c>
      <c r="K13">
        <v>1.35577816427579E-2</v>
      </c>
      <c r="L13">
        <v>9.4426287288755205E-3</v>
      </c>
    </row>
    <row r="14" spans="1:12" x14ac:dyDescent="0.2">
      <c r="B14">
        <v>0.16358974358974401</v>
      </c>
      <c r="C14">
        <v>0.15384615384615399</v>
      </c>
      <c r="D14">
        <v>0.15384615384615399</v>
      </c>
      <c r="E14">
        <v>0.20564102564102599</v>
      </c>
      <c r="F14">
        <v>0.19435897435897401</v>
      </c>
      <c r="H14">
        <v>2.11372204371277E-2</v>
      </c>
      <c r="I14" s="1">
        <v>2.9256945571472498E-17</v>
      </c>
      <c r="J14" s="1">
        <v>2.9256945571472498E-17</v>
      </c>
      <c r="K14">
        <v>1.55640063454223E-2</v>
      </c>
      <c r="L14">
        <v>7.8147893679743393E-3</v>
      </c>
    </row>
    <row r="15" spans="1:12" x14ac:dyDescent="0.2">
      <c r="B15">
        <v>0.180952380952381</v>
      </c>
      <c r="C15">
        <v>0.14285714285714299</v>
      </c>
      <c r="D15">
        <v>0.14285714285714299</v>
      </c>
      <c r="E15">
        <v>0.20333333333333301</v>
      </c>
      <c r="F15">
        <v>0.19571428571428601</v>
      </c>
      <c r="H15">
        <v>1.6647759494764301E-2</v>
      </c>
      <c r="I15" s="1">
        <v>2.9256945571472498E-17</v>
      </c>
      <c r="J15" s="1">
        <v>2.9256945571472498E-17</v>
      </c>
      <c r="K15">
        <v>2.1653726003536499E-2</v>
      </c>
      <c r="L15">
        <v>8.23257300310473E-3</v>
      </c>
    </row>
    <row r="16" spans="1:12" x14ac:dyDescent="0.2">
      <c r="B16">
        <v>0.178666666666667</v>
      </c>
      <c r="C16">
        <v>0.2</v>
      </c>
      <c r="D16">
        <v>0.19422222222222199</v>
      </c>
      <c r="E16">
        <v>0.21911111111111101</v>
      </c>
      <c r="F16">
        <v>0.19822222222222199</v>
      </c>
      <c r="H16">
        <v>2.1550336647073402E-2</v>
      </c>
      <c r="I16" s="1">
        <v>2.9256945571472498E-17</v>
      </c>
      <c r="J16">
        <v>7.04288256237317E-3</v>
      </c>
      <c r="K16">
        <v>1.8978003294696202E-2</v>
      </c>
      <c r="L16">
        <v>1.0517475169954899E-2</v>
      </c>
    </row>
    <row r="17" spans="1:12" x14ac:dyDescent="0.2">
      <c r="B17">
        <v>0.22666666666666699</v>
      </c>
      <c r="C17">
        <v>0.1875</v>
      </c>
      <c r="D17">
        <v>0.1875</v>
      </c>
      <c r="E17">
        <v>0.23041666666666699</v>
      </c>
      <c r="F17">
        <v>0.205416666666667</v>
      </c>
      <c r="H17">
        <v>1.9164653678511501E-2</v>
      </c>
      <c r="I17">
        <v>0</v>
      </c>
      <c r="J17">
        <v>0</v>
      </c>
      <c r="K17">
        <v>1.7463586454444301E-2</v>
      </c>
      <c r="L17">
        <v>9.6325227135553894E-3</v>
      </c>
    </row>
    <row r="18" spans="1:12" x14ac:dyDescent="0.2">
      <c r="B18">
        <v>0.216470588235294</v>
      </c>
      <c r="C18">
        <v>0.17647058823529399</v>
      </c>
      <c r="D18">
        <v>0.20588235294117599</v>
      </c>
      <c r="E18">
        <v>0.233725490196078</v>
      </c>
      <c r="F18">
        <v>0.21568627450980399</v>
      </c>
      <c r="H18">
        <v>1.80940721286257E-2</v>
      </c>
      <c r="I18" s="1">
        <v>2.9256945571472498E-17</v>
      </c>
      <c r="J18">
        <v>0</v>
      </c>
      <c r="K18">
        <v>2.1174856712487901E-2</v>
      </c>
      <c r="L18">
        <v>6.6653849850886104E-3</v>
      </c>
    </row>
    <row r="19" spans="1:12" x14ac:dyDescent="0.2">
      <c r="B19">
        <v>0.206666666666667</v>
      </c>
      <c r="C19">
        <v>0.201851851851852</v>
      </c>
      <c r="D19">
        <v>0.22222222222222199</v>
      </c>
      <c r="E19">
        <v>0.23925925925925901</v>
      </c>
      <c r="F19">
        <v>0.21740740740740699</v>
      </c>
      <c r="H19">
        <v>1.8378068213262599E-2</v>
      </c>
      <c r="I19">
        <v>3.14754290962518E-3</v>
      </c>
      <c r="J19" s="1">
        <v>5.8513891142944996E-17</v>
      </c>
      <c r="K19">
        <v>1.2370345728272E-2</v>
      </c>
      <c r="L19">
        <v>8.9111518185770802E-3</v>
      </c>
    </row>
    <row r="20" spans="1:12" x14ac:dyDescent="0.2">
      <c r="B20">
        <v>0.244912280701754</v>
      </c>
      <c r="C20">
        <v>0.243859649122807</v>
      </c>
      <c r="D20">
        <v>0.23684210526315799</v>
      </c>
      <c r="E20">
        <v>0.25894736842105298</v>
      </c>
      <c r="F20">
        <v>0.22070175438596501</v>
      </c>
      <c r="H20">
        <v>1.77993098290029E-2</v>
      </c>
      <c r="I20">
        <v>2.9818827564870101E-3</v>
      </c>
      <c r="J20">
        <v>0</v>
      </c>
      <c r="K20">
        <v>1.62737095961881E-2</v>
      </c>
      <c r="L20">
        <v>1.12730580210727E-2</v>
      </c>
    </row>
    <row r="21" spans="1:12" x14ac:dyDescent="0.2">
      <c r="B21">
        <v>0.25333333333333302</v>
      </c>
      <c r="C21">
        <v>0.23799999999999999</v>
      </c>
      <c r="D21">
        <v>0.25</v>
      </c>
      <c r="E21">
        <v>0.26900000000000002</v>
      </c>
      <c r="F21">
        <v>0.225333333333333</v>
      </c>
      <c r="H21">
        <v>1.9499920860871399E-2</v>
      </c>
      <c r="I21">
        <v>5.9212944864329899E-3</v>
      </c>
      <c r="J21">
        <v>0</v>
      </c>
      <c r="K21">
        <v>1.1868622393979201E-2</v>
      </c>
      <c r="L21">
        <v>1.17798740272876E-2</v>
      </c>
    </row>
    <row r="25" spans="1:12" x14ac:dyDescent="0.2">
      <c r="A25" t="s">
        <v>6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12" x14ac:dyDescent="0.2">
      <c r="B26">
        <v>0</v>
      </c>
      <c r="C26">
        <v>0</v>
      </c>
      <c r="D26">
        <v>0</v>
      </c>
      <c r="E26">
        <v>0</v>
      </c>
      <c r="F26">
        <v>0</v>
      </c>
    </row>
    <row r="27" spans="1:12" x14ac:dyDescent="0.2">
      <c r="B27">
        <v>0</v>
      </c>
      <c r="C27">
        <v>0</v>
      </c>
      <c r="D27">
        <v>0</v>
      </c>
      <c r="E27">
        <v>0</v>
      </c>
      <c r="F27">
        <v>0</v>
      </c>
    </row>
    <row r="28" spans="1:12" x14ac:dyDescent="0.2">
      <c r="B28">
        <v>0</v>
      </c>
      <c r="C28">
        <v>0</v>
      </c>
      <c r="D28">
        <v>0</v>
      </c>
      <c r="E28">
        <v>0</v>
      </c>
      <c r="F28">
        <v>0</v>
      </c>
    </row>
    <row r="29" spans="1:12" x14ac:dyDescent="0.2">
      <c r="B29">
        <v>0</v>
      </c>
      <c r="C29">
        <v>0</v>
      </c>
      <c r="D29">
        <v>0</v>
      </c>
      <c r="E29">
        <v>0</v>
      </c>
      <c r="F29">
        <v>0.04</v>
      </c>
    </row>
    <row r="30" spans="1:12" x14ac:dyDescent="0.2">
      <c r="B30">
        <v>6.6666666666666693E-2</v>
      </c>
      <c r="C30">
        <v>0</v>
      </c>
      <c r="D30">
        <v>0</v>
      </c>
      <c r="E30">
        <v>7.7777777777777807E-2</v>
      </c>
      <c r="F30">
        <v>7.7777777777777807E-2</v>
      </c>
    </row>
    <row r="31" spans="1:12" x14ac:dyDescent="0.2">
      <c r="B31">
        <v>0.114285714285714</v>
      </c>
      <c r="C31">
        <v>0</v>
      </c>
      <c r="D31">
        <v>0</v>
      </c>
      <c r="E31">
        <v>0.12380952380952399</v>
      </c>
      <c r="F31">
        <v>7.6190476190476197E-2</v>
      </c>
    </row>
    <row r="32" spans="1:12" x14ac:dyDescent="0.2">
      <c r="B32">
        <v>0.125</v>
      </c>
      <c r="C32">
        <v>0.125</v>
      </c>
      <c r="D32">
        <v>9.1666666666666702E-2</v>
      </c>
      <c r="E32">
        <v>0.125</v>
      </c>
      <c r="F32">
        <v>0.125</v>
      </c>
    </row>
    <row r="33" spans="1:6" x14ac:dyDescent="0.2">
      <c r="B33">
        <v>0.125925925925926</v>
      </c>
      <c r="C33">
        <v>0.11111111111111099</v>
      </c>
      <c r="D33">
        <v>0.11111111111111099</v>
      </c>
      <c r="E33">
        <v>0.18518518518518501</v>
      </c>
      <c r="F33">
        <v>0.148148148148148</v>
      </c>
    </row>
    <row r="34" spans="1:6" x14ac:dyDescent="0.2">
      <c r="B34">
        <v>0.12666666666666701</v>
      </c>
      <c r="C34">
        <v>0.1</v>
      </c>
      <c r="D34">
        <v>0.1</v>
      </c>
      <c r="E34">
        <v>0.18</v>
      </c>
      <c r="F34">
        <v>0.16666666666666699</v>
      </c>
    </row>
    <row r="35" spans="1:6" x14ac:dyDescent="0.2">
      <c r="B35">
        <v>0.115151515151515</v>
      </c>
      <c r="C35">
        <v>0.18181818181818199</v>
      </c>
      <c r="D35">
        <v>0.16969696969697001</v>
      </c>
      <c r="E35">
        <v>0.18181818181818199</v>
      </c>
      <c r="F35">
        <v>0.175757575757576</v>
      </c>
    </row>
    <row r="36" spans="1:6" x14ac:dyDescent="0.2">
      <c r="B36">
        <v>0.17777777777777801</v>
      </c>
      <c r="C36">
        <v>0.16666666666666699</v>
      </c>
      <c r="D36">
        <v>0.16666666666666699</v>
      </c>
      <c r="E36">
        <v>0.211111111111111</v>
      </c>
      <c r="F36">
        <v>0.18333333333333299</v>
      </c>
    </row>
    <row r="37" spans="1:6" x14ac:dyDescent="0.2">
      <c r="B37">
        <v>0.17948717948717899</v>
      </c>
      <c r="C37">
        <v>0.15384615384615399</v>
      </c>
      <c r="D37">
        <v>0.15384615384615399</v>
      </c>
      <c r="E37">
        <v>0.20512820512820501</v>
      </c>
      <c r="F37">
        <v>0.18461538461538499</v>
      </c>
    </row>
    <row r="38" spans="1:6" x14ac:dyDescent="0.2">
      <c r="B38">
        <v>0.19523809523809499</v>
      </c>
      <c r="C38">
        <v>0.14285714285714299</v>
      </c>
      <c r="D38">
        <v>0.14285714285714299</v>
      </c>
      <c r="E38">
        <v>0.2</v>
      </c>
      <c r="F38">
        <v>0.19523809523809499</v>
      </c>
    </row>
    <row r="39" spans="1:6" x14ac:dyDescent="0.2">
      <c r="B39">
        <v>0.19555555555555601</v>
      </c>
      <c r="C39">
        <v>0.2</v>
      </c>
      <c r="D39">
        <v>0.18888888888888899</v>
      </c>
      <c r="E39">
        <v>0.21333333333333299</v>
      </c>
      <c r="F39">
        <v>0.19555555555555601</v>
      </c>
    </row>
    <row r="40" spans="1:6" x14ac:dyDescent="0.2">
      <c r="B40">
        <v>0.23749999999999999</v>
      </c>
      <c r="C40">
        <v>0.1875</v>
      </c>
      <c r="D40">
        <v>0.1875</v>
      </c>
      <c r="E40">
        <v>0.22500000000000001</v>
      </c>
      <c r="F40">
        <v>0.195833333333333</v>
      </c>
    </row>
    <row r="41" spans="1:6" x14ac:dyDescent="0.2">
      <c r="B41">
        <v>0.227450980392157</v>
      </c>
      <c r="C41">
        <v>0.17647058823529399</v>
      </c>
      <c r="D41">
        <v>0.20588235294117599</v>
      </c>
      <c r="E41">
        <v>0.23137254901960799</v>
      </c>
      <c r="F41">
        <v>0.21176470588235299</v>
      </c>
    </row>
    <row r="42" spans="1:6" x14ac:dyDescent="0.2">
      <c r="B42">
        <v>0.22222222222222199</v>
      </c>
      <c r="C42">
        <v>0.196296296296296</v>
      </c>
      <c r="D42">
        <v>0.22222222222222199</v>
      </c>
      <c r="E42">
        <v>0.240740740740741</v>
      </c>
      <c r="F42">
        <v>0.211111111111111</v>
      </c>
    </row>
    <row r="43" spans="1:6" x14ac:dyDescent="0.2">
      <c r="B43">
        <v>0.256140350877193</v>
      </c>
      <c r="C43">
        <v>0.23859649122807</v>
      </c>
      <c r="D43">
        <v>0.23684210526315799</v>
      </c>
      <c r="E43">
        <v>0.249122807017544</v>
      </c>
      <c r="F43">
        <v>0.21754385964912301</v>
      </c>
    </row>
    <row r="44" spans="1:6" x14ac:dyDescent="0.2">
      <c r="B44">
        <v>0.26333333333333298</v>
      </c>
      <c r="C44">
        <v>0.23</v>
      </c>
      <c r="D44">
        <v>0.25</v>
      </c>
      <c r="E44">
        <v>0.25666666666666699</v>
      </c>
      <c r="F44">
        <v>0.22</v>
      </c>
    </row>
    <row r="46" spans="1:6" x14ac:dyDescent="0.2">
      <c r="A46" t="s">
        <v>7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B48">
        <v>0</v>
      </c>
      <c r="C48">
        <v>0</v>
      </c>
      <c r="D48">
        <v>0</v>
      </c>
      <c r="E48">
        <v>0</v>
      </c>
      <c r="F48">
        <v>0</v>
      </c>
    </row>
    <row r="49" spans="2:6" x14ac:dyDescent="0.2">
      <c r="B49">
        <v>0</v>
      </c>
      <c r="C49">
        <v>0</v>
      </c>
      <c r="D49">
        <v>0</v>
      </c>
      <c r="E49">
        <v>0</v>
      </c>
      <c r="F49">
        <v>0</v>
      </c>
    </row>
    <row r="50" spans="2:6" x14ac:dyDescent="0.2">
      <c r="B50">
        <v>0</v>
      </c>
      <c r="C50">
        <v>0</v>
      </c>
      <c r="D50">
        <v>0</v>
      </c>
      <c r="E50">
        <v>2.66666666666667E-2</v>
      </c>
      <c r="F50">
        <v>1.3333333333333299E-2</v>
      </c>
    </row>
    <row r="51" spans="2:6" x14ac:dyDescent="0.2">
      <c r="B51">
        <v>8.8888888888888906E-2</v>
      </c>
      <c r="C51">
        <v>0</v>
      </c>
      <c r="D51">
        <v>0</v>
      </c>
      <c r="E51">
        <v>7.7777777777777807E-2</v>
      </c>
      <c r="F51">
        <v>6.6666666666666693E-2</v>
      </c>
    </row>
    <row r="52" spans="2:6" x14ac:dyDescent="0.2">
      <c r="B52">
        <v>0.114285714285714</v>
      </c>
      <c r="C52">
        <v>0</v>
      </c>
      <c r="D52">
        <v>0</v>
      </c>
      <c r="E52">
        <v>0.104761904761905</v>
      </c>
      <c r="F52">
        <v>6.6666666666666693E-2</v>
      </c>
    </row>
    <row r="53" spans="2:6" x14ac:dyDescent="0.2">
      <c r="B53">
        <v>0.108333333333333</v>
      </c>
      <c r="C53">
        <v>0.125</v>
      </c>
      <c r="D53">
        <v>0.1</v>
      </c>
      <c r="E53">
        <v>0.125</v>
      </c>
      <c r="F53">
        <v>0.133333333333333</v>
      </c>
    </row>
    <row r="54" spans="2:6" x14ac:dyDescent="0.2">
      <c r="B54">
        <v>0.11851851851851899</v>
      </c>
      <c r="C54">
        <v>0.11111111111111099</v>
      </c>
      <c r="D54">
        <v>0.11111111111111099</v>
      </c>
      <c r="E54">
        <v>0.17777777777777801</v>
      </c>
      <c r="F54">
        <v>0.155555555555556</v>
      </c>
    </row>
    <row r="55" spans="2:6" x14ac:dyDescent="0.2">
      <c r="B55">
        <v>0.10666666666666701</v>
      </c>
      <c r="C55">
        <v>0.1</v>
      </c>
      <c r="D55">
        <v>0.1</v>
      </c>
      <c r="E55">
        <v>0.17333333333333301</v>
      </c>
      <c r="F55">
        <v>0.16</v>
      </c>
    </row>
    <row r="56" spans="2:6" x14ac:dyDescent="0.2">
      <c r="B56">
        <v>9.6969696969696997E-2</v>
      </c>
      <c r="C56">
        <v>0.18181818181818199</v>
      </c>
      <c r="D56">
        <v>0.16969696969697001</v>
      </c>
      <c r="E56">
        <v>0.18181818181818199</v>
      </c>
      <c r="F56">
        <v>0.175757575757576</v>
      </c>
    </row>
    <row r="57" spans="2:6" x14ac:dyDescent="0.2">
      <c r="B57">
        <v>0.16666666666666699</v>
      </c>
      <c r="C57">
        <v>0.16666666666666699</v>
      </c>
      <c r="D57">
        <v>0.16666666666666699</v>
      </c>
      <c r="E57">
        <v>0.21666666666666701</v>
      </c>
      <c r="F57">
        <v>0.18888888888888899</v>
      </c>
    </row>
    <row r="58" spans="2:6" x14ac:dyDescent="0.2">
      <c r="B58">
        <v>0.16410256410256399</v>
      </c>
      <c r="C58">
        <v>0.15384615384615399</v>
      </c>
      <c r="D58">
        <v>0.15384615384615399</v>
      </c>
      <c r="E58">
        <v>0.20512820512820501</v>
      </c>
      <c r="F58">
        <v>0.18974358974359001</v>
      </c>
    </row>
    <row r="59" spans="2:6" x14ac:dyDescent="0.2">
      <c r="B59">
        <v>0.19523809523809499</v>
      </c>
      <c r="C59">
        <v>0.14285714285714299</v>
      </c>
      <c r="D59">
        <v>0.14285714285714299</v>
      </c>
      <c r="E59">
        <v>0.2</v>
      </c>
      <c r="F59">
        <v>0.185714285714286</v>
      </c>
    </row>
    <row r="60" spans="2:6" x14ac:dyDescent="0.2">
      <c r="B60">
        <v>0.18222222222222201</v>
      </c>
      <c r="C60">
        <v>0.2</v>
      </c>
      <c r="D60">
        <v>0.2</v>
      </c>
      <c r="E60">
        <v>0.21777777777777799</v>
      </c>
      <c r="F60">
        <v>0.19111111111111101</v>
      </c>
    </row>
    <row r="61" spans="2:6" x14ac:dyDescent="0.2">
      <c r="B61">
        <v>0.233333333333333</v>
      </c>
      <c r="C61">
        <v>0.1875</v>
      </c>
      <c r="D61">
        <v>0.1875</v>
      </c>
      <c r="E61">
        <v>0.233333333333333</v>
      </c>
      <c r="F61">
        <v>0.204166666666667</v>
      </c>
    </row>
    <row r="62" spans="2:6" x14ac:dyDescent="0.2">
      <c r="B62">
        <v>0.21960784313725501</v>
      </c>
      <c r="C62">
        <v>0.17647058823529399</v>
      </c>
      <c r="D62">
        <v>0.20588235294117599</v>
      </c>
      <c r="E62">
        <v>0.23529411764705899</v>
      </c>
      <c r="F62">
        <v>0.21568627450980399</v>
      </c>
    </row>
    <row r="63" spans="2:6" x14ac:dyDescent="0.2">
      <c r="B63">
        <v>0.20740740740740701</v>
      </c>
      <c r="C63">
        <v>0.20740740740740701</v>
      </c>
      <c r="D63">
        <v>0.22222222222222199</v>
      </c>
      <c r="E63">
        <v>0.24814814814814801</v>
      </c>
      <c r="F63">
        <v>0.21481481481481501</v>
      </c>
    </row>
    <row r="64" spans="2:6" x14ac:dyDescent="0.2">
      <c r="B64">
        <v>0.249122807017544</v>
      </c>
      <c r="C64">
        <v>0.249122807017544</v>
      </c>
      <c r="D64">
        <v>0.23684210526315799</v>
      </c>
      <c r="E64">
        <v>0.25964912280701802</v>
      </c>
      <c r="F64">
        <v>0.214035087719298</v>
      </c>
    </row>
    <row r="65" spans="1:6" x14ac:dyDescent="0.2">
      <c r="B65">
        <v>0.26333333333333298</v>
      </c>
      <c r="C65">
        <v>0.24</v>
      </c>
      <c r="D65">
        <v>0.25</v>
      </c>
      <c r="E65">
        <v>0.27</v>
      </c>
      <c r="F65">
        <v>0.22</v>
      </c>
    </row>
    <row r="67" spans="1:6" x14ac:dyDescent="0.2">
      <c r="A67" t="s">
        <v>8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">
      <c r="B71">
        <v>0</v>
      </c>
      <c r="C71">
        <v>0</v>
      </c>
      <c r="D71">
        <v>0</v>
      </c>
      <c r="E71">
        <v>0.04</v>
      </c>
      <c r="F71">
        <v>1.3333333333333299E-2</v>
      </c>
    </row>
    <row r="72" spans="1:6" x14ac:dyDescent="0.2">
      <c r="B72">
        <v>6.6666666666666693E-2</v>
      </c>
      <c r="C72">
        <v>0</v>
      </c>
      <c r="D72">
        <v>0</v>
      </c>
      <c r="E72">
        <v>4.4444444444444398E-2</v>
      </c>
      <c r="F72">
        <v>7.7777777777777807E-2</v>
      </c>
    </row>
    <row r="73" spans="1:6" x14ac:dyDescent="0.2">
      <c r="B73">
        <v>0.114285714285714</v>
      </c>
      <c r="C73">
        <v>0</v>
      </c>
      <c r="D73">
        <v>0</v>
      </c>
      <c r="E73">
        <v>9.5238095238095205E-2</v>
      </c>
      <c r="F73">
        <v>7.6190476190476197E-2</v>
      </c>
    </row>
    <row r="74" spans="1:6" x14ac:dyDescent="0.2">
      <c r="B74">
        <v>0.125</v>
      </c>
      <c r="C74">
        <v>0.125</v>
      </c>
      <c r="D74">
        <v>0.1</v>
      </c>
      <c r="E74">
        <v>0.125</v>
      </c>
      <c r="F74">
        <v>0.133333333333333</v>
      </c>
    </row>
    <row r="75" spans="1:6" x14ac:dyDescent="0.2">
      <c r="B75">
        <v>0.133333333333333</v>
      </c>
      <c r="C75">
        <v>0.11111111111111099</v>
      </c>
      <c r="D75">
        <v>0.11111111111111099</v>
      </c>
      <c r="E75">
        <v>0.17037037037037001</v>
      </c>
      <c r="F75">
        <v>0.17037037037037001</v>
      </c>
    </row>
    <row r="76" spans="1:6" x14ac:dyDescent="0.2">
      <c r="B76">
        <v>0.12</v>
      </c>
      <c r="C76">
        <v>0.1</v>
      </c>
      <c r="D76">
        <v>0.1</v>
      </c>
      <c r="E76">
        <v>0.17333333333333301</v>
      </c>
      <c r="F76">
        <v>0.2</v>
      </c>
    </row>
    <row r="77" spans="1:6" x14ac:dyDescent="0.2">
      <c r="B77">
        <v>0.115151515151515</v>
      </c>
      <c r="C77">
        <v>0.18181818181818199</v>
      </c>
      <c r="D77">
        <v>0.18181818181818199</v>
      </c>
      <c r="E77">
        <v>0.18181818181818199</v>
      </c>
      <c r="F77">
        <v>0.19393939393939399</v>
      </c>
    </row>
    <row r="78" spans="1:6" x14ac:dyDescent="0.2">
      <c r="B78">
        <v>0.172222222222222</v>
      </c>
      <c r="C78">
        <v>0.16666666666666699</v>
      </c>
      <c r="D78">
        <v>0.16666666666666699</v>
      </c>
      <c r="E78">
        <v>0.20555555555555599</v>
      </c>
      <c r="F78">
        <v>0.2</v>
      </c>
    </row>
    <row r="79" spans="1:6" x14ac:dyDescent="0.2">
      <c r="B79">
        <v>0.16923076923076899</v>
      </c>
      <c r="C79">
        <v>0.15384615384615399</v>
      </c>
      <c r="D79">
        <v>0.15384615384615399</v>
      </c>
      <c r="E79">
        <v>0.21025641025641001</v>
      </c>
      <c r="F79">
        <v>0.21025641025641001</v>
      </c>
    </row>
    <row r="80" spans="1:6" x14ac:dyDescent="0.2">
      <c r="B80">
        <v>0.185714285714286</v>
      </c>
      <c r="C80">
        <v>0.14285714285714299</v>
      </c>
      <c r="D80">
        <v>0.14285714285714299</v>
      </c>
      <c r="E80">
        <v>0.214285714285714</v>
      </c>
      <c r="F80">
        <v>0.20952380952381</v>
      </c>
    </row>
    <row r="81" spans="1:6" x14ac:dyDescent="0.2">
      <c r="B81">
        <v>0.17777777777777801</v>
      </c>
      <c r="C81">
        <v>0.2</v>
      </c>
      <c r="D81">
        <v>0.18444444444444399</v>
      </c>
      <c r="E81">
        <v>0.24</v>
      </c>
      <c r="F81">
        <v>0.21777777777777799</v>
      </c>
    </row>
    <row r="82" spans="1:6" x14ac:dyDescent="0.2">
      <c r="B82">
        <v>0.22500000000000001</v>
      </c>
      <c r="C82">
        <v>0.1875</v>
      </c>
      <c r="D82">
        <v>0.1875</v>
      </c>
      <c r="E82">
        <v>0.24583333333333299</v>
      </c>
      <c r="F82">
        <v>0.22500000000000001</v>
      </c>
    </row>
    <row r="83" spans="1:6" x14ac:dyDescent="0.2">
      <c r="B83">
        <v>0.21568627450980399</v>
      </c>
      <c r="C83">
        <v>0.17647058823529399</v>
      </c>
      <c r="D83">
        <v>0.20588235294117599</v>
      </c>
      <c r="E83">
        <v>0.25098039215686302</v>
      </c>
      <c r="F83">
        <v>0.227450980392157</v>
      </c>
    </row>
    <row r="84" spans="1:6" x14ac:dyDescent="0.2">
      <c r="B84">
        <v>0.20740740740740701</v>
      </c>
      <c r="C84">
        <v>0.2</v>
      </c>
      <c r="D84">
        <v>0.22222222222222199</v>
      </c>
      <c r="E84">
        <v>0.23703703703703699</v>
      </c>
      <c r="F84">
        <v>0.22962962962962999</v>
      </c>
    </row>
    <row r="85" spans="1:6" x14ac:dyDescent="0.2">
      <c r="B85">
        <v>0.24561403508771901</v>
      </c>
      <c r="C85">
        <v>0.24210526315789499</v>
      </c>
      <c r="D85">
        <v>0.23684210526315799</v>
      </c>
      <c r="E85">
        <v>0.27719298245613999</v>
      </c>
      <c r="F85">
        <v>0.23508771929824601</v>
      </c>
    </row>
    <row r="86" spans="1:6" x14ac:dyDescent="0.2">
      <c r="B86">
        <v>0.25666666666666699</v>
      </c>
      <c r="C86">
        <v>0.23</v>
      </c>
      <c r="D86">
        <v>0.25</v>
      </c>
      <c r="E86">
        <v>0.27333333333333298</v>
      </c>
      <c r="F86">
        <v>0.24</v>
      </c>
    </row>
    <row r="88" spans="1:6" x14ac:dyDescent="0.2">
      <c r="A88" t="s">
        <v>9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"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"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"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">
      <c r="B92">
        <v>0</v>
      </c>
      <c r="C92">
        <v>0</v>
      </c>
      <c r="D92">
        <v>0</v>
      </c>
      <c r="E92">
        <v>0</v>
      </c>
      <c r="F92">
        <v>2.66666666666667E-2</v>
      </c>
    </row>
    <row r="93" spans="1:6" x14ac:dyDescent="0.2">
      <c r="B93">
        <v>3.3333333333333298E-2</v>
      </c>
      <c r="C93">
        <v>0</v>
      </c>
      <c r="D93">
        <v>0</v>
      </c>
      <c r="E93">
        <v>6.6666666666666693E-2</v>
      </c>
      <c r="F93">
        <v>7.7777777777777807E-2</v>
      </c>
    </row>
    <row r="94" spans="1:6" x14ac:dyDescent="0.2">
      <c r="B94">
        <v>0.12380952380952399</v>
      </c>
      <c r="C94">
        <v>0</v>
      </c>
      <c r="D94">
        <v>0</v>
      </c>
      <c r="E94">
        <v>8.5714285714285701E-2</v>
      </c>
      <c r="F94">
        <v>6.6666666666666693E-2</v>
      </c>
    </row>
    <row r="95" spans="1:6" x14ac:dyDescent="0.2">
      <c r="B95">
        <v>0.125</v>
      </c>
      <c r="C95">
        <v>0.125</v>
      </c>
      <c r="D95">
        <v>6.6666666666666693E-2</v>
      </c>
      <c r="E95">
        <v>0.125</v>
      </c>
      <c r="F95">
        <v>0.133333333333333</v>
      </c>
    </row>
    <row r="96" spans="1:6" x14ac:dyDescent="0.2">
      <c r="B96">
        <v>0.125925925925926</v>
      </c>
      <c r="C96">
        <v>0.11111111111111099</v>
      </c>
      <c r="D96">
        <v>0.11111111111111099</v>
      </c>
      <c r="E96">
        <v>0.17037037037037001</v>
      </c>
      <c r="F96">
        <v>0.155555555555556</v>
      </c>
    </row>
    <row r="97" spans="1:6" x14ac:dyDescent="0.2">
      <c r="B97">
        <v>0.12</v>
      </c>
      <c r="C97">
        <v>0.1</v>
      </c>
      <c r="D97">
        <v>0.1</v>
      </c>
      <c r="E97">
        <v>0.16666666666666699</v>
      </c>
      <c r="F97">
        <v>0.17333333333333301</v>
      </c>
    </row>
    <row r="98" spans="1:6" x14ac:dyDescent="0.2">
      <c r="B98">
        <v>0.115151515151515</v>
      </c>
      <c r="C98">
        <v>0.18181818181818199</v>
      </c>
      <c r="D98">
        <v>0.15757575757575801</v>
      </c>
      <c r="E98">
        <v>0.18181818181818199</v>
      </c>
      <c r="F98">
        <v>0.18181818181818199</v>
      </c>
    </row>
    <row r="99" spans="1:6" x14ac:dyDescent="0.2">
      <c r="B99">
        <v>0.18333333333333299</v>
      </c>
      <c r="C99">
        <v>0.16666666666666699</v>
      </c>
      <c r="D99">
        <v>0.155555555555556</v>
      </c>
      <c r="E99">
        <v>0.2</v>
      </c>
      <c r="F99">
        <v>0.18888888888888899</v>
      </c>
    </row>
    <row r="100" spans="1:6" x14ac:dyDescent="0.2">
      <c r="B100">
        <v>0.18461538461538499</v>
      </c>
      <c r="C100">
        <v>0.15384615384615399</v>
      </c>
      <c r="D100">
        <v>0.15384615384615399</v>
      </c>
      <c r="E100">
        <v>0.19487179487179501</v>
      </c>
      <c r="F100">
        <v>0.18974358974359001</v>
      </c>
    </row>
    <row r="101" spans="1:6" x14ac:dyDescent="0.2">
      <c r="B101">
        <v>0.17619047619047601</v>
      </c>
      <c r="C101">
        <v>0.14285714285714299</v>
      </c>
      <c r="D101">
        <v>0.14285714285714299</v>
      </c>
      <c r="E101">
        <v>0.19047619047618999</v>
      </c>
      <c r="F101">
        <v>0.19523809523809499</v>
      </c>
    </row>
    <row r="102" spans="1:6" x14ac:dyDescent="0.2">
      <c r="B102">
        <v>0.19555555555555601</v>
      </c>
      <c r="C102">
        <v>0.2</v>
      </c>
      <c r="D102">
        <v>0.19111111111111101</v>
      </c>
      <c r="E102">
        <v>0.2</v>
      </c>
      <c r="F102">
        <v>0.2</v>
      </c>
    </row>
    <row r="103" spans="1:6" x14ac:dyDescent="0.2">
      <c r="B103">
        <v>0.241666666666667</v>
      </c>
      <c r="C103">
        <v>0.1875</v>
      </c>
      <c r="D103">
        <v>0.1875</v>
      </c>
      <c r="E103">
        <v>0.21249999999999999</v>
      </c>
      <c r="F103">
        <v>0.204166666666667</v>
      </c>
    </row>
    <row r="104" spans="1:6" x14ac:dyDescent="0.2">
      <c r="B104">
        <v>0.23137254901960799</v>
      </c>
      <c r="C104">
        <v>0.17647058823529399</v>
      </c>
      <c r="D104">
        <v>0.20588235294117599</v>
      </c>
      <c r="E104">
        <v>0.21960784313725501</v>
      </c>
      <c r="F104">
        <v>0.207843137254902</v>
      </c>
    </row>
    <row r="105" spans="1:6" x14ac:dyDescent="0.2">
      <c r="B105">
        <v>0.22222222222222199</v>
      </c>
      <c r="C105">
        <v>0.2</v>
      </c>
      <c r="D105">
        <v>0.22222222222222199</v>
      </c>
      <c r="E105">
        <v>0.22962962962962999</v>
      </c>
      <c r="F105">
        <v>0.211111111111111</v>
      </c>
    </row>
    <row r="106" spans="1:6" x14ac:dyDescent="0.2">
      <c r="B106">
        <v>0.256140350877193</v>
      </c>
      <c r="C106">
        <v>0.24210526315789499</v>
      </c>
      <c r="D106">
        <v>0.23684210526315799</v>
      </c>
      <c r="E106">
        <v>0.24561403508771901</v>
      </c>
      <c r="F106">
        <v>0.214035087719298</v>
      </c>
    </row>
    <row r="107" spans="1:6" x14ac:dyDescent="0.2">
      <c r="B107">
        <v>0.27</v>
      </c>
      <c r="C107">
        <v>0.233333333333333</v>
      </c>
      <c r="D107">
        <v>0.25</v>
      </c>
      <c r="E107">
        <v>0.266666666666667</v>
      </c>
      <c r="F107">
        <v>0.22</v>
      </c>
    </row>
    <row r="109" spans="1:6" x14ac:dyDescent="0.2">
      <c r="A109" t="s">
        <v>10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"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"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">
      <c r="B112">
        <v>0</v>
      </c>
      <c r="C112">
        <v>0</v>
      </c>
      <c r="D112">
        <v>0</v>
      </c>
      <c r="E112">
        <v>0</v>
      </c>
      <c r="F112">
        <v>0</v>
      </c>
    </row>
    <row r="113" spans="2:6" x14ac:dyDescent="0.2">
      <c r="B113">
        <v>0</v>
      </c>
      <c r="C113">
        <v>0</v>
      </c>
      <c r="D113">
        <v>0</v>
      </c>
      <c r="E113">
        <v>0</v>
      </c>
      <c r="F113">
        <v>6.6666666666666693E-2</v>
      </c>
    </row>
    <row r="114" spans="2:6" x14ac:dyDescent="0.2">
      <c r="B114">
        <v>7.7777777777777807E-2</v>
      </c>
      <c r="C114">
        <v>0</v>
      </c>
      <c r="D114">
        <v>0</v>
      </c>
      <c r="E114">
        <v>5.5555555555555601E-2</v>
      </c>
      <c r="F114">
        <v>0.1</v>
      </c>
    </row>
    <row r="115" spans="2:6" x14ac:dyDescent="0.2">
      <c r="B115">
        <v>0.133333333333333</v>
      </c>
      <c r="C115">
        <v>0</v>
      </c>
      <c r="D115">
        <v>0</v>
      </c>
      <c r="E115">
        <v>4.7619047619047603E-2</v>
      </c>
      <c r="F115">
        <v>0.104761904761905</v>
      </c>
    </row>
    <row r="116" spans="2:6" x14ac:dyDescent="0.2">
      <c r="B116">
        <v>0.125</v>
      </c>
      <c r="C116">
        <v>0.125</v>
      </c>
      <c r="D116">
        <v>7.4999999999999997E-2</v>
      </c>
      <c r="E116">
        <v>0.125</v>
      </c>
      <c r="F116">
        <v>0.15833333333333299</v>
      </c>
    </row>
    <row r="117" spans="2:6" x14ac:dyDescent="0.2">
      <c r="B117">
        <v>0.133333333333333</v>
      </c>
      <c r="C117">
        <v>0.11111111111111099</v>
      </c>
      <c r="D117">
        <v>0.11111111111111099</v>
      </c>
      <c r="E117">
        <v>0.140740740740741</v>
      </c>
      <c r="F117">
        <v>0.162962962962963</v>
      </c>
    </row>
    <row r="118" spans="2:6" x14ac:dyDescent="0.2">
      <c r="B118">
        <v>0.12666666666666701</v>
      </c>
      <c r="C118">
        <v>0.1</v>
      </c>
      <c r="D118">
        <v>0.1</v>
      </c>
      <c r="E118">
        <v>0.133333333333333</v>
      </c>
      <c r="F118">
        <v>0.18</v>
      </c>
    </row>
    <row r="119" spans="2:6" x14ac:dyDescent="0.2">
      <c r="B119">
        <v>0.115151515151515</v>
      </c>
      <c r="C119">
        <v>0.18181818181818199</v>
      </c>
      <c r="D119">
        <v>0.15757575757575801</v>
      </c>
      <c r="E119">
        <v>0.163636363636364</v>
      </c>
      <c r="F119">
        <v>0.18181818181818199</v>
      </c>
    </row>
    <row r="120" spans="2:6" x14ac:dyDescent="0.2">
      <c r="B120">
        <v>0.172222222222222</v>
      </c>
      <c r="C120">
        <v>0.16666666666666699</v>
      </c>
      <c r="D120">
        <v>0.16111111111111101</v>
      </c>
      <c r="E120">
        <v>0.18333333333333299</v>
      </c>
      <c r="F120">
        <v>0.194444444444444</v>
      </c>
    </row>
    <row r="121" spans="2:6" x14ac:dyDescent="0.2">
      <c r="B121">
        <v>0.17435897435897399</v>
      </c>
      <c r="C121">
        <v>0.15384615384615399</v>
      </c>
      <c r="D121">
        <v>0.15384615384615399</v>
      </c>
      <c r="E121">
        <v>0.17948717948717999</v>
      </c>
      <c r="F121">
        <v>0.19487179487179501</v>
      </c>
    </row>
    <row r="122" spans="2:6" x14ac:dyDescent="0.2">
      <c r="B122">
        <v>0.2</v>
      </c>
      <c r="C122">
        <v>0.14285714285714299</v>
      </c>
      <c r="D122">
        <v>0.14285714285714299</v>
      </c>
      <c r="E122">
        <v>0.16666666666666699</v>
      </c>
      <c r="F122">
        <v>0.2</v>
      </c>
    </row>
    <row r="123" spans="2:6" x14ac:dyDescent="0.2">
      <c r="B123">
        <v>0.18666666666666701</v>
      </c>
      <c r="C123">
        <v>0.2</v>
      </c>
      <c r="D123">
        <v>0.19555555555555601</v>
      </c>
      <c r="E123">
        <v>0.2</v>
      </c>
      <c r="F123">
        <v>0.2</v>
      </c>
    </row>
    <row r="124" spans="2:6" x14ac:dyDescent="0.2">
      <c r="B124">
        <v>0.233333333333333</v>
      </c>
      <c r="C124">
        <v>0.1875</v>
      </c>
      <c r="D124">
        <v>0.1875</v>
      </c>
      <c r="E124">
        <v>0.20833333333333301</v>
      </c>
      <c r="F124">
        <v>0.21249999999999999</v>
      </c>
    </row>
    <row r="125" spans="2:6" x14ac:dyDescent="0.2">
      <c r="B125">
        <v>0.223529411764706</v>
      </c>
      <c r="C125">
        <v>0.17647058823529399</v>
      </c>
      <c r="D125">
        <v>0.20588235294117599</v>
      </c>
      <c r="E125">
        <v>0.19607843137254899</v>
      </c>
      <c r="F125">
        <v>0.21960784313725501</v>
      </c>
    </row>
    <row r="126" spans="2:6" x14ac:dyDescent="0.2">
      <c r="B126">
        <v>0.211111111111111</v>
      </c>
      <c r="C126">
        <v>0.203703703703704</v>
      </c>
      <c r="D126">
        <v>0.22222222222222199</v>
      </c>
      <c r="E126">
        <v>0.22222222222222199</v>
      </c>
      <c r="F126">
        <v>0.225925925925926</v>
      </c>
    </row>
    <row r="127" spans="2:6" x14ac:dyDescent="0.2">
      <c r="B127">
        <v>0.249122807017544</v>
      </c>
      <c r="C127">
        <v>0.24561403508771901</v>
      </c>
      <c r="D127">
        <v>0.23684210526315799</v>
      </c>
      <c r="E127">
        <v>0.24561403508771901</v>
      </c>
      <c r="F127">
        <v>0.231578947368421</v>
      </c>
    </row>
    <row r="128" spans="2:6" x14ac:dyDescent="0.2">
      <c r="B128">
        <v>0.25666666666666699</v>
      </c>
      <c r="C128">
        <v>0.24</v>
      </c>
      <c r="D128">
        <v>0.25</v>
      </c>
      <c r="E128">
        <v>0.266666666666667</v>
      </c>
      <c r="F128">
        <v>0.23</v>
      </c>
    </row>
    <row r="130" spans="1:6" x14ac:dyDescent="0.2">
      <c r="A130" t="s">
        <v>11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"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"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"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"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">
      <c r="B135">
        <v>5.5555555555555601E-2</v>
      </c>
      <c r="C135">
        <v>0</v>
      </c>
      <c r="D135">
        <v>0</v>
      </c>
      <c r="E135">
        <v>0.1</v>
      </c>
      <c r="F135">
        <v>7.7777777777777807E-2</v>
      </c>
    </row>
    <row r="136" spans="1:6" x14ac:dyDescent="0.2">
      <c r="B136">
        <v>4.7619047619047603E-2</v>
      </c>
      <c r="C136">
        <v>0</v>
      </c>
      <c r="D136">
        <v>0</v>
      </c>
      <c r="E136">
        <v>9.5238095238095205E-2</v>
      </c>
      <c r="F136">
        <v>6.6666666666666693E-2</v>
      </c>
    </row>
    <row r="137" spans="1:6" x14ac:dyDescent="0.2">
      <c r="B137">
        <v>7.4999999999999997E-2</v>
      </c>
      <c r="C137">
        <v>0.125</v>
      </c>
      <c r="D137">
        <v>8.3333333333333301E-2</v>
      </c>
      <c r="E137">
        <v>0.125</v>
      </c>
      <c r="F137">
        <v>0.125</v>
      </c>
    </row>
    <row r="138" spans="1:6" x14ac:dyDescent="0.2">
      <c r="B138">
        <v>6.6666666666666693E-2</v>
      </c>
      <c r="C138">
        <v>0.11111111111111099</v>
      </c>
      <c r="D138">
        <v>0.11111111111111099</v>
      </c>
      <c r="E138">
        <v>0.17777777777777801</v>
      </c>
      <c r="F138">
        <v>0.17777777777777801</v>
      </c>
    </row>
    <row r="139" spans="1:6" x14ac:dyDescent="0.2">
      <c r="B139">
        <v>0.06</v>
      </c>
      <c r="C139">
        <v>0.1</v>
      </c>
      <c r="D139">
        <v>0.1</v>
      </c>
      <c r="E139">
        <v>0.17333333333333301</v>
      </c>
      <c r="F139">
        <v>0.193333333333333</v>
      </c>
    </row>
    <row r="140" spans="1:6" x14ac:dyDescent="0.2">
      <c r="B140">
        <v>5.4545454545454598E-2</v>
      </c>
      <c r="C140">
        <v>0.18181818181818199</v>
      </c>
      <c r="D140">
        <v>0.15757575757575801</v>
      </c>
      <c r="E140">
        <v>0.18181818181818199</v>
      </c>
      <c r="F140">
        <v>0.206060606060606</v>
      </c>
    </row>
    <row r="141" spans="1:6" x14ac:dyDescent="0.2">
      <c r="B141">
        <v>0.12777777777777799</v>
      </c>
      <c r="C141">
        <v>0.16666666666666699</v>
      </c>
      <c r="D141">
        <v>0.16666666666666699</v>
      </c>
      <c r="E141">
        <v>0.227777777777778</v>
      </c>
      <c r="F141">
        <v>0.211111111111111</v>
      </c>
    </row>
    <row r="142" spans="1:6" x14ac:dyDescent="0.2">
      <c r="B142">
        <v>0.123076923076923</v>
      </c>
      <c r="C142">
        <v>0.15384615384615399</v>
      </c>
      <c r="D142">
        <v>0.15384615384615399</v>
      </c>
      <c r="E142">
        <v>0.230769230769231</v>
      </c>
      <c r="F142">
        <v>0.19487179487179501</v>
      </c>
    </row>
    <row r="143" spans="1:6" x14ac:dyDescent="0.2">
      <c r="B143">
        <v>0.157142857142857</v>
      </c>
      <c r="C143">
        <v>0.14285714285714299</v>
      </c>
      <c r="D143">
        <v>0.14285714285714299</v>
      </c>
      <c r="E143">
        <v>0.238095238095238</v>
      </c>
      <c r="F143">
        <v>0.2</v>
      </c>
    </row>
    <row r="144" spans="1:6" x14ac:dyDescent="0.2">
      <c r="B144">
        <v>0.146666666666667</v>
      </c>
      <c r="C144">
        <v>0.2</v>
      </c>
      <c r="D144">
        <v>0.2</v>
      </c>
      <c r="E144">
        <v>0.25333333333333302</v>
      </c>
      <c r="F144">
        <v>0.19555555555555601</v>
      </c>
    </row>
    <row r="145" spans="1:6" x14ac:dyDescent="0.2">
      <c r="B145">
        <v>0.2</v>
      </c>
      <c r="C145">
        <v>0.1875</v>
      </c>
      <c r="D145">
        <v>0.1875</v>
      </c>
      <c r="E145">
        <v>0.26250000000000001</v>
      </c>
      <c r="F145">
        <v>0.2</v>
      </c>
    </row>
    <row r="146" spans="1:6" x14ac:dyDescent="0.2">
      <c r="B146">
        <v>0.188235294117647</v>
      </c>
      <c r="C146">
        <v>0.17647058823529399</v>
      </c>
      <c r="D146">
        <v>0.20588235294117599</v>
      </c>
      <c r="E146">
        <v>0.26274509803921597</v>
      </c>
      <c r="F146">
        <v>0.21960784313725501</v>
      </c>
    </row>
    <row r="147" spans="1:6" x14ac:dyDescent="0.2">
      <c r="B147">
        <v>0.17777777777777801</v>
      </c>
      <c r="C147">
        <v>0.203703703703704</v>
      </c>
      <c r="D147">
        <v>0.22222222222222199</v>
      </c>
      <c r="E147">
        <v>0.25925925925925902</v>
      </c>
      <c r="F147">
        <v>0.225925925925926</v>
      </c>
    </row>
    <row r="148" spans="1:6" x14ac:dyDescent="0.2">
      <c r="B148">
        <v>0.21754385964912301</v>
      </c>
      <c r="C148">
        <v>0.24561403508771901</v>
      </c>
      <c r="D148">
        <v>0.23684210526315799</v>
      </c>
      <c r="E148">
        <v>0.28070175438596501</v>
      </c>
      <c r="F148">
        <v>0.231578947368421</v>
      </c>
    </row>
    <row r="149" spans="1:6" x14ac:dyDescent="0.2">
      <c r="B149">
        <v>0.21666666666666701</v>
      </c>
      <c r="C149">
        <v>0.236666666666667</v>
      </c>
      <c r="D149">
        <v>0.25</v>
      </c>
      <c r="E149">
        <v>0.28666666666666701</v>
      </c>
      <c r="F149">
        <v>0.24</v>
      </c>
    </row>
    <row r="151" spans="1:6" x14ac:dyDescent="0.2">
      <c r="A151" t="s">
        <v>12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"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"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"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">
      <c r="B155">
        <v>0</v>
      </c>
      <c r="C155">
        <v>0</v>
      </c>
      <c r="D155">
        <v>0</v>
      </c>
      <c r="E155">
        <v>1.3333333333333299E-2</v>
      </c>
      <c r="F155">
        <v>0</v>
      </c>
    </row>
    <row r="156" spans="1:6" x14ac:dyDescent="0.2">
      <c r="B156">
        <v>5.5555555555555601E-2</v>
      </c>
      <c r="C156">
        <v>0</v>
      </c>
      <c r="D156">
        <v>0</v>
      </c>
      <c r="E156">
        <v>6.6666666666666693E-2</v>
      </c>
      <c r="F156">
        <v>5.5555555555555601E-2</v>
      </c>
    </row>
    <row r="157" spans="1:6" x14ac:dyDescent="0.2">
      <c r="B157">
        <v>8.5714285714285701E-2</v>
      </c>
      <c r="C157">
        <v>0</v>
      </c>
      <c r="D157">
        <v>0</v>
      </c>
      <c r="E157">
        <v>9.5238095238095205E-2</v>
      </c>
      <c r="F157">
        <v>4.7619047619047603E-2</v>
      </c>
    </row>
    <row r="158" spans="1:6" x14ac:dyDescent="0.2">
      <c r="B158">
        <v>0.125</v>
      </c>
      <c r="C158">
        <v>0.125</v>
      </c>
      <c r="D158">
        <v>9.1666666666666702E-2</v>
      </c>
      <c r="E158">
        <v>0.108333333333333</v>
      </c>
      <c r="F158">
        <v>0.108333333333333</v>
      </c>
    </row>
    <row r="159" spans="1:6" x14ac:dyDescent="0.2">
      <c r="B159">
        <v>0.133333333333333</v>
      </c>
      <c r="C159">
        <v>0.11111111111111099</v>
      </c>
      <c r="D159">
        <v>0.11111111111111099</v>
      </c>
      <c r="E159">
        <v>0.140740740740741</v>
      </c>
      <c r="F159">
        <v>0.17037037037037001</v>
      </c>
    </row>
    <row r="160" spans="1:6" x14ac:dyDescent="0.2">
      <c r="B160">
        <v>0.12</v>
      </c>
      <c r="C160">
        <v>0.1</v>
      </c>
      <c r="D160">
        <v>0.1</v>
      </c>
      <c r="E160">
        <v>0.133333333333333</v>
      </c>
      <c r="F160">
        <v>0.18666666666666701</v>
      </c>
    </row>
    <row r="161" spans="1:6" x14ac:dyDescent="0.2">
      <c r="B161">
        <v>0.115151515151515</v>
      </c>
      <c r="C161">
        <v>0.18181818181818199</v>
      </c>
      <c r="D161">
        <v>0.16969696969697001</v>
      </c>
      <c r="E161">
        <v>0.16969696969697001</v>
      </c>
      <c r="F161">
        <v>0.19393939393939399</v>
      </c>
    </row>
    <row r="162" spans="1:6" x14ac:dyDescent="0.2">
      <c r="B162">
        <v>0.18888888888888899</v>
      </c>
      <c r="C162">
        <v>0.16666666666666699</v>
      </c>
      <c r="D162">
        <v>0.16666666666666699</v>
      </c>
      <c r="E162">
        <v>0.194444444444444</v>
      </c>
      <c r="F162">
        <v>0.20555555555555599</v>
      </c>
    </row>
    <row r="163" spans="1:6" x14ac:dyDescent="0.2">
      <c r="B163">
        <v>0.17948717948717999</v>
      </c>
      <c r="C163">
        <v>0.15384615384615399</v>
      </c>
      <c r="D163">
        <v>0.15384615384615399</v>
      </c>
      <c r="E163">
        <v>0.19487179487179501</v>
      </c>
      <c r="F163">
        <v>0.2</v>
      </c>
    </row>
    <row r="164" spans="1:6" x14ac:dyDescent="0.2">
      <c r="B164">
        <v>0.180952380952381</v>
      </c>
      <c r="C164">
        <v>0.14285714285714299</v>
      </c>
      <c r="D164">
        <v>0.14285714285714299</v>
      </c>
      <c r="E164">
        <v>0.19047619047618999</v>
      </c>
      <c r="F164">
        <v>0.2</v>
      </c>
    </row>
    <row r="165" spans="1:6" x14ac:dyDescent="0.2">
      <c r="B165">
        <v>0.20888888888888901</v>
      </c>
      <c r="C165">
        <v>0.2</v>
      </c>
      <c r="D165">
        <v>0.2</v>
      </c>
      <c r="E165">
        <v>0.20444444444444401</v>
      </c>
      <c r="F165">
        <v>0.20888888888888901</v>
      </c>
    </row>
    <row r="166" spans="1:6" x14ac:dyDescent="0.2">
      <c r="B166">
        <v>0.25416666666666698</v>
      </c>
      <c r="C166">
        <v>0.1875</v>
      </c>
      <c r="D166">
        <v>0.1875</v>
      </c>
      <c r="E166">
        <v>0.21666666666666701</v>
      </c>
      <c r="F166">
        <v>0.21249999999999999</v>
      </c>
    </row>
    <row r="167" spans="1:6" x14ac:dyDescent="0.2">
      <c r="B167">
        <v>0.23921568627451001</v>
      </c>
      <c r="C167">
        <v>0.17647058823529399</v>
      </c>
      <c r="D167">
        <v>0.20588235294117599</v>
      </c>
      <c r="E167">
        <v>0.21960784313725501</v>
      </c>
      <c r="F167">
        <v>0.21568627450980399</v>
      </c>
    </row>
    <row r="168" spans="1:6" x14ac:dyDescent="0.2">
      <c r="B168">
        <v>0.22962962962962999</v>
      </c>
      <c r="C168">
        <v>0.2</v>
      </c>
      <c r="D168">
        <v>0.22222222222222199</v>
      </c>
      <c r="E168">
        <v>0.22962962962962999</v>
      </c>
      <c r="F168">
        <v>0.21481481481481501</v>
      </c>
    </row>
    <row r="169" spans="1:6" x14ac:dyDescent="0.2">
      <c r="B169">
        <v>0.27017543859649101</v>
      </c>
      <c r="C169">
        <v>0.24210526315789499</v>
      </c>
      <c r="D169">
        <v>0.23684210526315799</v>
      </c>
      <c r="E169">
        <v>0.24561403508771901</v>
      </c>
      <c r="F169">
        <v>0.221052631578947</v>
      </c>
    </row>
    <row r="170" spans="1:6" x14ac:dyDescent="0.2">
      <c r="B170">
        <v>0.27</v>
      </c>
      <c r="C170">
        <v>0.24666666666666701</v>
      </c>
      <c r="D170">
        <v>0.25</v>
      </c>
      <c r="E170">
        <v>0.26</v>
      </c>
      <c r="F170">
        <v>0.233333333333333</v>
      </c>
    </row>
    <row r="172" spans="1:6" x14ac:dyDescent="0.2">
      <c r="A172" t="s">
        <v>13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"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"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"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">
      <c r="B176">
        <v>0</v>
      </c>
      <c r="C176">
        <v>0</v>
      </c>
      <c r="D176">
        <v>0</v>
      </c>
      <c r="E176">
        <v>0.04</v>
      </c>
      <c r="F176">
        <v>2.66666666666667E-2</v>
      </c>
    </row>
    <row r="177" spans="2:6" x14ac:dyDescent="0.2">
      <c r="B177">
        <v>3.3333333333333298E-2</v>
      </c>
      <c r="C177">
        <v>0</v>
      </c>
      <c r="D177">
        <v>0</v>
      </c>
      <c r="E177">
        <v>8.8888888888888906E-2</v>
      </c>
      <c r="F177">
        <v>3.3333333333333298E-2</v>
      </c>
    </row>
    <row r="178" spans="2:6" x14ac:dyDescent="0.2">
      <c r="B178">
        <v>5.7142857142857197E-2</v>
      </c>
      <c r="C178">
        <v>0</v>
      </c>
      <c r="D178">
        <v>0</v>
      </c>
      <c r="E178">
        <v>0.104761904761905</v>
      </c>
      <c r="F178">
        <v>3.8095238095238099E-2</v>
      </c>
    </row>
    <row r="179" spans="2:6" x14ac:dyDescent="0.2">
      <c r="B179">
        <v>8.3333333333333301E-2</v>
      </c>
      <c r="C179">
        <v>0.125</v>
      </c>
      <c r="D179">
        <v>0.1</v>
      </c>
      <c r="E179">
        <v>0.125</v>
      </c>
      <c r="F179">
        <v>0.1</v>
      </c>
    </row>
    <row r="180" spans="2:6" x14ac:dyDescent="0.2">
      <c r="B180">
        <v>7.4074074074074098E-2</v>
      </c>
      <c r="C180">
        <v>0.11111111111111099</v>
      </c>
      <c r="D180">
        <v>0.11111111111111099</v>
      </c>
      <c r="E180">
        <v>0.17777777777777801</v>
      </c>
      <c r="F180">
        <v>0.11111111111111099</v>
      </c>
    </row>
    <row r="181" spans="2:6" x14ac:dyDescent="0.2">
      <c r="B181">
        <v>0.08</v>
      </c>
      <c r="C181">
        <v>0.1</v>
      </c>
      <c r="D181">
        <v>0.1</v>
      </c>
      <c r="E181">
        <v>0.18</v>
      </c>
      <c r="F181">
        <v>0.15333333333333299</v>
      </c>
    </row>
    <row r="182" spans="2:6" x14ac:dyDescent="0.2">
      <c r="B182">
        <v>7.2727272727272696E-2</v>
      </c>
      <c r="C182">
        <v>0.18181818181818199</v>
      </c>
      <c r="D182">
        <v>0.16969696969697001</v>
      </c>
      <c r="E182">
        <v>0.18181818181818199</v>
      </c>
      <c r="F182">
        <v>0.15151515151515199</v>
      </c>
    </row>
    <row r="183" spans="2:6" x14ac:dyDescent="0.2">
      <c r="B183">
        <v>0.12777777777777799</v>
      </c>
      <c r="C183">
        <v>0.16666666666666699</v>
      </c>
      <c r="D183">
        <v>0.16666666666666699</v>
      </c>
      <c r="E183">
        <v>0.21666666666666701</v>
      </c>
      <c r="F183">
        <v>0.18333333333333299</v>
      </c>
    </row>
    <row r="184" spans="2:6" x14ac:dyDescent="0.2">
      <c r="B184">
        <v>0.128205128205128</v>
      </c>
      <c r="C184">
        <v>0.15384615384615399</v>
      </c>
      <c r="D184">
        <v>0.15384615384615399</v>
      </c>
      <c r="E184">
        <v>0.21538461538461501</v>
      </c>
      <c r="F184">
        <v>0.18461538461538499</v>
      </c>
    </row>
    <row r="185" spans="2:6" x14ac:dyDescent="0.2">
      <c r="B185">
        <v>0.15238095238095201</v>
      </c>
      <c r="C185">
        <v>0.14285714285714299</v>
      </c>
      <c r="D185">
        <v>0.14285714285714299</v>
      </c>
      <c r="E185">
        <v>0.21904761904761899</v>
      </c>
      <c r="F185">
        <v>0.180952380952381</v>
      </c>
    </row>
    <row r="186" spans="2:6" x14ac:dyDescent="0.2">
      <c r="B186">
        <v>0.142222222222222</v>
      </c>
      <c r="C186">
        <v>0.2</v>
      </c>
      <c r="D186">
        <v>0.2</v>
      </c>
      <c r="E186">
        <v>0.23111111111111099</v>
      </c>
      <c r="F186">
        <v>0.18222222222222201</v>
      </c>
    </row>
    <row r="187" spans="2:6" x14ac:dyDescent="0.2">
      <c r="B187">
        <v>0.195833333333333</v>
      </c>
      <c r="C187">
        <v>0.1875</v>
      </c>
      <c r="D187">
        <v>0.1875</v>
      </c>
      <c r="E187">
        <v>0.241666666666667</v>
      </c>
      <c r="F187">
        <v>0.19166666666666701</v>
      </c>
    </row>
    <row r="188" spans="2:6" x14ac:dyDescent="0.2">
      <c r="B188">
        <v>0.18431372549019601</v>
      </c>
      <c r="C188">
        <v>0.17647058823529399</v>
      </c>
      <c r="D188">
        <v>0.20588235294117599</v>
      </c>
      <c r="E188">
        <v>0.25098039215686302</v>
      </c>
      <c r="F188">
        <v>0.20392156862745101</v>
      </c>
    </row>
    <row r="189" spans="2:6" x14ac:dyDescent="0.2">
      <c r="B189">
        <v>0.17407407407407399</v>
      </c>
      <c r="C189">
        <v>0.2</v>
      </c>
      <c r="D189">
        <v>0.22222222222222199</v>
      </c>
      <c r="E189">
        <v>0.25185185185185199</v>
      </c>
      <c r="F189">
        <v>0.2</v>
      </c>
    </row>
    <row r="190" spans="2:6" x14ac:dyDescent="0.2">
      <c r="B190">
        <v>0.214035087719298</v>
      </c>
      <c r="C190">
        <v>0.24210526315789499</v>
      </c>
      <c r="D190">
        <v>0.23684210526315799</v>
      </c>
      <c r="E190">
        <v>0.266666666666667</v>
      </c>
      <c r="F190">
        <v>0.19649122807017499</v>
      </c>
    </row>
    <row r="191" spans="2:6" x14ac:dyDescent="0.2">
      <c r="B191">
        <v>0.22</v>
      </c>
      <c r="C191">
        <v>0.24</v>
      </c>
      <c r="D191">
        <v>0.25</v>
      </c>
      <c r="E191">
        <v>0.27333333333333298</v>
      </c>
      <c r="F191">
        <v>0.2</v>
      </c>
    </row>
    <row r="193" spans="1:6" x14ac:dyDescent="0.2">
      <c r="A193" t="s">
        <v>14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"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"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"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">
      <c r="B197">
        <v>0</v>
      </c>
      <c r="C197">
        <v>0</v>
      </c>
      <c r="D197">
        <v>0</v>
      </c>
      <c r="E197">
        <v>0</v>
      </c>
      <c r="F197">
        <v>2.66666666666667E-2</v>
      </c>
    </row>
    <row r="198" spans="1:6" x14ac:dyDescent="0.2">
      <c r="B198">
        <v>7.7777777777777807E-2</v>
      </c>
      <c r="C198">
        <v>0</v>
      </c>
      <c r="D198">
        <v>0</v>
      </c>
      <c r="E198">
        <v>6.6666666666666693E-2</v>
      </c>
      <c r="F198">
        <v>5.5555555555555601E-2</v>
      </c>
    </row>
    <row r="199" spans="1:6" x14ac:dyDescent="0.2">
      <c r="B199">
        <v>0.104761904761905</v>
      </c>
      <c r="C199">
        <v>0</v>
      </c>
      <c r="D199">
        <v>0</v>
      </c>
      <c r="E199">
        <v>0.114285714285714</v>
      </c>
      <c r="F199">
        <v>5.7142857142857099E-2</v>
      </c>
    </row>
    <row r="200" spans="1:6" x14ac:dyDescent="0.2">
      <c r="B200">
        <v>0.116666666666667</v>
      </c>
      <c r="C200">
        <v>0.125</v>
      </c>
      <c r="D200">
        <v>9.1666666666666702E-2</v>
      </c>
      <c r="E200">
        <v>0.125</v>
      </c>
      <c r="F200">
        <v>0.15</v>
      </c>
    </row>
    <row r="201" spans="1:6" x14ac:dyDescent="0.2">
      <c r="B201">
        <v>0.11851851851851899</v>
      </c>
      <c r="C201">
        <v>0.11111111111111099</v>
      </c>
      <c r="D201">
        <v>0.11111111111111099</v>
      </c>
      <c r="E201">
        <v>0.17777777777777801</v>
      </c>
      <c r="F201">
        <v>0.162962962962963</v>
      </c>
    </row>
    <row r="202" spans="1:6" x14ac:dyDescent="0.2">
      <c r="B202">
        <v>0.10666666666666701</v>
      </c>
      <c r="C202">
        <v>0.1</v>
      </c>
      <c r="D202">
        <v>0.1</v>
      </c>
      <c r="E202">
        <v>0.16</v>
      </c>
      <c r="F202">
        <v>0.16666666666666699</v>
      </c>
    </row>
    <row r="203" spans="1:6" x14ac:dyDescent="0.2">
      <c r="B203">
        <v>9.6969696969696997E-2</v>
      </c>
      <c r="C203">
        <v>0.175757575757576</v>
      </c>
      <c r="D203">
        <v>0.16969696969697001</v>
      </c>
      <c r="E203">
        <v>0.18181818181818199</v>
      </c>
      <c r="F203">
        <v>0.175757575757576</v>
      </c>
    </row>
    <row r="204" spans="1:6" x14ac:dyDescent="0.2">
      <c r="B204">
        <v>0.16111111111111101</v>
      </c>
      <c r="C204">
        <v>0.16666666666666699</v>
      </c>
      <c r="D204">
        <v>0.16666666666666699</v>
      </c>
      <c r="E204">
        <v>0.21666666666666701</v>
      </c>
      <c r="F204">
        <v>0.2</v>
      </c>
    </row>
    <row r="205" spans="1:6" x14ac:dyDescent="0.2">
      <c r="B205">
        <v>0.16923076923076899</v>
      </c>
      <c r="C205">
        <v>0.15384615384615399</v>
      </c>
      <c r="D205">
        <v>0.15384615384615399</v>
      </c>
      <c r="E205">
        <v>0.22564102564102601</v>
      </c>
      <c r="F205">
        <v>0.2</v>
      </c>
    </row>
    <row r="206" spans="1:6" x14ac:dyDescent="0.2">
      <c r="B206">
        <v>0.19523809523809499</v>
      </c>
      <c r="C206">
        <v>0.14285714285714299</v>
      </c>
      <c r="D206">
        <v>0.14285714285714299</v>
      </c>
      <c r="E206">
        <v>0.22857142857142901</v>
      </c>
      <c r="F206">
        <v>0.19047619047619099</v>
      </c>
    </row>
    <row r="207" spans="1:6" x14ac:dyDescent="0.2">
      <c r="B207">
        <v>0.18666666666666701</v>
      </c>
      <c r="C207">
        <v>0.2</v>
      </c>
      <c r="D207">
        <v>0.2</v>
      </c>
      <c r="E207">
        <v>0.23111111111111099</v>
      </c>
      <c r="F207">
        <v>0.18666666666666701</v>
      </c>
    </row>
    <row r="208" spans="1:6" x14ac:dyDescent="0.2">
      <c r="B208">
        <v>0.23749999999999999</v>
      </c>
      <c r="C208">
        <v>0.1875</v>
      </c>
      <c r="D208">
        <v>0.1875</v>
      </c>
      <c r="E208">
        <v>0.241666666666667</v>
      </c>
      <c r="F208">
        <v>0.2</v>
      </c>
    </row>
    <row r="209" spans="1:6" x14ac:dyDescent="0.2">
      <c r="B209">
        <v>0.227450980392157</v>
      </c>
      <c r="C209">
        <v>0.17647058823529399</v>
      </c>
      <c r="D209">
        <v>0.20588235294117599</v>
      </c>
      <c r="E209">
        <v>0.25490196078431399</v>
      </c>
      <c r="F209">
        <v>0.21568627450980399</v>
      </c>
    </row>
    <row r="210" spans="1:6" x14ac:dyDescent="0.2">
      <c r="B210">
        <v>0.21481481481481501</v>
      </c>
      <c r="C210">
        <v>0.203703703703704</v>
      </c>
      <c r="D210">
        <v>0.22222222222222199</v>
      </c>
      <c r="E210">
        <v>0.24814814814814801</v>
      </c>
      <c r="F210">
        <v>0.218518518518519</v>
      </c>
    </row>
    <row r="211" spans="1:6" x14ac:dyDescent="0.2">
      <c r="B211">
        <v>0.256140350877193</v>
      </c>
      <c r="C211">
        <v>0.24561403508771901</v>
      </c>
      <c r="D211">
        <v>0.23684210526315799</v>
      </c>
      <c r="E211">
        <v>0.28070175438596501</v>
      </c>
      <c r="F211">
        <v>0.221052631578947</v>
      </c>
    </row>
    <row r="212" spans="1:6" x14ac:dyDescent="0.2">
      <c r="B212">
        <v>0.266666666666667</v>
      </c>
      <c r="C212">
        <v>0.24666666666666701</v>
      </c>
      <c r="D212">
        <v>0.25</v>
      </c>
      <c r="E212">
        <v>0.28666666666666701</v>
      </c>
      <c r="F212">
        <v>0.223333333333333</v>
      </c>
    </row>
    <row r="214" spans="1:6" x14ac:dyDescent="0.2">
      <c r="A214" t="s">
        <v>15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"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"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"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">
      <c r="B218">
        <v>1.3333333333333299E-2</v>
      </c>
      <c r="C218">
        <v>0</v>
      </c>
      <c r="D218">
        <v>0</v>
      </c>
      <c r="E218">
        <v>0</v>
      </c>
      <c r="F218">
        <v>0.04</v>
      </c>
    </row>
    <row r="219" spans="1:6" x14ac:dyDescent="0.2">
      <c r="B219">
        <v>5.5555555555555601E-2</v>
      </c>
      <c r="C219">
        <v>0</v>
      </c>
      <c r="D219">
        <v>0</v>
      </c>
      <c r="E219">
        <v>7.7777777777777807E-2</v>
      </c>
      <c r="F219">
        <v>8.8888888888888906E-2</v>
      </c>
    </row>
    <row r="220" spans="1:6" x14ac:dyDescent="0.2">
      <c r="B220">
        <v>0.104761904761905</v>
      </c>
      <c r="C220">
        <v>0</v>
      </c>
      <c r="D220">
        <v>0</v>
      </c>
      <c r="E220">
        <v>8.5714285714285701E-2</v>
      </c>
      <c r="F220">
        <v>8.5714285714285701E-2</v>
      </c>
    </row>
    <row r="221" spans="1:6" x14ac:dyDescent="0.2">
      <c r="B221">
        <v>0.1</v>
      </c>
      <c r="C221">
        <v>0.125</v>
      </c>
      <c r="D221">
        <v>5.83333333333333E-2</v>
      </c>
      <c r="E221">
        <v>0.125</v>
      </c>
      <c r="F221">
        <v>0.15</v>
      </c>
    </row>
    <row r="222" spans="1:6" x14ac:dyDescent="0.2">
      <c r="B222">
        <v>0.11111111111111099</v>
      </c>
      <c r="C222">
        <v>0.11111111111111099</v>
      </c>
      <c r="D222">
        <v>0.11111111111111099</v>
      </c>
      <c r="E222">
        <v>0.155555555555556</v>
      </c>
      <c r="F222">
        <v>0.162962962962963</v>
      </c>
    </row>
    <row r="223" spans="1:6" x14ac:dyDescent="0.2">
      <c r="B223">
        <v>0.10666666666666701</v>
      </c>
      <c r="C223">
        <v>0.1</v>
      </c>
      <c r="D223">
        <v>0.1</v>
      </c>
      <c r="E223">
        <v>0.15333333333333299</v>
      </c>
      <c r="F223">
        <v>0.17333333333333301</v>
      </c>
    </row>
    <row r="224" spans="1:6" x14ac:dyDescent="0.2">
      <c r="B224">
        <v>0.103030303030303</v>
      </c>
      <c r="C224">
        <v>0.18181818181818199</v>
      </c>
      <c r="D224">
        <v>0.145454545454545</v>
      </c>
      <c r="E224">
        <v>0.18181818181818199</v>
      </c>
      <c r="F224">
        <v>0.18181818181818199</v>
      </c>
    </row>
    <row r="225" spans="2:6" x14ac:dyDescent="0.2">
      <c r="B225">
        <v>0.16111111111111101</v>
      </c>
      <c r="C225">
        <v>0.16666666666666699</v>
      </c>
      <c r="D225">
        <v>0.14444444444444399</v>
      </c>
      <c r="E225">
        <v>0.194444444444444</v>
      </c>
      <c r="F225">
        <v>0.18888888888888899</v>
      </c>
    </row>
    <row r="226" spans="2:6" x14ac:dyDescent="0.2">
      <c r="B226">
        <v>0.16410256410256399</v>
      </c>
      <c r="C226">
        <v>0.15384615384615399</v>
      </c>
      <c r="D226">
        <v>0.15384615384615399</v>
      </c>
      <c r="E226">
        <v>0.19487179487179501</v>
      </c>
      <c r="F226">
        <v>0.19487179487179501</v>
      </c>
    </row>
    <row r="227" spans="2:6" x14ac:dyDescent="0.2">
      <c r="B227">
        <v>0.17142857142857101</v>
      </c>
      <c r="C227">
        <v>0.14285714285714299</v>
      </c>
      <c r="D227">
        <v>0.14285714285714299</v>
      </c>
      <c r="E227">
        <v>0.185714285714286</v>
      </c>
      <c r="F227">
        <v>0.2</v>
      </c>
    </row>
    <row r="228" spans="2:6" x14ac:dyDescent="0.2">
      <c r="B228">
        <v>0.164444444444444</v>
      </c>
      <c r="C228">
        <v>0.2</v>
      </c>
      <c r="D228">
        <v>0.18222222222222201</v>
      </c>
      <c r="E228">
        <v>0.2</v>
      </c>
      <c r="F228">
        <v>0.20444444444444401</v>
      </c>
    </row>
    <row r="229" spans="2:6" x14ac:dyDescent="0.2">
      <c r="B229">
        <v>0.20833333333333301</v>
      </c>
      <c r="C229">
        <v>0.1875</v>
      </c>
      <c r="D229">
        <v>0.1875</v>
      </c>
      <c r="E229">
        <v>0.21666666666666701</v>
      </c>
      <c r="F229">
        <v>0.20833333333333301</v>
      </c>
    </row>
    <row r="230" spans="2:6" x14ac:dyDescent="0.2">
      <c r="B230">
        <v>0.207843137254902</v>
      </c>
      <c r="C230">
        <v>0.17647058823529399</v>
      </c>
      <c r="D230">
        <v>0.20588235294117599</v>
      </c>
      <c r="E230">
        <v>0.21568627450980399</v>
      </c>
      <c r="F230">
        <v>0.21960784313725501</v>
      </c>
    </row>
    <row r="231" spans="2:6" x14ac:dyDescent="0.2">
      <c r="B231">
        <v>0.2</v>
      </c>
      <c r="C231">
        <v>0.203703703703704</v>
      </c>
      <c r="D231">
        <v>0.22222222222222199</v>
      </c>
      <c r="E231">
        <v>0.225925925925926</v>
      </c>
      <c r="F231">
        <v>0.22222222222222199</v>
      </c>
    </row>
    <row r="232" spans="2:6" x14ac:dyDescent="0.2">
      <c r="B232">
        <v>0.23508771929824601</v>
      </c>
      <c r="C232">
        <v>0.24561403508771901</v>
      </c>
      <c r="D232">
        <v>0.23684210526315799</v>
      </c>
      <c r="E232">
        <v>0.23859649122807</v>
      </c>
      <c r="F232">
        <v>0.22456140350877199</v>
      </c>
    </row>
    <row r="233" spans="2:6" x14ac:dyDescent="0.2">
      <c r="B233">
        <v>0.25</v>
      </c>
      <c r="C233">
        <v>0.236666666666667</v>
      </c>
      <c r="D233">
        <v>0.25</v>
      </c>
      <c r="E233">
        <v>0.25</v>
      </c>
      <c r="F233">
        <v>0.22666666666666699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C807-0D5B-AD44-808D-66F902E754BC}">
  <dimension ref="A1:L233"/>
  <sheetViews>
    <sheetView topLeftCell="F1" workbookViewId="0">
      <selection activeCell="W21" sqref="N2:W21"/>
    </sheetView>
  </sheetViews>
  <sheetFormatPr baseColWidth="10" defaultRowHeight="16" x14ac:dyDescent="0.2"/>
  <sheetData>
    <row r="1" spans="1:12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"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B4">
        <v>0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B5">
        <v>0</v>
      </c>
      <c r="C5">
        <v>0</v>
      </c>
      <c r="D5">
        <v>0</v>
      </c>
      <c r="E5">
        <v>0</v>
      </c>
      <c r="F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B6">
        <v>2E-3</v>
      </c>
      <c r="C6">
        <v>0</v>
      </c>
      <c r="D6">
        <v>0</v>
      </c>
      <c r="E6">
        <v>1.32E-2</v>
      </c>
      <c r="F6">
        <v>2.8000000000000001E-2</v>
      </c>
      <c r="H6">
        <v>2.1081851067789202E-3</v>
      </c>
      <c r="I6">
        <v>0</v>
      </c>
      <c r="J6">
        <v>0</v>
      </c>
      <c r="K6">
        <v>8.1758451822698096E-3</v>
      </c>
      <c r="L6">
        <v>1.2220201853215601E-2</v>
      </c>
    </row>
    <row r="7" spans="1:12" x14ac:dyDescent="0.2">
      <c r="B7">
        <v>6.8333333333333302E-2</v>
      </c>
      <c r="C7">
        <v>0</v>
      </c>
      <c r="D7">
        <v>0</v>
      </c>
      <c r="E7">
        <v>7.1333333333333304E-2</v>
      </c>
      <c r="F7">
        <v>7.8333333333333297E-2</v>
      </c>
      <c r="H7">
        <v>1.1138854253201901E-2</v>
      </c>
      <c r="I7">
        <v>0</v>
      </c>
      <c r="J7">
        <v>0</v>
      </c>
      <c r="K7">
        <v>1.1674600476945501E-2</v>
      </c>
      <c r="L7">
        <v>1.2692955176439801E-2</v>
      </c>
    </row>
    <row r="8" spans="1:12" x14ac:dyDescent="0.2">
      <c r="B8">
        <v>9.9428571428571505E-2</v>
      </c>
      <c r="C8">
        <v>0</v>
      </c>
      <c r="D8">
        <v>0</v>
      </c>
      <c r="E8">
        <v>0.103428571428571</v>
      </c>
      <c r="F8">
        <v>7.22857142857143E-2</v>
      </c>
      <c r="H8">
        <v>1.21068560625301E-2</v>
      </c>
      <c r="I8">
        <v>0</v>
      </c>
      <c r="J8">
        <v>0</v>
      </c>
      <c r="K8">
        <v>1.5226185822256299E-2</v>
      </c>
      <c r="L8">
        <v>1.22001449751618E-2</v>
      </c>
    </row>
    <row r="9" spans="1:12" x14ac:dyDescent="0.2">
      <c r="B9">
        <v>0.11849999999999999</v>
      </c>
      <c r="C9">
        <v>0.125</v>
      </c>
      <c r="D9">
        <v>8.7999999999999995E-2</v>
      </c>
      <c r="E9">
        <v>0.125</v>
      </c>
      <c r="F9">
        <v>0.1295</v>
      </c>
      <c r="H9">
        <v>5.0277010429994502E-3</v>
      </c>
      <c r="I9">
        <v>0</v>
      </c>
      <c r="J9">
        <v>8.3166499665831006E-3</v>
      </c>
      <c r="K9">
        <v>0</v>
      </c>
      <c r="L9">
        <v>1.27910559028999E-2</v>
      </c>
    </row>
    <row r="10" spans="1:12" x14ac:dyDescent="0.2">
      <c r="B10">
        <v>0.118888888888889</v>
      </c>
      <c r="C10">
        <v>0.11111111111111099</v>
      </c>
      <c r="D10">
        <v>0.11111111111111099</v>
      </c>
      <c r="E10">
        <v>0.16600000000000001</v>
      </c>
      <c r="F10">
        <v>0.17599999999999999</v>
      </c>
      <c r="H10">
        <v>8.1312957037407898E-3</v>
      </c>
      <c r="I10" s="1">
        <v>2.9256945571472498E-17</v>
      </c>
      <c r="J10" s="1">
        <v>2.9256945571472498E-17</v>
      </c>
      <c r="K10">
        <v>8.1177885586947995E-3</v>
      </c>
      <c r="L10">
        <v>6.3548475820821397E-3</v>
      </c>
    </row>
    <row r="11" spans="1:12" x14ac:dyDescent="0.2">
      <c r="B11">
        <v>0.1084</v>
      </c>
      <c r="C11">
        <v>0.1</v>
      </c>
      <c r="D11">
        <v>0.1</v>
      </c>
      <c r="E11">
        <v>0.1638</v>
      </c>
      <c r="F11">
        <v>0.1862</v>
      </c>
      <c r="H11">
        <v>8.2083967848647407E-3</v>
      </c>
      <c r="I11" s="1">
        <v>1.4628472785736301E-17</v>
      </c>
      <c r="J11" s="1">
        <v>1.4628472785736301E-17</v>
      </c>
      <c r="K11">
        <v>6.4256430720114601E-3</v>
      </c>
      <c r="L11">
        <v>7.0836274448743998E-3</v>
      </c>
    </row>
    <row r="12" spans="1:12" x14ac:dyDescent="0.2">
      <c r="B12">
        <v>0.101818181818182</v>
      </c>
      <c r="C12">
        <v>0.18181818181818199</v>
      </c>
      <c r="D12">
        <v>0.163636363636364</v>
      </c>
      <c r="E12">
        <v>0.180181818181818</v>
      </c>
      <c r="F12">
        <v>0.19327272727272701</v>
      </c>
      <c r="H12">
        <v>8.0403025220736994E-3</v>
      </c>
      <c r="I12" s="1">
        <v>2.9256945571472498E-17</v>
      </c>
      <c r="J12">
        <v>7.9020635214577598E-3</v>
      </c>
      <c r="K12">
        <v>2.7706980486454399E-3</v>
      </c>
      <c r="L12">
        <v>5.5579425542353301E-3</v>
      </c>
    </row>
    <row r="13" spans="1:12" x14ac:dyDescent="0.2">
      <c r="B13">
        <v>0.16116666666666701</v>
      </c>
      <c r="C13">
        <v>0.16666666666666699</v>
      </c>
      <c r="D13">
        <v>0.164333333333333</v>
      </c>
      <c r="E13">
        <v>0.20949999999999999</v>
      </c>
      <c r="F13">
        <v>0.19850000000000001</v>
      </c>
      <c r="H13">
        <v>7.1167512355110596E-3</v>
      </c>
      <c r="I13" s="1">
        <v>2.9256945571472498E-17</v>
      </c>
      <c r="J13">
        <v>4.6613726585340099E-3</v>
      </c>
      <c r="K13">
        <v>5.3315969395600401E-3</v>
      </c>
      <c r="L13">
        <v>3.9635686626082103E-3</v>
      </c>
    </row>
    <row r="14" spans="1:12" x14ac:dyDescent="0.2">
      <c r="B14">
        <v>0.16046153846153899</v>
      </c>
      <c r="C14">
        <v>0.15384615384615399</v>
      </c>
      <c r="D14">
        <v>0.15384615384615399</v>
      </c>
      <c r="E14">
        <v>0.20076923076923101</v>
      </c>
      <c r="F14">
        <v>0.20415384615384599</v>
      </c>
      <c r="H14">
        <v>6.99581917037332E-3</v>
      </c>
      <c r="I14" s="1">
        <v>2.9256945571472498E-17</v>
      </c>
      <c r="J14" s="1">
        <v>2.9256945571472498E-17</v>
      </c>
      <c r="K14">
        <v>6.8129898746597103E-3</v>
      </c>
      <c r="L14">
        <v>4.1693285382928902E-3</v>
      </c>
    </row>
    <row r="15" spans="1:12" x14ac:dyDescent="0.2">
      <c r="B15">
        <v>0.184142857142857</v>
      </c>
      <c r="C15">
        <v>0.14285714285714299</v>
      </c>
      <c r="D15">
        <v>0.14285714285714299</v>
      </c>
      <c r="E15">
        <v>0.19571428571428601</v>
      </c>
      <c r="F15">
        <v>0.20699999999999999</v>
      </c>
      <c r="H15">
        <v>7.3909302756916904E-3</v>
      </c>
      <c r="I15" s="1">
        <v>2.9256945571472498E-17</v>
      </c>
      <c r="J15" s="1">
        <v>2.9256945571472498E-17</v>
      </c>
      <c r="K15">
        <v>7.6190476190476199E-3</v>
      </c>
      <c r="L15">
        <v>5.2359302885346603E-3</v>
      </c>
    </row>
    <row r="16" spans="1:12" x14ac:dyDescent="0.2">
      <c r="B16">
        <v>0.17599999999999999</v>
      </c>
      <c r="C16">
        <v>0.2</v>
      </c>
      <c r="D16">
        <v>0.18253333333333299</v>
      </c>
      <c r="E16">
        <v>0.21466666666666701</v>
      </c>
      <c r="F16">
        <v>0.20733333333333301</v>
      </c>
      <c r="H16">
        <v>8.0981631814615995E-3</v>
      </c>
      <c r="I16" s="1">
        <v>2.9256945571472498E-17</v>
      </c>
      <c r="J16">
        <v>4.9670519363372596E-3</v>
      </c>
      <c r="K16">
        <v>4.3997755273829497E-3</v>
      </c>
      <c r="L16">
        <v>6.4482747237986299E-3</v>
      </c>
    </row>
    <row r="17" spans="1:12" x14ac:dyDescent="0.2">
      <c r="B17">
        <v>0.22537499999999999</v>
      </c>
      <c r="C17">
        <v>0.1875</v>
      </c>
      <c r="D17">
        <v>0.1875</v>
      </c>
      <c r="E17">
        <v>0.22900000000000001</v>
      </c>
      <c r="F17">
        <v>0.21287500000000001</v>
      </c>
      <c r="H17">
        <v>7.1455600044907398E-3</v>
      </c>
      <c r="I17">
        <v>0</v>
      </c>
      <c r="J17">
        <v>0</v>
      </c>
      <c r="K17">
        <v>4.2817441928883803E-3</v>
      </c>
      <c r="L17">
        <v>6.7969049328842701E-3</v>
      </c>
    </row>
    <row r="18" spans="1:12" x14ac:dyDescent="0.2">
      <c r="B18">
        <v>0.214470588235294</v>
      </c>
      <c r="C18">
        <v>0.17682352941176499</v>
      </c>
      <c r="D18">
        <v>0.20588235294117599</v>
      </c>
      <c r="E18">
        <v>0.22752941176470601</v>
      </c>
      <c r="F18">
        <v>0.221764705882353</v>
      </c>
      <c r="H18">
        <v>7.6052148279832903E-3</v>
      </c>
      <c r="I18" s="1">
        <v>5.6828928416429803E-4</v>
      </c>
      <c r="J18">
        <v>0</v>
      </c>
      <c r="K18">
        <v>8.0978255680880292E-3</v>
      </c>
      <c r="L18">
        <v>4.0848365992156204E-3</v>
      </c>
    </row>
    <row r="19" spans="1:12" x14ac:dyDescent="0.2">
      <c r="B19">
        <v>0.204666666666667</v>
      </c>
      <c r="C19">
        <v>0.20300000000000001</v>
      </c>
      <c r="D19">
        <v>0.22222222222222199</v>
      </c>
      <c r="E19">
        <v>0.242111111111111</v>
      </c>
      <c r="F19">
        <v>0.22500000000000001</v>
      </c>
      <c r="H19">
        <v>7.4406660763541802E-3</v>
      </c>
      <c r="I19">
        <v>2.6215316102498401E-3</v>
      </c>
      <c r="J19" s="1">
        <v>5.8513891142944996E-17</v>
      </c>
      <c r="K19">
        <v>5.2234041215747399E-3</v>
      </c>
      <c r="L19">
        <v>4.7790695928014602E-3</v>
      </c>
    </row>
    <row r="20" spans="1:12" x14ac:dyDescent="0.2">
      <c r="B20">
        <v>0.244736842105263</v>
      </c>
      <c r="C20">
        <v>0.244736842105263</v>
      </c>
      <c r="D20">
        <v>0.23684210526315799</v>
      </c>
      <c r="E20">
        <v>0.25778947368421101</v>
      </c>
      <c r="F20">
        <v>0.228315789473684</v>
      </c>
      <c r="H20">
        <v>6.6989063480830799E-3</v>
      </c>
      <c r="I20">
        <v>2.3406428182677799E-3</v>
      </c>
      <c r="J20">
        <v>0</v>
      </c>
      <c r="K20">
        <v>4.1649580984488201E-3</v>
      </c>
      <c r="L20">
        <v>5.4232948295522996E-3</v>
      </c>
    </row>
    <row r="21" spans="1:12" x14ac:dyDescent="0.2">
      <c r="B21">
        <v>0.25109999999999999</v>
      </c>
      <c r="C21">
        <v>0.2394</v>
      </c>
      <c r="D21">
        <v>0.25</v>
      </c>
      <c r="E21">
        <v>0.27100000000000002</v>
      </c>
      <c r="F21">
        <v>0.23350000000000001</v>
      </c>
      <c r="H21">
        <v>5.9338951044917501E-3</v>
      </c>
      <c r="I21">
        <v>2.1705094128132902E-3</v>
      </c>
      <c r="J21">
        <v>0</v>
      </c>
      <c r="K21">
        <v>5.3541261347363296E-3</v>
      </c>
      <c r="L21">
        <v>5.0607421502296603E-3</v>
      </c>
    </row>
    <row r="25" spans="1:12" x14ac:dyDescent="0.2">
      <c r="A25" t="s">
        <v>6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12" x14ac:dyDescent="0.2">
      <c r="B26">
        <v>0</v>
      </c>
      <c r="C26">
        <v>0</v>
      </c>
      <c r="D26">
        <v>0</v>
      </c>
      <c r="E26">
        <v>0</v>
      </c>
      <c r="F26">
        <v>0</v>
      </c>
    </row>
    <row r="27" spans="1:12" x14ac:dyDescent="0.2">
      <c r="B27">
        <v>0</v>
      </c>
      <c r="C27">
        <v>0</v>
      </c>
      <c r="D27">
        <v>0</v>
      </c>
      <c r="E27">
        <v>0</v>
      </c>
      <c r="F27">
        <v>0</v>
      </c>
    </row>
    <row r="28" spans="1:12" x14ac:dyDescent="0.2">
      <c r="B28">
        <v>0</v>
      </c>
      <c r="C28">
        <v>0</v>
      </c>
      <c r="D28">
        <v>0</v>
      </c>
      <c r="E28">
        <v>0</v>
      </c>
      <c r="F28">
        <v>0</v>
      </c>
    </row>
    <row r="29" spans="1:12" x14ac:dyDescent="0.2">
      <c r="B29">
        <v>0</v>
      </c>
      <c r="C29">
        <v>0</v>
      </c>
      <c r="D29">
        <v>0</v>
      </c>
      <c r="E29">
        <v>1.4E-2</v>
      </c>
      <c r="F29">
        <v>1.2E-2</v>
      </c>
    </row>
    <row r="30" spans="1:12" x14ac:dyDescent="0.2">
      <c r="B30">
        <v>8.3333333333333301E-2</v>
      </c>
      <c r="C30">
        <v>0</v>
      </c>
      <c r="D30">
        <v>0</v>
      </c>
      <c r="E30">
        <v>7.0000000000000007E-2</v>
      </c>
      <c r="F30">
        <v>6.3333333333333297E-2</v>
      </c>
    </row>
    <row r="31" spans="1:12" x14ac:dyDescent="0.2">
      <c r="B31">
        <v>0.1</v>
      </c>
      <c r="C31">
        <v>0</v>
      </c>
      <c r="D31">
        <v>0</v>
      </c>
      <c r="E31">
        <v>0.108571428571429</v>
      </c>
      <c r="F31">
        <v>5.7142857142857099E-2</v>
      </c>
    </row>
    <row r="32" spans="1:12" x14ac:dyDescent="0.2">
      <c r="B32">
        <v>0.11749999999999999</v>
      </c>
      <c r="C32">
        <v>0.125</v>
      </c>
      <c r="D32">
        <v>9.5000000000000001E-2</v>
      </c>
      <c r="E32">
        <v>0.125</v>
      </c>
      <c r="F32">
        <v>0.12</v>
      </c>
    </row>
    <row r="33" spans="1:6" x14ac:dyDescent="0.2">
      <c r="B33">
        <v>0.11555555555555599</v>
      </c>
      <c r="C33">
        <v>0.11111111111111099</v>
      </c>
      <c r="D33">
        <v>0.11111111111111099</v>
      </c>
      <c r="E33">
        <v>0.164444444444444</v>
      </c>
      <c r="F33">
        <v>0.17333333333333301</v>
      </c>
    </row>
    <row r="34" spans="1:6" x14ac:dyDescent="0.2">
      <c r="B34">
        <v>0.104</v>
      </c>
      <c r="C34">
        <v>0.1</v>
      </c>
      <c r="D34">
        <v>0.1</v>
      </c>
      <c r="E34">
        <v>0.16400000000000001</v>
      </c>
      <c r="F34">
        <v>0.184</v>
      </c>
    </row>
    <row r="35" spans="1:6" x14ac:dyDescent="0.2">
      <c r="B35">
        <v>9.8181818181818203E-2</v>
      </c>
      <c r="C35">
        <v>0.18181818181818199</v>
      </c>
      <c r="D35">
        <v>0.174545454545455</v>
      </c>
      <c r="E35">
        <v>0.18181818181818199</v>
      </c>
      <c r="F35">
        <v>0.192727272727273</v>
      </c>
    </row>
    <row r="36" spans="1:6" x14ac:dyDescent="0.2">
      <c r="B36">
        <v>0.151666666666667</v>
      </c>
      <c r="C36">
        <v>0.16666666666666699</v>
      </c>
      <c r="D36">
        <v>0.16666666666666699</v>
      </c>
      <c r="E36">
        <v>0.21</v>
      </c>
      <c r="F36">
        <v>0.198333333333333</v>
      </c>
    </row>
    <row r="37" spans="1:6" x14ac:dyDescent="0.2">
      <c r="B37">
        <v>0.15076923076923099</v>
      </c>
      <c r="C37">
        <v>0.15384615384615399</v>
      </c>
      <c r="D37">
        <v>0.15384615384615399</v>
      </c>
      <c r="E37">
        <v>0.2</v>
      </c>
      <c r="F37">
        <v>0.204615384615385</v>
      </c>
    </row>
    <row r="38" spans="1:6" x14ac:dyDescent="0.2">
      <c r="B38">
        <v>0.17571428571428599</v>
      </c>
      <c r="C38">
        <v>0.14285714285714299</v>
      </c>
      <c r="D38">
        <v>0.14285714285714299</v>
      </c>
      <c r="E38">
        <v>0.19857142857142901</v>
      </c>
      <c r="F38">
        <v>0.20571428571428599</v>
      </c>
    </row>
    <row r="39" spans="1:6" x14ac:dyDescent="0.2">
      <c r="B39">
        <v>0.16666666666666699</v>
      </c>
      <c r="C39">
        <v>0.2</v>
      </c>
      <c r="D39">
        <v>0.18</v>
      </c>
      <c r="E39">
        <v>0.216</v>
      </c>
      <c r="F39">
        <v>0.210666666666667</v>
      </c>
    </row>
    <row r="40" spans="1:6" x14ac:dyDescent="0.2">
      <c r="B40">
        <v>0.21625</v>
      </c>
      <c r="C40">
        <v>0.1875</v>
      </c>
      <c r="D40">
        <v>0.1875</v>
      </c>
      <c r="E40">
        <v>0.23375000000000001</v>
      </c>
      <c r="F40">
        <v>0.21375</v>
      </c>
    </row>
    <row r="41" spans="1:6" x14ac:dyDescent="0.2">
      <c r="B41">
        <v>0.20470588235294099</v>
      </c>
      <c r="C41">
        <v>0.17647058823529399</v>
      </c>
      <c r="D41">
        <v>0.20588235294117599</v>
      </c>
      <c r="E41">
        <v>0.23176470588235301</v>
      </c>
      <c r="F41">
        <v>0.222352941176471</v>
      </c>
    </row>
    <row r="42" spans="1:6" x14ac:dyDescent="0.2">
      <c r="B42">
        <v>0.19555555555555601</v>
      </c>
      <c r="C42">
        <v>0.20333333333333301</v>
      </c>
      <c r="D42">
        <v>0.22222222222222199</v>
      </c>
      <c r="E42">
        <v>0.24444444444444399</v>
      </c>
      <c r="F42">
        <v>0.22555555555555601</v>
      </c>
    </row>
    <row r="43" spans="1:6" x14ac:dyDescent="0.2">
      <c r="B43">
        <v>0.23578947368421099</v>
      </c>
      <c r="C43">
        <v>0.24526315789473699</v>
      </c>
      <c r="D43">
        <v>0.23684210526315799</v>
      </c>
      <c r="E43">
        <v>0.26105263157894698</v>
      </c>
      <c r="F43">
        <v>0.232631578947368</v>
      </c>
    </row>
    <row r="44" spans="1:6" x14ac:dyDescent="0.2">
      <c r="B44">
        <v>0.245</v>
      </c>
      <c r="C44">
        <v>0.24099999999999999</v>
      </c>
      <c r="D44">
        <v>0.25</v>
      </c>
      <c r="E44">
        <v>0.27600000000000002</v>
      </c>
      <c r="F44">
        <v>0.23499999999999999</v>
      </c>
    </row>
    <row r="46" spans="1:6" x14ac:dyDescent="0.2">
      <c r="A46" t="s">
        <v>7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B48">
        <v>0</v>
      </c>
      <c r="C48">
        <v>0</v>
      </c>
      <c r="D48">
        <v>0</v>
      </c>
      <c r="E48">
        <v>0</v>
      </c>
      <c r="F48">
        <v>0</v>
      </c>
    </row>
    <row r="49" spans="2:6" x14ac:dyDescent="0.2">
      <c r="B49">
        <v>0</v>
      </c>
      <c r="C49">
        <v>0</v>
      </c>
      <c r="D49">
        <v>0</v>
      </c>
      <c r="E49">
        <v>0</v>
      </c>
      <c r="F49">
        <v>0</v>
      </c>
    </row>
    <row r="50" spans="2:6" x14ac:dyDescent="0.2">
      <c r="B50">
        <v>4.0000000000000001E-3</v>
      </c>
      <c r="C50">
        <v>0</v>
      </c>
      <c r="D50">
        <v>0</v>
      </c>
      <c r="E50">
        <v>1.4E-2</v>
      </c>
      <c r="F50">
        <v>0.04</v>
      </c>
    </row>
    <row r="51" spans="2:6" x14ac:dyDescent="0.2">
      <c r="B51">
        <v>0.08</v>
      </c>
      <c r="C51">
        <v>0</v>
      </c>
      <c r="D51">
        <v>0</v>
      </c>
      <c r="E51">
        <v>5.6666666666666698E-2</v>
      </c>
      <c r="F51">
        <v>8.3333333333333301E-2</v>
      </c>
    </row>
    <row r="52" spans="2:6" x14ac:dyDescent="0.2">
      <c r="B52">
        <v>0.114285714285714</v>
      </c>
      <c r="C52">
        <v>0</v>
      </c>
      <c r="D52">
        <v>0</v>
      </c>
      <c r="E52">
        <v>8.5714285714285701E-2</v>
      </c>
      <c r="F52">
        <v>0.08</v>
      </c>
    </row>
    <row r="53" spans="2:6" x14ac:dyDescent="0.2">
      <c r="B53">
        <v>0.12</v>
      </c>
      <c r="C53">
        <v>0.125</v>
      </c>
      <c r="D53">
        <v>9.2499999999999999E-2</v>
      </c>
      <c r="E53">
        <v>0.125</v>
      </c>
      <c r="F53">
        <v>0.13750000000000001</v>
      </c>
    </row>
    <row r="54" spans="2:6" x14ac:dyDescent="0.2">
      <c r="B54">
        <v>0.124444444444444</v>
      </c>
      <c r="C54">
        <v>0.11111111111111099</v>
      </c>
      <c r="D54">
        <v>0.11111111111111099</v>
      </c>
      <c r="E54">
        <v>0.16</v>
      </c>
      <c r="F54">
        <v>0.17555555555555599</v>
      </c>
    </row>
    <row r="55" spans="2:6" x14ac:dyDescent="0.2">
      <c r="B55">
        <v>0.114</v>
      </c>
      <c r="C55">
        <v>0.1</v>
      </c>
      <c r="D55">
        <v>0.1</v>
      </c>
      <c r="E55">
        <v>0.156</v>
      </c>
      <c r="F55">
        <v>0.188</v>
      </c>
    </row>
    <row r="56" spans="2:6" x14ac:dyDescent="0.2">
      <c r="B56">
        <v>0.105454545454545</v>
      </c>
      <c r="C56">
        <v>0.18181818181818199</v>
      </c>
      <c r="D56">
        <v>0.16727272727272699</v>
      </c>
      <c r="E56">
        <v>0.174545454545455</v>
      </c>
      <c r="F56">
        <v>0.192727272727273</v>
      </c>
    </row>
    <row r="57" spans="2:6" x14ac:dyDescent="0.2">
      <c r="B57">
        <v>0.16666666666666699</v>
      </c>
      <c r="C57">
        <v>0.16666666666666699</v>
      </c>
      <c r="D57">
        <v>0.16666666666666699</v>
      </c>
      <c r="E57">
        <v>0.20333333333333301</v>
      </c>
      <c r="F57">
        <v>0.198333333333333</v>
      </c>
    </row>
    <row r="58" spans="2:6" x14ac:dyDescent="0.2">
      <c r="B58">
        <v>0.16923076923076899</v>
      </c>
      <c r="C58">
        <v>0.15384615384615399</v>
      </c>
      <c r="D58">
        <v>0.15384615384615399</v>
      </c>
      <c r="E58">
        <v>0.193846153846154</v>
      </c>
      <c r="F58">
        <v>0.20615384615384599</v>
      </c>
    </row>
    <row r="59" spans="2:6" x14ac:dyDescent="0.2">
      <c r="B59">
        <v>0.187142857142857</v>
      </c>
      <c r="C59">
        <v>0.14285714285714299</v>
      </c>
      <c r="D59">
        <v>0.14285714285714299</v>
      </c>
      <c r="E59">
        <v>0.187142857142857</v>
      </c>
      <c r="F59">
        <v>0.20857142857142899</v>
      </c>
    </row>
    <row r="60" spans="2:6" x14ac:dyDescent="0.2">
      <c r="B60">
        <v>0.17599999999999999</v>
      </c>
      <c r="C60">
        <v>0.2</v>
      </c>
      <c r="D60">
        <v>0.18133333333333301</v>
      </c>
      <c r="E60">
        <v>0.21333333333333299</v>
      </c>
      <c r="F60">
        <v>0.210666666666667</v>
      </c>
    </row>
    <row r="61" spans="2:6" x14ac:dyDescent="0.2">
      <c r="B61">
        <v>0.22625000000000001</v>
      </c>
      <c r="C61">
        <v>0.1875</v>
      </c>
      <c r="D61">
        <v>0.1875</v>
      </c>
      <c r="E61">
        <v>0.22375</v>
      </c>
      <c r="F61">
        <v>0.215</v>
      </c>
    </row>
    <row r="62" spans="2:6" x14ac:dyDescent="0.2">
      <c r="B62">
        <v>0.216470588235294</v>
      </c>
      <c r="C62">
        <v>0.17764705882352899</v>
      </c>
      <c r="D62">
        <v>0.20588235294117599</v>
      </c>
      <c r="E62">
        <v>0.217647058823529</v>
      </c>
      <c r="F62">
        <v>0.222352941176471</v>
      </c>
    </row>
    <row r="63" spans="2:6" x14ac:dyDescent="0.2">
      <c r="B63">
        <v>0.20555555555555599</v>
      </c>
      <c r="C63">
        <v>0.20777777777777801</v>
      </c>
      <c r="D63">
        <v>0.22222222222222199</v>
      </c>
      <c r="E63">
        <v>0.237777777777778</v>
      </c>
      <c r="F63">
        <v>0.223333333333333</v>
      </c>
    </row>
    <row r="64" spans="2:6" x14ac:dyDescent="0.2">
      <c r="B64">
        <v>0.24631578947368399</v>
      </c>
      <c r="C64">
        <v>0.24842105263157899</v>
      </c>
      <c r="D64">
        <v>0.23684210526315799</v>
      </c>
      <c r="E64">
        <v>0.25789473684210501</v>
      </c>
      <c r="F64">
        <v>0.225263157894737</v>
      </c>
    </row>
    <row r="65" spans="1:6" x14ac:dyDescent="0.2">
      <c r="B65">
        <v>0.254</v>
      </c>
      <c r="C65">
        <v>0.24299999999999999</v>
      </c>
      <c r="D65">
        <v>0.25</v>
      </c>
      <c r="E65">
        <v>0.26300000000000001</v>
      </c>
      <c r="F65">
        <v>0.23200000000000001</v>
      </c>
    </row>
    <row r="67" spans="1:6" x14ac:dyDescent="0.2">
      <c r="A67" t="s">
        <v>8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">
      <c r="B71">
        <v>4.0000000000000001E-3</v>
      </c>
      <c r="C71">
        <v>0</v>
      </c>
      <c r="D71">
        <v>0</v>
      </c>
      <c r="E71">
        <v>1.4E-2</v>
      </c>
      <c r="F71">
        <v>0.04</v>
      </c>
    </row>
    <row r="72" spans="1:6" x14ac:dyDescent="0.2">
      <c r="B72">
        <v>7.3333333333333306E-2</v>
      </c>
      <c r="C72">
        <v>0</v>
      </c>
      <c r="D72">
        <v>0</v>
      </c>
      <c r="E72">
        <v>7.3333333333333306E-2</v>
      </c>
      <c r="F72">
        <v>0.103333333333333</v>
      </c>
    </row>
    <row r="73" spans="1:6" x14ac:dyDescent="0.2">
      <c r="B73">
        <v>9.4285714285714306E-2</v>
      </c>
      <c r="C73">
        <v>0</v>
      </c>
      <c r="D73">
        <v>0</v>
      </c>
      <c r="E73">
        <v>8.8571428571428606E-2</v>
      </c>
      <c r="F73">
        <v>9.4285714285714306E-2</v>
      </c>
    </row>
    <row r="74" spans="1:6" x14ac:dyDescent="0.2">
      <c r="B74">
        <v>0.12</v>
      </c>
      <c r="C74">
        <v>0.125</v>
      </c>
      <c r="D74">
        <v>9.2499999999999999E-2</v>
      </c>
      <c r="E74">
        <v>0.125</v>
      </c>
      <c r="F74">
        <v>0.14749999999999999</v>
      </c>
    </row>
    <row r="75" spans="1:6" x14ac:dyDescent="0.2">
      <c r="B75">
        <v>0.11777777777777799</v>
      </c>
      <c r="C75">
        <v>0.11111111111111099</v>
      </c>
      <c r="D75">
        <v>0.11111111111111099</v>
      </c>
      <c r="E75">
        <v>0.16222222222222199</v>
      </c>
      <c r="F75">
        <v>0.18666666666666701</v>
      </c>
    </row>
    <row r="76" spans="1:6" x14ac:dyDescent="0.2">
      <c r="B76">
        <v>0.108</v>
      </c>
      <c r="C76">
        <v>0.1</v>
      </c>
      <c r="D76">
        <v>0.1</v>
      </c>
      <c r="E76">
        <v>0.16</v>
      </c>
      <c r="F76">
        <v>0.19800000000000001</v>
      </c>
    </row>
    <row r="77" spans="1:6" x14ac:dyDescent="0.2">
      <c r="B77">
        <v>0.1</v>
      </c>
      <c r="C77">
        <v>0.18181818181818199</v>
      </c>
      <c r="D77">
        <v>0.16727272727272699</v>
      </c>
      <c r="E77">
        <v>0.18181818181818199</v>
      </c>
      <c r="F77">
        <v>0.203636363636364</v>
      </c>
    </row>
    <row r="78" spans="1:6" x14ac:dyDescent="0.2">
      <c r="B78">
        <v>0.16166666666666701</v>
      </c>
      <c r="C78">
        <v>0.16666666666666699</v>
      </c>
      <c r="D78">
        <v>0.16666666666666699</v>
      </c>
      <c r="E78">
        <v>0.21</v>
      </c>
      <c r="F78">
        <v>0.20499999999999999</v>
      </c>
    </row>
    <row r="79" spans="1:6" x14ac:dyDescent="0.2">
      <c r="B79">
        <v>0.16615384615384601</v>
      </c>
      <c r="C79">
        <v>0.15384615384615399</v>
      </c>
      <c r="D79">
        <v>0.15384615384615399</v>
      </c>
      <c r="E79">
        <v>0.198461538461538</v>
      </c>
      <c r="F79">
        <v>0.21076923076923099</v>
      </c>
    </row>
    <row r="80" spans="1:6" x14ac:dyDescent="0.2">
      <c r="B80">
        <v>0.19714285714285701</v>
      </c>
      <c r="C80">
        <v>0.14285714285714299</v>
      </c>
      <c r="D80">
        <v>0.14285714285714299</v>
      </c>
      <c r="E80">
        <v>0.188571428571429</v>
      </c>
      <c r="F80">
        <v>0.215714285714286</v>
      </c>
    </row>
    <row r="81" spans="1:6" x14ac:dyDescent="0.2">
      <c r="B81">
        <v>0.18666666666666701</v>
      </c>
      <c r="C81">
        <v>0.2</v>
      </c>
      <c r="D81">
        <v>0.18533333333333299</v>
      </c>
      <c r="E81">
        <v>0.20799999999999999</v>
      </c>
      <c r="F81">
        <v>0.22</v>
      </c>
    </row>
    <row r="82" spans="1:6" x14ac:dyDescent="0.2">
      <c r="B82">
        <v>0.23499999999999999</v>
      </c>
      <c r="C82">
        <v>0.1875</v>
      </c>
      <c r="D82">
        <v>0.1875</v>
      </c>
      <c r="E82">
        <v>0.22625000000000001</v>
      </c>
      <c r="F82">
        <v>0.22500000000000001</v>
      </c>
    </row>
    <row r="83" spans="1:6" x14ac:dyDescent="0.2">
      <c r="B83">
        <v>0.223529411764706</v>
      </c>
      <c r="C83">
        <v>0.17647058823529399</v>
      </c>
      <c r="D83">
        <v>0.20588235294117599</v>
      </c>
      <c r="E83">
        <v>0.218823529411765</v>
      </c>
      <c r="F83">
        <v>0.22823529411764701</v>
      </c>
    </row>
    <row r="84" spans="1:6" x14ac:dyDescent="0.2">
      <c r="B84">
        <v>0.21333333333333299</v>
      </c>
      <c r="C84">
        <v>0.20444444444444401</v>
      </c>
      <c r="D84">
        <v>0.22222222222222199</v>
      </c>
      <c r="E84">
        <v>0.233333333333333</v>
      </c>
      <c r="F84">
        <v>0.233333333333333</v>
      </c>
    </row>
    <row r="85" spans="1:6" x14ac:dyDescent="0.2">
      <c r="B85">
        <v>0.25263157894736799</v>
      </c>
      <c r="C85">
        <v>0.24631578947368399</v>
      </c>
      <c r="D85">
        <v>0.23684210526315799</v>
      </c>
      <c r="E85">
        <v>0.24736842105263199</v>
      </c>
      <c r="F85">
        <v>0.23789473684210499</v>
      </c>
    </row>
    <row r="86" spans="1:6" x14ac:dyDescent="0.2">
      <c r="B86">
        <v>0.25600000000000001</v>
      </c>
      <c r="C86">
        <v>0.23899999999999999</v>
      </c>
      <c r="D86">
        <v>0.25</v>
      </c>
      <c r="E86">
        <v>0.26100000000000001</v>
      </c>
      <c r="F86">
        <v>0.24299999999999999</v>
      </c>
    </row>
    <row r="88" spans="1:6" x14ac:dyDescent="0.2">
      <c r="A88" t="s">
        <v>9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"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"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"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">
      <c r="B92">
        <v>0</v>
      </c>
      <c r="C92">
        <v>0</v>
      </c>
      <c r="D92">
        <v>0</v>
      </c>
      <c r="E92">
        <v>2.1999999999999999E-2</v>
      </c>
      <c r="F92">
        <v>3.2000000000000001E-2</v>
      </c>
    </row>
    <row r="93" spans="1:6" x14ac:dyDescent="0.2">
      <c r="B93">
        <v>0.06</v>
      </c>
      <c r="C93">
        <v>0</v>
      </c>
      <c r="D93">
        <v>0</v>
      </c>
      <c r="E93">
        <v>0.08</v>
      </c>
      <c r="F93">
        <v>0.08</v>
      </c>
    </row>
    <row r="94" spans="1:6" x14ac:dyDescent="0.2">
      <c r="B94">
        <v>0.111428571428571</v>
      </c>
      <c r="C94">
        <v>0</v>
      </c>
      <c r="D94">
        <v>0</v>
      </c>
      <c r="E94">
        <v>0.11714285714285699</v>
      </c>
      <c r="F94">
        <v>7.4285714285714302E-2</v>
      </c>
    </row>
    <row r="95" spans="1:6" x14ac:dyDescent="0.2">
      <c r="B95">
        <v>0.1225</v>
      </c>
      <c r="C95">
        <v>0.125</v>
      </c>
      <c r="D95">
        <v>8.2500000000000004E-2</v>
      </c>
      <c r="E95">
        <v>0.125</v>
      </c>
      <c r="F95">
        <v>0.13500000000000001</v>
      </c>
    </row>
    <row r="96" spans="1:6" x14ac:dyDescent="0.2">
      <c r="B96">
        <v>0.128888888888889</v>
      </c>
      <c r="C96">
        <v>0.11111111111111099</v>
      </c>
      <c r="D96">
        <v>0.11111111111111099</v>
      </c>
      <c r="E96">
        <v>0.18</v>
      </c>
      <c r="F96">
        <v>0.17555555555555599</v>
      </c>
    </row>
    <row r="97" spans="1:6" x14ac:dyDescent="0.2">
      <c r="B97">
        <v>0.12</v>
      </c>
      <c r="C97">
        <v>0.1</v>
      </c>
      <c r="D97">
        <v>0.1</v>
      </c>
      <c r="E97">
        <v>0.17399999999999999</v>
      </c>
      <c r="F97">
        <v>0.188</v>
      </c>
    </row>
    <row r="98" spans="1:6" x14ac:dyDescent="0.2">
      <c r="B98">
        <v>0.112727272727273</v>
      </c>
      <c r="C98">
        <v>0.18181818181818199</v>
      </c>
      <c r="D98">
        <v>0.16</v>
      </c>
      <c r="E98">
        <v>0.18181818181818199</v>
      </c>
      <c r="F98">
        <v>0.192727272727273</v>
      </c>
    </row>
    <row r="99" spans="1:6" x14ac:dyDescent="0.2">
      <c r="B99">
        <v>0.17166666666666699</v>
      </c>
      <c r="C99">
        <v>0.16666666666666699</v>
      </c>
      <c r="D99">
        <v>0.16500000000000001</v>
      </c>
      <c r="E99">
        <v>0.22</v>
      </c>
      <c r="F99">
        <v>0.198333333333333</v>
      </c>
    </row>
    <row r="100" spans="1:6" x14ac:dyDescent="0.2">
      <c r="B100">
        <v>0.16923076923076899</v>
      </c>
      <c r="C100">
        <v>0.15384615384615399</v>
      </c>
      <c r="D100">
        <v>0.15384615384615399</v>
      </c>
      <c r="E100">
        <v>0.21076923076923099</v>
      </c>
      <c r="F100">
        <v>0.20307692307692299</v>
      </c>
    </row>
    <row r="101" spans="1:6" x14ac:dyDescent="0.2">
      <c r="B101">
        <v>0.185714285714286</v>
      </c>
      <c r="C101">
        <v>0.14285714285714299</v>
      </c>
      <c r="D101">
        <v>0.14285714285714299</v>
      </c>
      <c r="E101">
        <v>0.20428571428571399</v>
      </c>
      <c r="F101">
        <v>0.20571428571428599</v>
      </c>
    </row>
    <row r="102" spans="1:6" x14ac:dyDescent="0.2">
      <c r="B102">
        <v>0.18533333333333299</v>
      </c>
      <c r="C102">
        <v>0.2</v>
      </c>
      <c r="D102">
        <v>0.17599999999999999</v>
      </c>
      <c r="E102">
        <v>0.22266666666666701</v>
      </c>
      <c r="F102">
        <v>0.201333333333333</v>
      </c>
    </row>
    <row r="103" spans="1:6" x14ac:dyDescent="0.2">
      <c r="B103">
        <v>0.23250000000000001</v>
      </c>
      <c r="C103">
        <v>0.1875</v>
      </c>
      <c r="D103">
        <v>0.1875</v>
      </c>
      <c r="E103">
        <v>0.23749999999999999</v>
      </c>
      <c r="F103">
        <v>0.20250000000000001</v>
      </c>
    </row>
    <row r="104" spans="1:6" x14ac:dyDescent="0.2">
      <c r="B104">
        <v>0.223529411764706</v>
      </c>
      <c r="C104">
        <v>0.17647058823529399</v>
      </c>
      <c r="D104">
        <v>0.20588235294117599</v>
      </c>
      <c r="E104">
        <v>0.23647058823529399</v>
      </c>
      <c r="F104">
        <v>0.217647058823529</v>
      </c>
    </row>
    <row r="105" spans="1:6" x14ac:dyDescent="0.2">
      <c r="B105">
        <v>0.21333333333333299</v>
      </c>
      <c r="C105">
        <v>0.202222222222222</v>
      </c>
      <c r="D105">
        <v>0.22222222222222199</v>
      </c>
      <c r="E105">
        <v>0.24888888888888899</v>
      </c>
      <c r="F105">
        <v>0.22222222222222199</v>
      </c>
    </row>
    <row r="106" spans="1:6" x14ac:dyDescent="0.2">
      <c r="B106">
        <v>0.25157894736842101</v>
      </c>
      <c r="C106">
        <v>0.24421052631578899</v>
      </c>
      <c r="D106">
        <v>0.23684210526315799</v>
      </c>
      <c r="E106">
        <v>0.26105263157894698</v>
      </c>
      <c r="F106">
        <v>0.223157894736842</v>
      </c>
    </row>
    <row r="107" spans="1:6" x14ac:dyDescent="0.2">
      <c r="B107">
        <v>0.26</v>
      </c>
      <c r="C107">
        <v>0.23799999999999999</v>
      </c>
      <c r="D107">
        <v>0.25</v>
      </c>
      <c r="E107">
        <v>0.27200000000000002</v>
      </c>
      <c r="F107">
        <v>0.22900000000000001</v>
      </c>
    </row>
    <row r="109" spans="1:6" x14ac:dyDescent="0.2">
      <c r="A109" t="s">
        <v>10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"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"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">
      <c r="B112">
        <v>0</v>
      </c>
      <c r="C112">
        <v>0</v>
      </c>
      <c r="D112">
        <v>0</v>
      </c>
      <c r="E112">
        <v>0</v>
      </c>
      <c r="F112">
        <v>0</v>
      </c>
    </row>
    <row r="113" spans="2:6" x14ac:dyDescent="0.2">
      <c r="B113">
        <v>0</v>
      </c>
      <c r="C113">
        <v>0</v>
      </c>
      <c r="D113">
        <v>0</v>
      </c>
      <c r="E113">
        <v>4.0000000000000001E-3</v>
      </c>
      <c r="F113">
        <v>2.4E-2</v>
      </c>
    </row>
    <row r="114" spans="2:6" x14ac:dyDescent="0.2">
      <c r="B114">
        <v>6.6666666666666693E-2</v>
      </c>
      <c r="C114">
        <v>0</v>
      </c>
      <c r="D114">
        <v>0</v>
      </c>
      <c r="E114">
        <v>6.6666666666666693E-2</v>
      </c>
      <c r="F114">
        <v>7.6666666666666702E-2</v>
      </c>
    </row>
    <row r="115" spans="2:6" x14ac:dyDescent="0.2">
      <c r="B115">
        <v>0.105714285714286</v>
      </c>
      <c r="C115">
        <v>0</v>
      </c>
      <c r="D115">
        <v>0</v>
      </c>
      <c r="E115">
        <v>0.108571428571429</v>
      </c>
      <c r="F115">
        <v>7.1428571428571397E-2</v>
      </c>
    </row>
    <row r="116" spans="2:6" x14ac:dyDescent="0.2">
      <c r="B116">
        <v>0.12</v>
      </c>
      <c r="C116">
        <v>0.125</v>
      </c>
      <c r="D116">
        <v>8.5000000000000006E-2</v>
      </c>
      <c r="E116">
        <v>0.125</v>
      </c>
      <c r="F116">
        <v>0.13500000000000001</v>
      </c>
    </row>
    <row r="117" spans="2:6" x14ac:dyDescent="0.2">
      <c r="B117">
        <v>0.124444444444444</v>
      </c>
      <c r="C117">
        <v>0.11111111111111099</v>
      </c>
      <c r="D117">
        <v>0.11111111111111099</v>
      </c>
      <c r="E117">
        <v>0.168888888888889</v>
      </c>
      <c r="F117">
        <v>0.17777777777777801</v>
      </c>
    </row>
    <row r="118" spans="2:6" x14ac:dyDescent="0.2">
      <c r="B118">
        <v>0.112</v>
      </c>
      <c r="C118">
        <v>0.1</v>
      </c>
      <c r="D118">
        <v>0.1</v>
      </c>
      <c r="E118">
        <v>0.16600000000000001</v>
      </c>
      <c r="F118">
        <v>0.182</v>
      </c>
    </row>
    <row r="119" spans="2:6" x14ac:dyDescent="0.2">
      <c r="B119">
        <v>0.10727272727272701</v>
      </c>
      <c r="C119">
        <v>0.18181818181818199</v>
      </c>
      <c r="D119">
        <v>0.16</v>
      </c>
      <c r="E119">
        <v>0.18181818181818199</v>
      </c>
      <c r="F119">
        <v>0.19636363636363599</v>
      </c>
    </row>
    <row r="120" spans="2:6" x14ac:dyDescent="0.2">
      <c r="B120">
        <v>0.16500000000000001</v>
      </c>
      <c r="C120">
        <v>0.16666666666666699</v>
      </c>
      <c r="D120">
        <v>0.16666666666666699</v>
      </c>
      <c r="E120">
        <v>0.21</v>
      </c>
      <c r="F120">
        <v>0.20166666666666699</v>
      </c>
    </row>
    <row r="121" spans="2:6" x14ac:dyDescent="0.2">
      <c r="B121">
        <v>0.16307692307692301</v>
      </c>
      <c r="C121">
        <v>0.15384615384615399</v>
      </c>
      <c r="D121">
        <v>0.15384615384615399</v>
      </c>
      <c r="E121">
        <v>0.20307692307692299</v>
      </c>
      <c r="F121">
        <v>0.201538461538462</v>
      </c>
    </row>
    <row r="122" spans="2:6" x14ac:dyDescent="0.2">
      <c r="B122">
        <v>0.19</v>
      </c>
      <c r="C122">
        <v>0.14285714285714299</v>
      </c>
      <c r="D122">
        <v>0.14285714285714299</v>
      </c>
      <c r="E122">
        <v>0.19714285714285701</v>
      </c>
      <c r="F122">
        <v>0.20142857142857101</v>
      </c>
    </row>
    <row r="123" spans="2:6" x14ac:dyDescent="0.2">
      <c r="B123">
        <v>0.18133333333333301</v>
      </c>
      <c r="C123">
        <v>0.2</v>
      </c>
      <c r="D123">
        <v>0.17599999999999999</v>
      </c>
      <c r="E123">
        <v>0.21333333333333299</v>
      </c>
      <c r="F123">
        <v>0.19600000000000001</v>
      </c>
    </row>
    <row r="124" spans="2:6" x14ac:dyDescent="0.2">
      <c r="B124">
        <v>0.23</v>
      </c>
      <c r="C124">
        <v>0.1875</v>
      </c>
      <c r="D124">
        <v>0.1875</v>
      </c>
      <c r="E124">
        <v>0.22875000000000001</v>
      </c>
      <c r="F124">
        <v>0.20250000000000001</v>
      </c>
    </row>
    <row r="125" spans="2:6" x14ac:dyDescent="0.2">
      <c r="B125">
        <v>0.217647058823529</v>
      </c>
      <c r="C125">
        <v>0.17647058823529399</v>
      </c>
      <c r="D125">
        <v>0.20588235294117599</v>
      </c>
      <c r="E125">
        <v>0.22941176470588201</v>
      </c>
      <c r="F125">
        <v>0.217647058823529</v>
      </c>
    </row>
    <row r="126" spans="2:6" x14ac:dyDescent="0.2">
      <c r="B126">
        <v>0.20888888888888901</v>
      </c>
      <c r="C126">
        <v>0.202222222222222</v>
      </c>
      <c r="D126">
        <v>0.22222222222222199</v>
      </c>
      <c r="E126">
        <v>0.241111111111111</v>
      </c>
      <c r="F126">
        <v>0.22555555555555601</v>
      </c>
    </row>
    <row r="127" spans="2:6" x14ac:dyDescent="0.2">
      <c r="B127">
        <v>0.24842105263157899</v>
      </c>
      <c r="C127">
        <v>0.24421052631578899</v>
      </c>
      <c r="D127">
        <v>0.23684210526315799</v>
      </c>
      <c r="E127">
        <v>0.25578947368421101</v>
      </c>
      <c r="F127">
        <v>0.227368421052632</v>
      </c>
    </row>
    <row r="128" spans="2:6" x14ac:dyDescent="0.2">
      <c r="B128">
        <v>0.255</v>
      </c>
      <c r="C128">
        <v>0.23699999999999999</v>
      </c>
      <c r="D128">
        <v>0.25</v>
      </c>
      <c r="E128">
        <v>0.27</v>
      </c>
      <c r="F128">
        <v>0.23300000000000001</v>
      </c>
    </row>
    <row r="130" spans="1:6" x14ac:dyDescent="0.2">
      <c r="A130" t="s">
        <v>11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"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"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"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">
      <c r="B134">
        <v>0</v>
      </c>
      <c r="C134">
        <v>0</v>
      </c>
      <c r="D134">
        <v>0</v>
      </c>
      <c r="E134">
        <v>8.0000000000000002E-3</v>
      </c>
      <c r="F134">
        <v>0.04</v>
      </c>
    </row>
    <row r="135" spans="1:6" x14ac:dyDescent="0.2">
      <c r="B135">
        <v>0.06</v>
      </c>
      <c r="C135">
        <v>0</v>
      </c>
      <c r="D135">
        <v>0</v>
      </c>
      <c r="E135">
        <v>6.3333333333333297E-2</v>
      </c>
      <c r="F135">
        <v>0.08</v>
      </c>
    </row>
    <row r="136" spans="1:6" x14ac:dyDescent="0.2">
      <c r="B136">
        <v>7.1428571428571397E-2</v>
      </c>
      <c r="C136">
        <v>0</v>
      </c>
      <c r="D136">
        <v>0</v>
      </c>
      <c r="E136">
        <v>8.5714285714285701E-2</v>
      </c>
      <c r="F136">
        <v>7.4285714285714302E-2</v>
      </c>
    </row>
    <row r="137" spans="1:6" x14ac:dyDescent="0.2">
      <c r="B137">
        <v>0.105</v>
      </c>
      <c r="C137">
        <v>0.125</v>
      </c>
      <c r="D137">
        <v>0.09</v>
      </c>
      <c r="E137">
        <v>0.125</v>
      </c>
      <c r="F137">
        <v>0.13500000000000001</v>
      </c>
    </row>
    <row r="138" spans="1:6" x14ac:dyDescent="0.2">
      <c r="B138">
        <v>0.1</v>
      </c>
      <c r="C138">
        <v>0.11111111111111099</v>
      </c>
      <c r="D138">
        <v>0.11111111111111099</v>
      </c>
      <c r="E138">
        <v>0.16222222222222199</v>
      </c>
      <c r="F138">
        <v>0.164444444444444</v>
      </c>
    </row>
    <row r="139" spans="1:6" x14ac:dyDescent="0.2">
      <c r="B139">
        <v>0.09</v>
      </c>
      <c r="C139">
        <v>0.1</v>
      </c>
      <c r="D139">
        <v>0.1</v>
      </c>
      <c r="E139">
        <v>0.158</v>
      </c>
      <c r="F139">
        <v>0.17</v>
      </c>
    </row>
    <row r="140" spans="1:6" x14ac:dyDescent="0.2">
      <c r="B140">
        <v>8.3636363636363703E-2</v>
      </c>
      <c r="C140">
        <v>0.18181818181818199</v>
      </c>
      <c r="D140">
        <v>0.163636363636364</v>
      </c>
      <c r="E140">
        <v>0.176363636363636</v>
      </c>
      <c r="F140">
        <v>0.18181818181818199</v>
      </c>
    </row>
    <row r="141" spans="1:6" x14ac:dyDescent="0.2">
      <c r="B141">
        <v>0.14833333333333301</v>
      </c>
      <c r="C141">
        <v>0.16666666666666699</v>
      </c>
      <c r="D141">
        <v>0.16666666666666699</v>
      </c>
      <c r="E141">
        <v>0.20166666666666699</v>
      </c>
      <c r="F141">
        <v>0.19</v>
      </c>
    </row>
    <row r="142" spans="1:6" x14ac:dyDescent="0.2">
      <c r="B142">
        <v>0.15076923076923099</v>
      </c>
      <c r="C142">
        <v>0.15384615384615399</v>
      </c>
      <c r="D142">
        <v>0.15384615384615399</v>
      </c>
      <c r="E142">
        <v>0.190769230769231</v>
      </c>
      <c r="F142">
        <v>0.19538461538461499</v>
      </c>
    </row>
    <row r="143" spans="1:6" x14ac:dyDescent="0.2">
      <c r="B143">
        <v>0.17142857142857101</v>
      </c>
      <c r="C143">
        <v>0.14285714285714299</v>
      </c>
      <c r="D143">
        <v>0.14285714285714299</v>
      </c>
      <c r="E143">
        <v>0.185714285714286</v>
      </c>
      <c r="F143">
        <v>0.19714285714285701</v>
      </c>
    </row>
    <row r="144" spans="1:6" x14ac:dyDescent="0.2">
      <c r="B144">
        <v>0.161333333333333</v>
      </c>
      <c r="C144">
        <v>0.2</v>
      </c>
      <c r="D144">
        <v>0.184</v>
      </c>
      <c r="E144">
        <v>0.20799999999999999</v>
      </c>
      <c r="F144">
        <v>0.20399999999999999</v>
      </c>
    </row>
    <row r="145" spans="1:6" x14ac:dyDescent="0.2">
      <c r="B145">
        <v>0.21249999999999999</v>
      </c>
      <c r="C145">
        <v>0.1875</v>
      </c>
      <c r="D145">
        <v>0.1875</v>
      </c>
      <c r="E145">
        <v>0.22375</v>
      </c>
      <c r="F145">
        <v>0.21249999999999999</v>
      </c>
    </row>
    <row r="146" spans="1:6" x14ac:dyDescent="0.2">
      <c r="B146">
        <v>0.20117647058823501</v>
      </c>
      <c r="C146">
        <v>0.17647058823529399</v>
      </c>
      <c r="D146">
        <v>0.20588235294117599</v>
      </c>
      <c r="E146">
        <v>0.218823529411765</v>
      </c>
      <c r="F146">
        <v>0.215294117647059</v>
      </c>
    </row>
    <row r="147" spans="1:6" x14ac:dyDescent="0.2">
      <c r="B147">
        <v>0.19111111111111101</v>
      </c>
      <c r="C147">
        <v>0.197777777777778</v>
      </c>
      <c r="D147">
        <v>0.22222222222222199</v>
      </c>
      <c r="E147">
        <v>0.237777777777778</v>
      </c>
      <c r="F147">
        <v>0.215555555555556</v>
      </c>
    </row>
    <row r="148" spans="1:6" x14ac:dyDescent="0.2">
      <c r="B148">
        <v>0.232631578947368</v>
      </c>
      <c r="C148">
        <v>0.24</v>
      </c>
      <c r="D148">
        <v>0.23684210526315799</v>
      </c>
      <c r="E148">
        <v>0.25684210526315798</v>
      </c>
      <c r="F148">
        <v>0.22</v>
      </c>
    </row>
    <row r="149" spans="1:6" x14ac:dyDescent="0.2">
      <c r="B149">
        <v>0.24099999999999999</v>
      </c>
      <c r="C149">
        <v>0.23599999999999999</v>
      </c>
      <c r="D149">
        <v>0.25</v>
      </c>
      <c r="E149">
        <v>0.27300000000000002</v>
      </c>
      <c r="F149">
        <v>0.224</v>
      </c>
    </row>
    <row r="151" spans="1:6" x14ac:dyDescent="0.2">
      <c r="A151" t="s">
        <v>12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"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"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"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">
      <c r="B155">
        <v>4.0000000000000001E-3</v>
      </c>
      <c r="C155">
        <v>0</v>
      </c>
      <c r="D155">
        <v>0</v>
      </c>
      <c r="E155">
        <v>2.1999999999999999E-2</v>
      </c>
      <c r="F155">
        <v>0.02</v>
      </c>
    </row>
    <row r="156" spans="1:6" x14ac:dyDescent="0.2">
      <c r="B156">
        <v>7.6666666666666702E-2</v>
      </c>
      <c r="C156">
        <v>0</v>
      </c>
      <c r="D156">
        <v>0</v>
      </c>
      <c r="E156">
        <v>0.09</v>
      </c>
      <c r="F156">
        <v>6.6666666666666693E-2</v>
      </c>
    </row>
    <row r="157" spans="1:6" x14ac:dyDescent="0.2">
      <c r="B157">
        <v>0.105714285714286</v>
      </c>
      <c r="C157">
        <v>0</v>
      </c>
      <c r="D157">
        <v>0</v>
      </c>
      <c r="E157">
        <v>0.13142857142857101</v>
      </c>
      <c r="F157">
        <v>0.06</v>
      </c>
    </row>
    <row r="158" spans="1:6" x14ac:dyDescent="0.2">
      <c r="B158">
        <v>0.1225</v>
      </c>
      <c r="C158">
        <v>0.125</v>
      </c>
      <c r="D158">
        <v>0.10249999999999999</v>
      </c>
      <c r="E158">
        <v>0.125</v>
      </c>
      <c r="F158">
        <v>0.11</v>
      </c>
    </row>
    <row r="159" spans="1:6" x14ac:dyDescent="0.2">
      <c r="B159">
        <v>0.124444444444444</v>
      </c>
      <c r="C159">
        <v>0.11111111111111099</v>
      </c>
      <c r="D159">
        <v>0.11111111111111099</v>
      </c>
      <c r="E159">
        <v>0.17555555555555599</v>
      </c>
      <c r="F159">
        <v>0.18222222222222201</v>
      </c>
    </row>
    <row r="160" spans="1:6" x14ac:dyDescent="0.2">
      <c r="B160">
        <v>0.114</v>
      </c>
      <c r="C160">
        <v>0.1</v>
      </c>
      <c r="D160">
        <v>0.1</v>
      </c>
      <c r="E160">
        <v>0.17</v>
      </c>
      <c r="F160">
        <v>0.188</v>
      </c>
    </row>
    <row r="161" spans="1:6" x14ac:dyDescent="0.2">
      <c r="B161">
        <v>0.109090909090909</v>
      </c>
      <c r="C161">
        <v>0.18181818181818199</v>
      </c>
      <c r="D161">
        <v>0.176363636363636</v>
      </c>
      <c r="E161">
        <v>0.18181818181818199</v>
      </c>
      <c r="F161">
        <v>0.19454545454545499</v>
      </c>
    </row>
    <row r="162" spans="1:6" x14ac:dyDescent="0.2">
      <c r="B162">
        <v>0.16500000000000001</v>
      </c>
      <c r="C162">
        <v>0.16666666666666699</v>
      </c>
      <c r="D162">
        <v>0.16666666666666699</v>
      </c>
      <c r="E162">
        <v>0.21333333333333299</v>
      </c>
      <c r="F162">
        <v>0.20166666666666699</v>
      </c>
    </row>
    <row r="163" spans="1:6" x14ac:dyDescent="0.2">
      <c r="B163">
        <v>0.15846153846153799</v>
      </c>
      <c r="C163">
        <v>0.15384615384615399</v>
      </c>
      <c r="D163">
        <v>0.15384615384615399</v>
      </c>
      <c r="E163">
        <v>0.212307692307692</v>
      </c>
      <c r="F163">
        <v>0.20615384615384599</v>
      </c>
    </row>
    <row r="164" spans="1:6" x14ac:dyDescent="0.2">
      <c r="B164">
        <v>0.187142857142857</v>
      </c>
      <c r="C164">
        <v>0.14285714285714299</v>
      </c>
      <c r="D164">
        <v>0.14285714285714299</v>
      </c>
      <c r="E164">
        <v>0.21</v>
      </c>
      <c r="F164">
        <v>0.20714285714285699</v>
      </c>
    </row>
    <row r="165" spans="1:6" x14ac:dyDescent="0.2">
      <c r="B165">
        <v>0.178666666666667</v>
      </c>
      <c r="C165">
        <v>0.2</v>
      </c>
      <c r="D165">
        <v>0.182666666666667</v>
      </c>
      <c r="E165">
        <v>0.21733333333333299</v>
      </c>
      <c r="F165">
        <v>0.20799999999999999</v>
      </c>
    </row>
    <row r="166" spans="1:6" x14ac:dyDescent="0.2">
      <c r="B166">
        <v>0.22750000000000001</v>
      </c>
      <c r="C166">
        <v>0.1875</v>
      </c>
      <c r="D166">
        <v>0.1875</v>
      </c>
      <c r="E166">
        <v>0.22875000000000001</v>
      </c>
      <c r="F166">
        <v>0.215</v>
      </c>
    </row>
    <row r="167" spans="1:6" x14ac:dyDescent="0.2">
      <c r="B167">
        <v>0.217647058823529</v>
      </c>
      <c r="C167">
        <v>0.17764705882352899</v>
      </c>
      <c r="D167">
        <v>0.20588235294117599</v>
      </c>
      <c r="E167">
        <v>0.24117647058823499</v>
      </c>
      <c r="F167">
        <v>0.221176470588235</v>
      </c>
    </row>
    <row r="168" spans="1:6" x14ac:dyDescent="0.2">
      <c r="B168">
        <v>0.20888888888888901</v>
      </c>
      <c r="C168">
        <v>0.202222222222222</v>
      </c>
      <c r="D168">
        <v>0.22222222222222199</v>
      </c>
      <c r="E168">
        <v>0.25</v>
      </c>
      <c r="F168">
        <v>0.22222222222222199</v>
      </c>
    </row>
    <row r="169" spans="1:6" x14ac:dyDescent="0.2">
      <c r="B169">
        <v>0.24842105263157899</v>
      </c>
      <c r="C169">
        <v>0.24421052631578999</v>
      </c>
      <c r="D169">
        <v>0.23684210526315799</v>
      </c>
      <c r="E169">
        <v>0.26105263157894698</v>
      </c>
      <c r="F169">
        <v>0.224210526315789</v>
      </c>
    </row>
    <row r="170" spans="1:6" x14ac:dyDescent="0.2">
      <c r="B170">
        <v>0.255</v>
      </c>
      <c r="C170">
        <v>0.23899999999999999</v>
      </c>
      <c r="D170">
        <v>0.25</v>
      </c>
      <c r="E170">
        <v>0.27300000000000002</v>
      </c>
      <c r="F170">
        <v>0.23200000000000001</v>
      </c>
    </row>
    <row r="172" spans="1:6" x14ac:dyDescent="0.2">
      <c r="A172" t="s">
        <v>13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"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"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"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">
      <c r="B176">
        <v>4.0000000000000001E-3</v>
      </c>
      <c r="C176">
        <v>0</v>
      </c>
      <c r="D176">
        <v>0</v>
      </c>
      <c r="E176">
        <v>4.0000000000000001E-3</v>
      </c>
      <c r="F176">
        <v>0.04</v>
      </c>
    </row>
    <row r="177" spans="2:6" x14ac:dyDescent="0.2">
      <c r="B177">
        <v>7.3333333333333306E-2</v>
      </c>
      <c r="C177">
        <v>0</v>
      </c>
      <c r="D177">
        <v>0</v>
      </c>
      <c r="E177">
        <v>5.3333333333333302E-2</v>
      </c>
      <c r="F177">
        <v>8.3333333333333301E-2</v>
      </c>
    </row>
    <row r="178" spans="2:6" x14ac:dyDescent="0.2">
      <c r="B178">
        <v>9.4285714285714306E-2</v>
      </c>
      <c r="C178">
        <v>0</v>
      </c>
      <c r="D178">
        <v>0</v>
      </c>
      <c r="E178">
        <v>9.1428571428571401E-2</v>
      </c>
      <c r="F178">
        <v>7.7142857142857096E-2</v>
      </c>
    </row>
    <row r="179" spans="2:6" x14ac:dyDescent="0.2">
      <c r="B179">
        <v>0.12</v>
      </c>
      <c r="C179">
        <v>0.125</v>
      </c>
      <c r="D179">
        <v>7.2499999999999995E-2</v>
      </c>
      <c r="E179">
        <v>0.125</v>
      </c>
      <c r="F179">
        <v>0.13250000000000001</v>
      </c>
    </row>
    <row r="180" spans="2:6" x14ac:dyDescent="0.2">
      <c r="B180">
        <v>0.11555555555555599</v>
      </c>
      <c r="C180">
        <v>0.11111111111111099</v>
      </c>
      <c r="D180">
        <v>0.11111111111111099</v>
      </c>
      <c r="E180">
        <v>0.15777777777777799</v>
      </c>
      <c r="F180">
        <v>0.18</v>
      </c>
    </row>
    <row r="181" spans="2:6" x14ac:dyDescent="0.2">
      <c r="B181">
        <v>0.104</v>
      </c>
      <c r="C181">
        <v>0.1</v>
      </c>
      <c r="D181">
        <v>0.1</v>
      </c>
      <c r="E181">
        <v>0.16</v>
      </c>
      <c r="F181">
        <v>0.188</v>
      </c>
    </row>
    <row r="182" spans="2:6" x14ac:dyDescent="0.2">
      <c r="B182">
        <v>9.8181818181818203E-2</v>
      </c>
      <c r="C182">
        <v>0.18181818181818199</v>
      </c>
      <c r="D182">
        <v>0.15090909090909099</v>
      </c>
      <c r="E182">
        <v>0.178181818181818</v>
      </c>
      <c r="F182">
        <v>0.192727272727273</v>
      </c>
    </row>
    <row r="183" spans="2:6" x14ac:dyDescent="0.2">
      <c r="B183">
        <v>0.15833333333333299</v>
      </c>
      <c r="C183">
        <v>0.16666666666666699</v>
      </c>
      <c r="D183">
        <v>0.15333333333333299</v>
      </c>
      <c r="E183">
        <v>0.206666666666667</v>
      </c>
      <c r="F183">
        <v>0.19666666666666699</v>
      </c>
    </row>
    <row r="184" spans="2:6" x14ac:dyDescent="0.2">
      <c r="B184">
        <v>0.156923076923077</v>
      </c>
      <c r="C184">
        <v>0.15384615384615399</v>
      </c>
      <c r="D184">
        <v>0.15384615384615399</v>
      </c>
      <c r="E184">
        <v>0.19692307692307701</v>
      </c>
      <c r="F184">
        <v>0.204615384615385</v>
      </c>
    </row>
    <row r="185" spans="2:6" x14ac:dyDescent="0.2">
      <c r="B185">
        <v>0.185714285714286</v>
      </c>
      <c r="C185">
        <v>0.14285714285714299</v>
      </c>
      <c r="D185">
        <v>0.14285714285714299</v>
      </c>
      <c r="E185">
        <v>0.192857142857143</v>
      </c>
      <c r="F185">
        <v>0.20857142857142899</v>
      </c>
    </row>
    <row r="186" spans="2:6" x14ac:dyDescent="0.2">
      <c r="B186">
        <v>0.17599999999999999</v>
      </c>
      <c r="C186">
        <v>0.2</v>
      </c>
      <c r="D186">
        <v>0.184</v>
      </c>
      <c r="E186">
        <v>0.21733333333333299</v>
      </c>
      <c r="F186">
        <v>0.20533333333333301</v>
      </c>
    </row>
    <row r="187" spans="2:6" x14ac:dyDescent="0.2">
      <c r="B187">
        <v>0.22500000000000001</v>
      </c>
      <c r="C187">
        <v>0.1875</v>
      </c>
      <c r="D187">
        <v>0.1875</v>
      </c>
      <c r="E187">
        <v>0.22875000000000001</v>
      </c>
      <c r="F187">
        <v>0.21375</v>
      </c>
    </row>
    <row r="188" spans="2:6" x14ac:dyDescent="0.2">
      <c r="B188">
        <v>0.212941176470588</v>
      </c>
      <c r="C188">
        <v>0.17647058823529399</v>
      </c>
      <c r="D188">
        <v>0.20588235294117599</v>
      </c>
      <c r="E188">
        <v>0.223529411764706</v>
      </c>
      <c r="F188">
        <v>0.222352941176471</v>
      </c>
    </row>
    <row r="189" spans="2:6" x14ac:dyDescent="0.2">
      <c r="B189">
        <v>0.20333333333333301</v>
      </c>
      <c r="C189">
        <v>0.202222222222222</v>
      </c>
      <c r="D189">
        <v>0.22222222222222199</v>
      </c>
      <c r="E189">
        <v>0.24222222222222201</v>
      </c>
      <c r="F189">
        <v>0.22555555555555601</v>
      </c>
    </row>
    <row r="190" spans="2:6" x14ac:dyDescent="0.2">
      <c r="B190">
        <v>0.24315789473684199</v>
      </c>
      <c r="C190">
        <v>0.24315789473684199</v>
      </c>
      <c r="D190">
        <v>0.23684210526315799</v>
      </c>
      <c r="E190">
        <v>0.26105263157894698</v>
      </c>
      <c r="F190">
        <v>0.229473684210526</v>
      </c>
    </row>
    <row r="191" spans="2:6" x14ac:dyDescent="0.2">
      <c r="B191">
        <v>0.246</v>
      </c>
      <c r="C191">
        <v>0.23899999999999999</v>
      </c>
      <c r="D191">
        <v>0.25</v>
      </c>
      <c r="E191">
        <v>0.27800000000000002</v>
      </c>
      <c r="F191">
        <v>0.23400000000000001</v>
      </c>
    </row>
    <row r="193" spans="1:6" x14ac:dyDescent="0.2">
      <c r="A193" t="s">
        <v>14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"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"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"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">
      <c r="B197">
        <v>4.0000000000000001E-3</v>
      </c>
      <c r="C197">
        <v>0</v>
      </c>
      <c r="D197">
        <v>0</v>
      </c>
      <c r="E197">
        <v>4.0000000000000001E-3</v>
      </c>
      <c r="F197">
        <v>2.4E-2</v>
      </c>
    </row>
    <row r="198" spans="1:6" x14ac:dyDescent="0.2">
      <c r="B198">
        <v>4.6666666666666697E-2</v>
      </c>
      <c r="C198">
        <v>0</v>
      </c>
      <c r="D198">
        <v>0</v>
      </c>
      <c r="E198">
        <v>8.3333333333333301E-2</v>
      </c>
      <c r="F198">
        <v>8.6666666666666697E-2</v>
      </c>
    </row>
    <row r="199" spans="1:6" x14ac:dyDescent="0.2">
      <c r="B199">
        <v>0.10285714285714299</v>
      </c>
      <c r="C199">
        <v>0</v>
      </c>
      <c r="D199">
        <v>0</v>
      </c>
      <c r="E199">
        <v>0.111428571428571</v>
      </c>
      <c r="F199">
        <v>0.08</v>
      </c>
    </row>
    <row r="200" spans="1:6" x14ac:dyDescent="0.2">
      <c r="B200">
        <v>0.12</v>
      </c>
      <c r="C200">
        <v>0.125</v>
      </c>
      <c r="D200">
        <v>8.5000000000000006E-2</v>
      </c>
      <c r="E200">
        <v>0.125</v>
      </c>
      <c r="F200">
        <v>0.13500000000000001</v>
      </c>
    </row>
    <row r="201" spans="1:6" x14ac:dyDescent="0.2">
      <c r="B201">
        <v>0.122222222222222</v>
      </c>
      <c r="C201">
        <v>0.11111111111111099</v>
      </c>
      <c r="D201">
        <v>0.11111111111111099</v>
      </c>
      <c r="E201">
        <v>0.17333333333333301</v>
      </c>
      <c r="F201">
        <v>0.17555555555555599</v>
      </c>
    </row>
    <row r="202" spans="1:6" x14ac:dyDescent="0.2">
      <c r="B202">
        <v>0.112</v>
      </c>
      <c r="C202">
        <v>0.1</v>
      </c>
      <c r="D202">
        <v>0.1</v>
      </c>
      <c r="E202">
        <v>0.17199999999999999</v>
      </c>
      <c r="F202">
        <v>0.186</v>
      </c>
    </row>
    <row r="203" spans="1:6" x14ac:dyDescent="0.2">
      <c r="B203">
        <v>0.103636363636364</v>
      </c>
      <c r="C203">
        <v>0.18181818181818199</v>
      </c>
      <c r="D203">
        <v>0.16</v>
      </c>
      <c r="E203">
        <v>0.18181818181818199</v>
      </c>
      <c r="F203">
        <v>0.189090909090909</v>
      </c>
    </row>
    <row r="204" spans="1:6" x14ac:dyDescent="0.2">
      <c r="B204">
        <v>0.16500000000000001</v>
      </c>
      <c r="C204">
        <v>0.16666666666666699</v>
      </c>
      <c r="D204">
        <v>0.16666666666666699</v>
      </c>
      <c r="E204">
        <v>0.21333333333333299</v>
      </c>
      <c r="F204">
        <v>0.19666666666666699</v>
      </c>
    </row>
    <row r="205" spans="1:6" x14ac:dyDescent="0.2">
      <c r="B205">
        <v>0.164615384615385</v>
      </c>
      <c r="C205">
        <v>0.15384615384615399</v>
      </c>
      <c r="D205">
        <v>0.15384615384615399</v>
      </c>
      <c r="E205">
        <v>0.20307692307692299</v>
      </c>
      <c r="F205">
        <v>0.201538461538462</v>
      </c>
    </row>
    <row r="206" spans="1:6" x14ac:dyDescent="0.2">
      <c r="B206">
        <v>0.182857142857143</v>
      </c>
      <c r="C206">
        <v>0.14285714285714299</v>
      </c>
      <c r="D206">
        <v>0.14285714285714299</v>
      </c>
      <c r="E206">
        <v>0.19714285714285701</v>
      </c>
      <c r="F206">
        <v>0.20714285714285699</v>
      </c>
    </row>
    <row r="207" spans="1:6" x14ac:dyDescent="0.2">
      <c r="B207">
        <v>0.178666666666667</v>
      </c>
      <c r="C207">
        <v>0.2</v>
      </c>
      <c r="D207">
        <v>0.182666666666667</v>
      </c>
      <c r="E207">
        <v>0.21466666666666701</v>
      </c>
      <c r="F207">
        <v>0.210666666666667</v>
      </c>
    </row>
    <row r="208" spans="1:6" x14ac:dyDescent="0.2">
      <c r="B208">
        <v>0.22875000000000001</v>
      </c>
      <c r="C208">
        <v>0.1875</v>
      </c>
      <c r="D208">
        <v>0.1875</v>
      </c>
      <c r="E208">
        <v>0.23125000000000001</v>
      </c>
      <c r="F208">
        <v>0.21875</v>
      </c>
    </row>
    <row r="209" spans="1:6" x14ac:dyDescent="0.2">
      <c r="B209">
        <v>0.218823529411765</v>
      </c>
      <c r="C209">
        <v>0.17764705882352899</v>
      </c>
      <c r="D209">
        <v>0.20588235294117599</v>
      </c>
      <c r="E209">
        <v>0.23294117647058801</v>
      </c>
      <c r="F209">
        <v>0.22705882352941201</v>
      </c>
    </row>
    <row r="210" spans="1:6" x14ac:dyDescent="0.2">
      <c r="B210">
        <v>0.20777777777777801</v>
      </c>
      <c r="C210">
        <v>0.202222222222222</v>
      </c>
      <c r="D210">
        <v>0.22222222222222199</v>
      </c>
      <c r="E210">
        <v>0.245555555555556</v>
      </c>
      <c r="F210">
        <v>0.23</v>
      </c>
    </row>
    <row r="211" spans="1:6" x14ac:dyDescent="0.2">
      <c r="B211">
        <v>0.24842105263157899</v>
      </c>
      <c r="C211">
        <v>0.24421052631578999</v>
      </c>
      <c r="D211">
        <v>0.23684210526315799</v>
      </c>
      <c r="E211">
        <v>0.25789473684210501</v>
      </c>
      <c r="F211">
        <v>0.23368421052631599</v>
      </c>
    </row>
    <row r="212" spans="1:6" x14ac:dyDescent="0.2">
      <c r="B212">
        <v>0.251</v>
      </c>
      <c r="C212">
        <v>0.24</v>
      </c>
      <c r="D212">
        <v>0.25</v>
      </c>
      <c r="E212">
        <v>0.27</v>
      </c>
      <c r="F212">
        <v>0.23799999999999999</v>
      </c>
    </row>
    <row r="214" spans="1:6" x14ac:dyDescent="0.2">
      <c r="A214" t="s">
        <v>15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"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"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"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">
      <c r="B218">
        <v>0</v>
      </c>
      <c r="C218">
        <v>0</v>
      </c>
      <c r="D218">
        <v>0</v>
      </c>
      <c r="E218">
        <v>2.5999999999999999E-2</v>
      </c>
      <c r="F218">
        <v>8.0000000000000002E-3</v>
      </c>
    </row>
    <row r="219" spans="1:6" x14ac:dyDescent="0.2">
      <c r="B219">
        <v>6.3333333333333297E-2</v>
      </c>
      <c r="C219">
        <v>0</v>
      </c>
      <c r="D219">
        <v>0</v>
      </c>
      <c r="E219">
        <v>7.6666666666666702E-2</v>
      </c>
      <c r="F219">
        <v>0.06</v>
      </c>
    </row>
    <row r="220" spans="1:6" x14ac:dyDescent="0.2">
      <c r="B220">
        <v>9.4285714285714306E-2</v>
      </c>
      <c r="C220">
        <v>0</v>
      </c>
      <c r="D220">
        <v>0</v>
      </c>
      <c r="E220">
        <v>0.105714285714286</v>
      </c>
      <c r="F220">
        <v>5.4285714285714298E-2</v>
      </c>
    </row>
    <row r="221" spans="1:6" x14ac:dyDescent="0.2">
      <c r="B221">
        <v>0.11749999999999999</v>
      </c>
      <c r="C221">
        <v>0.125</v>
      </c>
      <c r="D221">
        <v>8.2500000000000004E-2</v>
      </c>
      <c r="E221">
        <v>0.125</v>
      </c>
      <c r="F221">
        <v>0.1075</v>
      </c>
    </row>
    <row r="222" spans="1:6" x14ac:dyDescent="0.2">
      <c r="B222">
        <v>0.11555555555555599</v>
      </c>
      <c r="C222">
        <v>0.11111111111111099</v>
      </c>
      <c r="D222">
        <v>0.11111111111111099</v>
      </c>
      <c r="E222">
        <v>0.155555555555556</v>
      </c>
      <c r="F222">
        <v>0.168888888888889</v>
      </c>
    </row>
    <row r="223" spans="1:6" x14ac:dyDescent="0.2">
      <c r="B223">
        <v>0.106</v>
      </c>
      <c r="C223">
        <v>0.1</v>
      </c>
      <c r="D223">
        <v>0.1</v>
      </c>
      <c r="E223">
        <v>0.158</v>
      </c>
      <c r="F223">
        <v>0.19</v>
      </c>
    </row>
    <row r="224" spans="1:6" x14ac:dyDescent="0.2">
      <c r="B224">
        <v>0.1</v>
      </c>
      <c r="C224">
        <v>0.18181818181818199</v>
      </c>
      <c r="D224">
        <v>0.15636363636363601</v>
      </c>
      <c r="E224">
        <v>0.18181818181818199</v>
      </c>
      <c r="F224">
        <v>0.19636363636363599</v>
      </c>
    </row>
    <row r="225" spans="2:6" x14ac:dyDescent="0.2">
      <c r="B225">
        <v>0.15833333333333299</v>
      </c>
      <c r="C225">
        <v>0.16666666666666699</v>
      </c>
      <c r="D225">
        <v>0.15833333333333299</v>
      </c>
      <c r="E225">
        <v>0.206666666666667</v>
      </c>
      <c r="F225">
        <v>0.198333333333333</v>
      </c>
    </row>
    <row r="226" spans="2:6" x14ac:dyDescent="0.2">
      <c r="B226">
        <v>0.15538461538461501</v>
      </c>
      <c r="C226">
        <v>0.15384615384615399</v>
      </c>
      <c r="D226">
        <v>0.15384615384615399</v>
      </c>
      <c r="E226">
        <v>0.198461538461538</v>
      </c>
      <c r="F226">
        <v>0.20769230769230801</v>
      </c>
    </row>
    <row r="227" spans="2:6" x14ac:dyDescent="0.2">
      <c r="B227">
        <v>0.17857142857142899</v>
      </c>
      <c r="C227">
        <v>0.14285714285714299</v>
      </c>
      <c r="D227">
        <v>0.14285714285714299</v>
      </c>
      <c r="E227">
        <v>0.19571428571428601</v>
      </c>
      <c r="F227">
        <v>0.21285714285714299</v>
      </c>
    </row>
    <row r="228" spans="2:6" x14ac:dyDescent="0.2">
      <c r="B228">
        <v>0.169333333333333</v>
      </c>
      <c r="C228">
        <v>0.2</v>
      </c>
      <c r="D228">
        <v>0.193333333333333</v>
      </c>
      <c r="E228">
        <v>0.216</v>
      </c>
      <c r="F228">
        <v>0.206666666666667</v>
      </c>
    </row>
    <row r="229" spans="2:6" x14ac:dyDescent="0.2">
      <c r="B229">
        <v>0.22</v>
      </c>
      <c r="C229">
        <v>0.1875</v>
      </c>
      <c r="D229">
        <v>0.1875</v>
      </c>
      <c r="E229">
        <v>0.22750000000000001</v>
      </c>
      <c r="F229">
        <v>0.21</v>
      </c>
    </row>
    <row r="230" spans="2:6" x14ac:dyDescent="0.2">
      <c r="B230">
        <v>0.20823529411764699</v>
      </c>
      <c r="C230">
        <v>0.17647058823529399</v>
      </c>
      <c r="D230">
        <v>0.20588235294117599</v>
      </c>
      <c r="E230">
        <v>0.22470588235294101</v>
      </c>
      <c r="F230">
        <v>0.223529411764706</v>
      </c>
    </row>
    <row r="231" spans="2:6" x14ac:dyDescent="0.2">
      <c r="B231">
        <v>0.198888888888889</v>
      </c>
      <c r="C231">
        <v>0.20555555555555599</v>
      </c>
      <c r="D231">
        <v>0.22222222222222199</v>
      </c>
      <c r="E231">
        <v>0.24</v>
      </c>
      <c r="F231">
        <v>0.22666666666666699</v>
      </c>
    </row>
    <row r="232" spans="2:6" x14ac:dyDescent="0.2">
      <c r="B232">
        <v>0.24</v>
      </c>
      <c r="C232">
        <v>0.24736842105263199</v>
      </c>
      <c r="D232">
        <v>0.23684210526315799</v>
      </c>
      <c r="E232">
        <v>0.25789473684210501</v>
      </c>
      <c r="F232">
        <v>0.229473684210526</v>
      </c>
    </row>
    <row r="233" spans="2:6" x14ac:dyDescent="0.2">
      <c r="B233">
        <v>0.248</v>
      </c>
      <c r="C233">
        <v>0.24199999999999999</v>
      </c>
      <c r="D233">
        <v>0.25</v>
      </c>
      <c r="E233">
        <v>0.27400000000000002</v>
      </c>
      <c r="F233">
        <v>0.23499999999999999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4BCF-8F1E-2447-B296-BDB07F834470}">
  <dimension ref="B1:F21"/>
  <sheetViews>
    <sheetView workbookViewId="0">
      <selection activeCell="I24" sqref="I24"/>
    </sheetView>
  </sheetViews>
  <sheetFormatPr baseColWidth="10" defaultRowHeight="16" x14ac:dyDescent="0.2"/>
  <sheetData>
    <row r="1" spans="2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">
      <c r="B2">
        <v>0</v>
      </c>
      <c r="C2">
        <v>0</v>
      </c>
      <c r="D2">
        <v>0</v>
      </c>
      <c r="E2">
        <v>0</v>
      </c>
      <c r="F2">
        <v>0</v>
      </c>
    </row>
    <row r="3" spans="2:6" x14ac:dyDescent="0.2">
      <c r="B3">
        <v>0</v>
      </c>
      <c r="C3">
        <v>0</v>
      </c>
      <c r="D3">
        <v>0</v>
      </c>
      <c r="E3">
        <v>0</v>
      </c>
      <c r="F3">
        <v>0</v>
      </c>
    </row>
    <row r="4" spans="2:6" x14ac:dyDescent="0.2">
      <c r="B4">
        <v>0</v>
      </c>
      <c r="C4">
        <v>0</v>
      </c>
      <c r="D4">
        <v>0</v>
      </c>
      <c r="E4">
        <v>0</v>
      </c>
      <c r="F4">
        <v>0</v>
      </c>
    </row>
    <row r="5" spans="2:6" x14ac:dyDescent="0.2">
      <c r="B5">
        <v>0</v>
      </c>
      <c r="C5">
        <v>0</v>
      </c>
      <c r="D5">
        <v>0</v>
      </c>
      <c r="E5">
        <v>0</v>
      </c>
      <c r="F5">
        <v>0</v>
      </c>
    </row>
    <row r="6" spans="2:6" x14ac:dyDescent="0.2">
      <c r="B6">
        <v>1.8181818181818199E-3</v>
      </c>
      <c r="C6">
        <v>0</v>
      </c>
      <c r="D6">
        <v>0</v>
      </c>
      <c r="E6">
        <v>1.0833333333333301E-2</v>
      </c>
      <c r="F6">
        <v>2.6315789473684199E-2</v>
      </c>
    </row>
    <row r="7" spans="2:6" x14ac:dyDescent="0.2">
      <c r="B7">
        <v>6.8181818181818205E-2</v>
      </c>
      <c r="C7">
        <v>0</v>
      </c>
      <c r="D7">
        <v>0</v>
      </c>
      <c r="E7">
        <v>7.3611111111111099E-2</v>
      </c>
      <c r="F7">
        <v>7.4561403508771898E-2</v>
      </c>
    </row>
    <row r="8" spans="2:6" x14ac:dyDescent="0.2">
      <c r="B8">
        <v>0.101298701298701</v>
      </c>
      <c r="C8">
        <v>0</v>
      </c>
      <c r="D8">
        <v>0</v>
      </c>
      <c r="E8">
        <v>0.107142857142857</v>
      </c>
      <c r="F8">
        <v>6.8922305764410996E-2</v>
      </c>
    </row>
    <row r="9" spans="2:6" x14ac:dyDescent="0.2">
      <c r="B9">
        <v>0.118181818181818</v>
      </c>
      <c r="C9">
        <v>0.125</v>
      </c>
      <c r="D9">
        <v>8.9583333333333307E-2</v>
      </c>
      <c r="E9">
        <v>0.125</v>
      </c>
      <c r="F9">
        <v>0.12828947368421101</v>
      </c>
    </row>
    <row r="10" spans="2:6" x14ac:dyDescent="0.2">
      <c r="B10">
        <v>0.12020202020202</v>
      </c>
      <c r="C10">
        <v>0.11111111111111099</v>
      </c>
      <c r="D10">
        <v>0.11111111111111099</v>
      </c>
      <c r="E10">
        <v>0.17499999999999999</v>
      </c>
      <c r="F10">
        <v>0.175438596491228</v>
      </c>
    </row>
    <row r="11" spans="2:6" x14ac:dyDescent="0.2">
      <c r="B11">
        <v>0.110909090909091</v>
      </c>
      <c r="C11">
        <v>0.1</v>
      </c>
      <c r="D11">
        <v>0.1</v>
      </c>
      <c r="E11">
        <v>0.17</v>
      </c>
      <c r="F11">
        <v>0.18157894736842101</v>
      </c>
    </row>
    <row r="12" spans="2:6" x14ac:dyDescent="0.2">
      <c r="B12">
        <v>0.104132231404959</v>
      </c>
      <c r="C12">
        <v>0.18181818181818199</v>
      </c>
      <c r="D12">
        <v>0.16515151515151499</v>
      </c>
      <c r="E12">
        <v>0.18181818181818199</v>
      </c>
      <c r="F12">
        <v>0.190590111642743</v>
      </c>
    </row>
    <row r="13" spans="2:6" x14ac:dyDescent="0.2">
      <c r="B13">
        <v>0.163636363636364</v>
      </c>
      <c r="C13">
        <v>0.16666666666666699</v>
      </c>
      <c r="D13">
        <v>0.16666666666666699</v>
      </c>
      <c r="E13">
        <v>0.21319444444444399</v>
      </c>
      <c r="F13">
        <v>0.197368421052632</v>
      </c>
    </row>
    <row r="14" spans="2:6" x14ac:dyDescent="0.2">
      <c r="B14">
        <v>0.162937062937063</v>
      </c>
      <c r="C14">
        <v>0.15384615384615399</v>
      </c>
      <c r="D14">
        <v>0.15384615384615399</v>
      </c>
      <c r="E14">
        <v>0.20512820512820501</v>
      </c>
      <c r="F14">
        <v>0.201079622132254</v>
      </c>
    </row>
    <row r="15" spans="2:6" x14ac:dyDescent="0.2">
      <c r="B15">
        <v>0.188961038961039</v>
      </c>
      <c r="C15">
        <v>0.14285714285714299</v>
      </c>
      <c r="D15">
        <v>0.14285714285714299</v>
      </c>
      <c r="E15">
        <v>0.2</v>
      </c>
      <c r="F15">
        <v>0.203634085213033</v>
      </c>
    </row>
    <row r="16" spans="2:6" x14ac:dyDescent="0.2">
      <c r="B16">
        <v>0.178787878787879</v>
      </c>
      <c r="C16">
        <v>0.2</v>
      </c>
      <c r="D16">
        <v>0.180555555555556</v>
      </c>
      <c r="E16">
        <v>0.219444444444444</v>
      </c>
      <c r="F16">
        <v>0.205847953216374</v>
      </c>
    </row>
    <row r="17" spans="2:6" x14ac:dyDescent="0.2">
      <c r="B17">
        <v>0.22784090909090901</v>
      </c>
      <c r="C17">
        <v>0.1875</v>
      </c>
      <c r="D17">
        <v>0.1875</v>
      </c>
      <c r="E17">
        <v>0.235416666666667</v>
      </c>
      <c r="F17">
        <v>0.21052631578947401</v>
      </c>
    </row>
    <row r="18" spans="2:6" x14ac:dyDescent="0.2">
      <c r="B18">
        <v>0.21711229946524099</v>
      </c>
      <c r="C18">
        <v>0.177005347593583</v>
      </c>
      <c r="D18">
        <v>0.20588235294117599</v>
      </c>
      <c r="E18">
        <v>0.231862745098039</v>
      </c>
      <c r="F18">
        <v>0.22187822497420001</v>
      </c>
    </row>
    <row r="19" spans="2:6" x14ac:dyDescent="0.2">
      <c r="B19">
        <v>0.20707070707070699</v>
      </c>
      <c r="C19">
        <v>0.20303030303030301</v>
      </c>
      <c r="D19">
        <v>0.22222222222222199</v>
      </c>
      <c r="E19">
        <v>0.24629629629629601</v>
      </c>
      <c r="F19">
        <v>0.223196881091618</v>
      </c>
    </row>
    <row r="20" spans="2:6" x14ac:dyDescent="0.2">
      <c r="B20">
        <v>0.24688995215310999</v>
      </c>
      <c r="C20">
        <v>0.24449760765550199</v>
      </c>
      <c r="D20">
        <v>0.23684210526315799</v>
      </c>
      <c r="E20">
        <v>0.26096491228070201</v>
      </c>
      <c r="F20">
        <v>0.226223453370268</v>
      </c>
    </row>
    <row r="21" spans="2:6" x14ac:dyDescent="0.2">
      <c r="B21">
        <v>0.25363636363636399</v>
      </c>
      <c r="C21">
        <v>0.23954545454545501</v>
      </c>
      <c r="D21">
        <v>0.25</v>
      </c>
      <c r="E21">
        <v>0.27541666666666698</v>
      </c>
      <c r="F21">
        <v>0.22982456140350899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</vt:lpstr>
      <vt:lpstr>merged_details</vt:lpstr>
      <vt:lpstr>15 strains</vt:lpstr>
      <vt:lpstr>50 strains</vt:lpstr>
      <vt:lpstr>120 strains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Handuo Shi</dc:creator>
  <cp:lastModifiedBy>Beverly Fu</cp:lastModifiedBy>
  <dcterms:created xsi:type="dcterms:W3CDTF">2025-05-16T18:41:13Z</dcterms:created>
  <dcterms:modified xsi:type="dcterms:W3CDTF">2025-05-16T22:00:45Z</dcterms:modified>
</cp:coreProperties>
</file>