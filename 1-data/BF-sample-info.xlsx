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fu/Dropbox (Personal)/Papers/Multiplexed 16S/Github/CUPID-seq-protocol/1-data/"/>
    </mc:Choice>
  </mc:AlternateContent>
  <xr:revisionPtr revIDLastSave="0" documentId="8_{C24D1F9B-17CD-3842-B206-58DFEC8404B1}" xr6:coauthVersionLast="47" xr6:coauthVersionMax="47" xr10:uidLastSave="{00000000-0000-0000-0000-000000000000}"/>
  <bookViews>
    <workbookView xWindow="31420" yWindow="2280" windowWidth="30240" windowHeight="18880" xr2:uid="{A40FEBE6-6B50-7345-8EE9-17066D3DFFC4}"/>
  </bookViews>
  <sheets>
    <sheet name="SICap" sheetId="1" r:id="rId1"/>
    <sheet name="KlebMouseAvatar" sheetId="2" r:id="rId2"/>
    <sheet name="Envivo" sheetId="3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1" l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3" i="1"/>
  <c r="H4" i="1"/>
  <c r="H5" i="1"/>
  <c r="H6" i="1"/>
  <c r="H7" i="1"/>
  <c r="H8" i="1"/>
  <c r="H9" i="1"/>
  <c r="H10" i="1"/>
  <c r="H11" i="1"/>
  <c r="H12" i="1"/>
  <c r="H13" i="1"/>
  <c r="H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2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578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2" i="1"/>
</calcChain>
</file>

<file path=xl/sharedStrings.xml><?xml version="1.0" encoding="utf-8"?>
<sst xmlns="http://schemas.openxmlformats.org/spreadsheetml/2006/main" count="38923" uniqueCount="2703">
  <si>
    <t>No</t>
  </si>
  <si>
    <t>Name</t>
  </si>
  <si>
    <t>Screen</t>
  </si>
  <si>
    <t>Plate</t>
  </si>
  <si>
    <t>Well</t>
  </si>
  <si>
    <t>PlateName</t>
  </si>
  <si>
    <t>Media</t>
  </si>
  <si>
    <t>Bile</t>
  </si>
  <si>
    <t>Capsule</t>
  </si>
  <si>
    <t>Rep</t>
  </si>
  <si>
    <t>Day</t>
  </si>
  <si>
    <t>PlateDescription</t>
  </si>
  <si>
    <t>Treatment</t>
  </si>
  <si>
    <t>Tissue</t>
  </si>
  <si>
    <t>Isolator</t>
  </si>
  <si>
    <t>Subject</t>
  </si>
  <si>
    <t>CollectionDate</t>
  </si>
  <si>
    <t>CollectionDay</t>
  </si>
  <si>
    <t>round1index</t>
  </si>
  <si>
    <t>round2plate</t>
  </si>
  <si>
    <t>SICap</t>
  </si>
  <si>
    <t>P1</t>
  </si>
  <si>
    <t>A01</t>
  </si>
  <si>
    <t>P1D2</t>
  </si>
  <si>
    <t>M9</t>
  </si>
  <si>
    <t>noBile</t>
  </si>
  <si>
    <t>C1R1</t>
  </si>
  <si>
    <t>noBile-rep1-day2</t>
  </si>
  <si>
    <t>na</t>
  </si>
  <si>
    <t>A</t>
  </si>
  <si>
    <t>A02</t>
  </si>
  <si>
    <t>C1R2</t>
  </si>
  <si>
    <t>A03</t>
  </si>
  <si>
    <t>C2R1</t>
  </si>
  <si>
    <t>A04</t>
  </si>
  <si>
    <t>C2R2</t>
  </si>
  <si>
    <t>A05</t>
  </si>
  <si>
    <t>C3R1</t>
  </si>
  <si>
    <t>A06</t>
  </si>
  <si>
    <t>C3R2</t>
  </si>
  <si>
    <t>A07</t>
  </si>
  <si>
    <t>C4R1</t>
  </si>
  <si>
    <t>A08</t>
  </si>
  <si>
    <t>C4R2</t>
  </si>
  <si>
    <t>A09</t>
  </si>
  <si>
    <t>S1R2</t>
  </si>
  <si>
    <t>A10</t>
  </si>
  <si>
    <t>StoolPool</t>
  </si>
  <si>
    <t>A11</t>
  </si>
  <si>
    <t>SIPool</t>
  </si>
  <si>
    <t>A12</t>
  </si>
  <si>
    <t>B01</t>
  </si>
  <si>
    <t>EZ-RDM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</si>
  <si>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</si>
  <si>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</si>
  <si>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</si>
  <si>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</si>
  <si>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</si>
  <si>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</si>
  <si>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</si>
  <si>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</si>
  <si>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</si>
  <si>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</si>
  <si>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</si>
  <si>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</si>
  <si>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BHI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</si>
  <si>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</si>
  <si>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</si>
  <si>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</si>
  <si>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</si>
  <si>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</si>
  <si>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</si>
  <si>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</si>
  <si>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</si>
  <si>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</si>
  <si>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</si>
  <si>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</si>
  <si>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</si>
  <si>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GAM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</si>
  <si>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</si>
  <si>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</si>
  <si>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</si>
  <si>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</si>
  <si>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</si>
  <si>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</si>
  <si>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</si>
  <si>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</si>
  <si>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</si>
  <si>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</si>
  <si>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</si>
  <si>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</si>
  <si>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BB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</si>
  <si>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</si>
  <si>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</si>
  <si>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</si>
  <si>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</si>
  <si>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</si>
  <si>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</si>
  <si>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</si>
  <si>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</si>
  <si>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</si>
  <si>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</si>
  <si>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</si>
  <si>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</si>
  <si>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YCFAG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</si>
  <si>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</si>
  <si>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</si>
  <si>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</si>
  <si>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</si>
  <si>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</si>
  <si>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</si>
  <si>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</si>
  <si>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</si>
  <si>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</si>
  <si>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</si>
  <si>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</si>
  <si>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</si>
  <si>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TYG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</si>
  <si>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</si>
  <si>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</si>
  <si>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</si>
  <si>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</si>
  <si>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</si>
  <si>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</si>
  <si>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</si>
  <si>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</si>
  <si>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</si>
  <si>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</si>
  <si>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</si>
  <si>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</si>
  <si>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RCM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</si>
  <si>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</si>
  <si>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</si>
  <si>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</si>
  <si>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</si>
  <si>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</si>
  <si>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</si>
  <si>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</si>
  <si>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</si>
  <si>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</si>
  <si>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</si>
  <si>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</si>
  <si>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yesBile</t>
  </si>
  <si>
    <t>P5</t>
  </si>
  <si>
    <t>P5D2</t>
  </si>
  <si>
    <t>yesBile-rep2-day2</t>
  </si>
  <si>
    <t>B</t>
  </si>
  <si>
    <t>C</t>
  </si>
  <si>
    <t>P12</t>
  </si>
  <si>
    <t>P1D14</t>
  </si>
  <si>
    <t>noBile-rep1-day14</t>
  </si>
  <si>
    <t>D</t>
  </si>
  <si>
    <t>P15</t>
  </si>
  <si>
    <t>P4D14</t>
  </si>
  <si>
    <t>yesBile-rep1-day14</t>
  </si>
  <si>
    <t>E</t>
  </si>
  <si>
    <t>P20</t>
  </si>
  <si>
    <t>P1D14-RP3</t>
  </si>
  <si>
    <t>14-repassage3</t>
  </si>
  <si>
    <t>noBile-rep1-day14-repassage3</t>
  </si>
  <si>
    <t>F</t>
  </si>
  <si>
    <t>P22</t>
  </si>
  <si>
    <t>MouseStool</t>
  </si>
  <si>
    <t>Feces-mouse</t>
  </si>
  <si>
    <t>Blue-3</t>
  </si>
  <si>
    <t>Orange-3</t>
  </si>
  <si>
    <t>Clear-3</t>
  </si>
  <si>
    <t>Purple-1</t>
  </si>
  <si>
    <t>Yellow-1</t>
  </si>
  <si>
    <t>Green-1</t>
  </si>
  <si>
    <t>SIStoolPool</t>
  </si>
  <si>
    <t>Cecum-mouse</t>
  </si>
  <si>
    <t>blank</t>
  </si>
  <si>
    <t>Sample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</si>
  <si>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</si>
  <si>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</si>
  <si>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</si>
  <si>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</si>
  <si>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</si>
  <si>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</si>
  <si>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</si>
  <si>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</si>
  <si>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</si>
  <si>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</si>
  <si>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</si>
  <si>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</si>
  <si>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</si>
  <si>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</si>
  <si>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</si>
  <si>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</si>
  <si>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</si>
  <si>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</si>
  <si>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</si>
  <si>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</si>
  <si>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</si>
  <si>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</si>
  <si>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</si>
  <si>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</si>
  <si>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</si>
  <si>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</si>
  <si>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</si>
  <si>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</si>
  <si>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</si>
  <si>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</si>
  <si>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</si>
  <si>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</si>
  <si>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</si>
  <si>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</si>
  <si>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</si>
  <si>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</si>
  <si>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</si>
  <si>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</si>
  <si>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</si>
  <si>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</si>
  <si>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</si>
  <si>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</si>
  <si>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</si>
  <si>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</si>
  <si>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</si>
  <si>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</si>
  <si>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</si>
  <si>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</si>
  <si>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</si>
  <si>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</si>
  <si>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</si>
  <si>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</si>
  <si>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</si>
  <si>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</si>
  <si>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</si>
  <si>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</si>
  <si>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</si>
  <si>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</si>
  <si>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</si>
  <si>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</si>
  <si>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</si>
  <si>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</si>
  <si>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</si>
  <si>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</si>
  <si>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</si>
  <si>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</si>
  <si>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</si>
  <si>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</si>
  <si>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</si>
  <si>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</si>
  <si>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</si>
  <si>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</si>
  <si>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</si>
  <si>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</si>
  <si>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</si>
  <si>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</si>
  <si>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</si>
  <si>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</si>
  <si>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</si>
  <si>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</si>
  <si>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</si>
  <si>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</si>
  <si>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</si>
  <si>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</si>
  <si>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</si>
  <si>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</si>
  <si>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</si>
  <si>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</si>
  <si>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</si>
  <si>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</si>
  <si>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</si>
  <si>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</si>
  <si>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</si>
  <si>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</si>
  <si>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</si>
  <si>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</si>
  <si>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</si>
  <si>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</si>
  <si>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</si>
  <si>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</si>
  <si>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</si>
  <si>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</si>
  <si>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</si>
  <si>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</si>
  <si>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</si>
  <si>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</si>
  <si>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</si>
  <si>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</si>
  <si>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</si>
  <si>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</si>
  <si>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</si>
  <si>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</si>
  <si>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</si>
  <si>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</si>
  <si>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</si>
  <si>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</si>
  <si>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</si>
  <si>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</si>
  <si>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</si>
  <si>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</si>
  <si>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</si>
  <si>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</si>
  <si>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</si>
  <si>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</si>
  <si>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</si>
  <si>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</si>
  <si>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</si>
  <si>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</si>
  <si>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</si>
  <si>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</si>
  <si>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</si>
  <si>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</si>
  <si>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</si>
  <si>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</si>
  <si>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</si>
  <si>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</si>
  <si>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</si>
  <si>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</si>
  <si>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</si>
  <si>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</si>
  <si>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</si>
  <si>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</si>
  <si>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</si>
  <si>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</si>
  <si>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</si>
  <si>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</si>
  <si>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</si>
  <si>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</si>
  <si>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</si>
  <si>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</si>
  <si>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</si>
  <si>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</si>
  <si>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</si>
  <si>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</si>
  <si>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</si>
  <si>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</si>
  <si>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</si>
  <si>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</si>
  <si>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</si>
  <si>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</si>
  <si>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</si>
  <si>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</si>
  <si>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</si>
  <si>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</si>
  <si>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</si>
  <si>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</si>
  <si>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</si>
  <si>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</si>
  <si>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</si>
  <si>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</si>
  <si>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</si>
  <si>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</si>
  <si>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</si>
  <si>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</si>
  <si>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</si>
  <si>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</si>
  <si>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</si>
  <si>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</si>
  <si>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</si>
  <si>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</si>
  <si>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</si>
  <si>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</si>
  <si>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</si>
  <si>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</si>
  <si>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</si>
  <si>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</si>
  <si>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</si>
  <si>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</si>
  <si>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</si>
  <si>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</si>
  <si>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</si>
  <si>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</si>
  <si>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</si>
  <si>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</si>
  <si>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</si>
  <si>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</si>
  <si>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</si>
  <si>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</si>
  <si>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</si>
  <si>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</si>
  <si>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</si>
  <si>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</si>
  <si>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</si>
  <si>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</si>
  <si>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</si>
  <si>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</si>
  <si>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</si>
  <si>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</si>
  <si>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</si>
  <si>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</si>
  <si>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</si>
  <si>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</si>
  <si>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</si>
  <si>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</si>
  <si>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</si>
  <si>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</si>
  <si>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</si>
  <si>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</si>
  <si>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</si>
  <si>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</si>
  <si>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</si>
  <si>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</si>
  <si>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</si>
  <si>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</si>
  <si>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</si>
  <si>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</si>
  <si>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</si>
  <si>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</si>
  <si>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</si>
  <si>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</si>
  <si>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</si>
  <si>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</si>
  <si>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</si>
  <si>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</si>
  <si>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</si>
  <si>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</si>
  <si>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</si>
  <si>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</si>
  <si>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</si>
  <si>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</si>
  <si>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</si>
  <si>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</si>
  <si>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</si>
  <si>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</si>
  <si>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</si>
  <si>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</si>
  <si>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</si>
  <si>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</si>
  <si>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</si>
  <si>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</si>
  <si>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</si>
  <si>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</si>
  <si>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</si>
  <si>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</si>
  <si>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</si>
  <si>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</si>
  <si>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</si>
  <si>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</si>
  <si>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</si>
  <si>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</si>
  <si>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</si>
  <si>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</si>
  <si>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</si>
  <si>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</si>
  <si>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</si>
  <si>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</si>
  <si>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</si>
  <si>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</si>
  <si>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</si>
  <si>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</si>
  <si>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</si>
  <si>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</si>
  <si>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</si>
  <si>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</si>
  <si>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</si>
  <si>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</si>
  <si>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</si>
  <si>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</si>
  <si>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</si>
  <si>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</si>
  <si>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</si>
  <si>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</si>
  <si>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</si>
  <si>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</si>
  <si>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</si>
  <si>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</si>
  <si>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</si>
  <si>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</si>
  <si>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</si>
  <si>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</si>
  <si>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</si>
  <si>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</si>
  <si>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</si>
  <si>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</si>
  <si>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</si>
  <si>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</si>
  <si>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</si>
  <si>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</si>
  <si>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</si>
  <si>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</si>
  <si>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</si>
  <si>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</si>
  <si>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</si>
  <si>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</si>
  <si>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</si>
  <si>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</si>
  <si>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</si>
  <si>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</si>
  <si>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</si>
  <si>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</si>
  <si>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</si>
  <si>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</si>
  <si>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</si>
  <si>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</si>
  <si>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</si>
  <si>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</si>
  <si>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</si>
  <si>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</si>
  <si>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</si>
  <si>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</si>
  <si>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</si>
  <si>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</si>
  <si>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</si>
  <si>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</si>
  <si>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</si>
  <si>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</si>
  <si>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</si>
  <si>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</si>
  <si>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</si>
  <si>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</si>
  <si>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</si>
  <si>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</si>
  <si>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</si>
  <si>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</si>
  <si>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</si>
  <si>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</si>
  <si>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</si>
  <si>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</si>
  <si>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</si>
  <si>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</si>
  <si>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</si>
  <si>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</si>
  <si>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</si>
  <si>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</si>
  <si>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</si>
  <si>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</si>
  <si>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</si>
  <si>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</si>
  <si>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</si>
  <si>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</si>
  <si>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</si>
  <si>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</si>
  <si>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</si>
  <si>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</si>
  <si>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</si>
  <si>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</si>
  <si>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</si>
  <si>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</si>
  <si>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</si>
  <si>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</si>
  <si>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</si>
  <si>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</si>
  <si>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</si>
  <si>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</si>
  <si>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</si>
  <si>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</si>
  <si>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</si>
  <si>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</si>
  <si>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</si>
  <si>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</si>
  <si>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</si>
  <si>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</si>
  <si>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</si>
  <si>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</si>
  <si>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</si>
  <si>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</si>
  <si>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</si>
  <si>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</si>
  <si>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</si>
  <si>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</si>
  <si>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</si>
  <si>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</si>
  <si>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</si>
  <si>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</si>
  <si>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</si>
  <si>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</si>
  <si>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</si>
  <si>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</si>
  <si>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</si>
  <si>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</si>
  <si>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</si>
  <si>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</si>
  <si>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</si>
  <si>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</si>
  <si>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</si>
  <si>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</si>
  <si>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</si>
  <si>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</si>
  <si>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</si>
  <si>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</si>
  <si>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</si>
  <si>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</si>
  <si>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</si>
  <si>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</si>
  <si>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</si>
  <si>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</si>
  <si>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</si>
  <si>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</si>
  <si>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</si>
  <si>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</si>
  <si>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</si>
  <si>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</si>
  <si>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</si>
  <si>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</si>
  <si>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</si>
  <si>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</si>
  <si>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</si>
  <si>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</si>
  <si>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</si>
  <si>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</si>
  <si>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</si>
  <si>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</si>
  <si>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</si>
  <si>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</si>
  <si>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</si>
  <si>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</si>
  <si>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</si>
  <si>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</si>
  <si>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</si>
  <si>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</si>
  <si>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</si>
  <si>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</si>
  <si>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</si>
  <si>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</si>
  <si>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</si>
  <si>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</si>
  <si>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</si>
  <si>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</si>
  <si>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</si>
  <si>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</si>
  <si>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</si>
  <si>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</si>
  <si>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</si>
  <si>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</si>
  <si>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</si>
  <si>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</si>
  <si>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</si>
  <si>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</si>
  <si>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</si>
  <si>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</si>
  <si>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</si>
  <si>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</si>
  <si>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</si>
  <si>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</si>
  <si>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</si>
  <si>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</si>
  <si>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</si>
  <si>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</si>
  <si>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</si>
  <si>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</si>
  <si>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</si>
  <si>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</si>
  <si>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</si>
  <si>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</si>
  <si>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</si>
  <si>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</si>
  <si>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</si>
  <si>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</si>
  <si>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</si>
  <si>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</si>
  <si>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</si>
  <si>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</si>
  <si>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</si>
  <si>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</si>
  <si>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</si>
  <si>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</si>
  <si>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</si>
  <si>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</si>
  <si>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</si>
  <si>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</si>
  <si>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</si>
  <si>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</si>
  <si>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</si>
  <si>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</si>
  <si>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</si>
  <si>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</si>
  <si>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</si>
  <si>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</si>
  <si>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</si>
  <si>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</si>
  <si>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</si>
  <si>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</si>
  <si>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</si>
  <si>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</si>
  <si>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</si>
  <si>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</si>
  <si>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</si>
  <si>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</si>
  <si>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</si>
  <si>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</si>
  <si>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</si>
  <si>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</si>
  <si>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</si>
  <si>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</si>
  <si>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</si>
  <si>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</si>
  <si>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</si>
  <si>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</si>
  <si>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</si>
  <si>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</si>
  <si>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</si>
  <si>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</si>
  <si>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</si>
  <si>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</si>
  <si>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</si>
  <si>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</si>
  <si>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</si>
  <si>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</si>
  <si>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</si>
  <si>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</si>
  <si>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</si>
  <si>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</si>
  <si>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</si>
  <si>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</si>
  <si>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</si>
  <si>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</si>
  <si>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</si>
  <si>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</si>
  <si>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</si>
  <si>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</si>
  <si>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</si>
  <si>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</si>
  <si>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</si>
  <si>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</si>
  <si>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</si>
  <si>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</si>
  <si>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</si>
  <si>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</si>
  <si>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</si>
  <si>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</si>
  <si>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</si>
  <si>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</si>
  <si>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</si>
  <si>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</si>
  <si>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</si>
  <si>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</si>
  <si>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</si>
  <si>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</si>
  <si>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</si>
  <si>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</si>
  <si>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</si>
  <si>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</si>
  <si>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</si>
  <si>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</si>
  <si>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</si>
  <si>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</si>
  <si>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</si>
  <si>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</si>
  <si>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</si>
  <si>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</si>
  <si>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</si>
  <si>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</si>
  <si>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</si>
  <si>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</si>
  <si>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</si>
  <si>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</si>
  <si>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</si>
  <si>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</si>
  <si>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</si>
  <si>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</si>
  <si>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</si>
  <si>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</si>
  <si>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</si>
  <si>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</si>
  <si>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</si>
  <si>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</si>
  <si>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16S-A-A01-L0_SICap-P1-A1-P1D2-M9-C1R1-noBile-rep1-day2</t>
  </si>
  <si>
    <t>16S-A-A02-L0_SICap-P1-A2-P1D2-M9-C1R2-noBile-rep1-day2</t>
  </si>
  <si>
    <t>16S-A-A03-L0_SICap-P1-A3-P1D2-M9-C2R1-noBile-rep1-day2</t>
  </si>
  <si>
    <t>16S-A-A04-L0_SICap-P1-A4-P1D2-M9-C2R2-noBile-rep1-day2</t>
  </si>
  <si>
    <t>16S-A-A05-L0_SICap-P1-A5-P1D2-M9-C3R1-noBile-rep1-day2</t>
  </si>
  <si>
    <t>16S-A-A06-L0_SICap-P1-A6-P1D2-M9-C3R2-noBile-rep1-day2</t>
  </si>
  <si>
    <t>16S-A-A07-L0_SICap-P1-A7-P1D2-M9-C4R1-noBile-rep1-day2</t>
  </si>
  <si>
    <t>16S-A-A08-L0_SICap-P1-A8-P1D2-M9-C4R2-noBile-rep1-day2</t>
  </si>
  <si>
    <t>16S-A-A09-L0_SICap-P1-A9-P1D2-M9-S1R2-noBile-rep1-day2</t>
  </si>
  <si>
    <t>16S-A-A10-L0_SICap-P1-A10-P1D2-M9-StoolPool-noBile-rep1-day2</t>
  </si>
  <si>
    <t>16S-A-A11-L0_SICap-P1-A11-P1D2-M9-SIPool-noBile-rep1-day2</t>
  </si>
  <si>
    <t>16S-A-A12-L0_SICap-P1-A12-P1D2-M9-Media-noBile-rep1-day2</t>
  </si>
  <si>
    <t>16S-A-B01-L0_SICap-P1-B1-P1D2-EZ-RDM-C1R1-noBile-rep1-day2</t>
  </si>
  <si>
    <t>16S-A-B02-L0_SICap-P1-B2-P1D2-EZ-RDM-C1R2-noBile-rep1-day2</t>
  </si>
  <si>
    <t>16S-A-B03-L0_SICap-P1-B3-P1D2-EZ-RDM-C2R1-noBile-rep1-day2</t>
  </si>
  <si>
    <t>16S-A-B04-L0_SICap-P1-B4-P1D2-EZ-RDM-C2R2-noBile-rep1-day2</t>
  </si>
  <si>
    <t>16S-A-B05-L0_SICap-P1-B5-P1D2-EZ-RDM-C3R1-noBile-rep1-day2</t>
  </si>
  <si>
    <t>16S-A-B06-L0_SICap-P1-B6-P1D2-EZ-RDM-C3R2-noBile-rep1-day2</t>
  </si>
  <si>
    <t>16S-A-B07-L0_SICap-P1-B7-P1D2-EZ-RDM-C4R1-noBile-rep1-day2</t>
  </si>
  <si>
    <t>16S-A-B08-L0_SICap-P1-B8-P1D2-EZ-RDM-C4R2-noBile-rep1-day2</t>
  </si>
  <si>
    <t>16S-A-B09-L0_SICap-P1-B9-P1D2-EZ-RDM-S1R2-noBile-rep1-day2</t>
  </si>
  <si>
    <t>16S-A-B10-L0_SICap-P1-B10-P1D2-EZ-RDM-StoolPool-noBile-rep1-day2</t>
  </si>
  <si>
    <t>16S-A-B11-L0_SICap-P1-B11-P1D2-EZ-RDM-SIPool-noBile-rep1-day2</t>
  </si>
  <si>
    <t>16S-A-B12-L0_SICap-P1-B12-P1D2-EZ-RDM-Media-noBile-rep1-day2</t>
  </si>
  <si>
    <t>16S-A-C01-L0_SICap-P1-C1-P1D2-BHI-C1R1-noBile-rep1-day2</t>
  </si>
  <si>
    <t>16S-A-C02-L0_SICap-P1-C2-P1D2-BHI-C1R2-noBile-rep1-day2</t>
  </si>
  <si>
    <t>16S-A-C03-L0_SICap-P1-C3-P1D2-BHI-C2R1-noBile-rep1-day2</t>
  </si>
  <si>
    <t>16S-A-C04-L0_SICap-P1-C4-P1D2-BHI-C2R2-noBile-rep1-day2</t>
  </si>
  <si>
    <t>16S-A-C05-L0_SICap-P1-C5-P1D2-BHI-C3R1-noBile-rep1-day2</t>
  </si>
  <si>
    <t>16S-A-C06-L0_SICap-P1-C6-P1D2-BHI-C3R2-noBile-rep1-day2</t>
  </si>
  <si>
    <t>16S-A-C07-L0_SICap-P1-C7-P1D2-BHI-C4R1-noBile-rep1-day2</t>
  </si>
  <si>
    <t>16S-A-C08-L0_SICap-P1-C8-P1D2-BHI-C4R2-noBile-rep1-day2</t>
  </si>
  <si>
    <t>16S-A-C09-L0_SICap-P1-C9-P1D2-BHI-S1R2-noBile-rep1-day2</t>
  </si>
  <si>
    <t>16S-A-C10-L0_SICap-P1-C10-P1D2-BHI-StoolPool-noBile-rep1-day2</t>
  </si>
  <si>
    <t>16S-A-C11-L0_SICap-P1-C11-P1D2-BHI-SIPool-noBile-rep1-day2</t>
  </si>
  <si>
    <t>16S-A-C12-L0_SICap-P1-C12-P1D2-BHI-Media-noBile-rep1-day2</t>
  </si>
  <si>
    <t>16S-A-D01-L0_SICap-P1-D1-P1D2-GAM-C1R1-noBile-rep1-day2</t>
  </si>
  <si>
    <t>16S-A-D02-L0_SICap-P1-D2-P1D2-GAM-C1R2-noBile-rep1-day2</t>
  </si>
  <si>
    <t>16S-A-D03-L0_SICap-P1-D3-P1D2-GAM-C2R1-noBile-rep1-day2</t>
  </si>
  <si>
    <t>16S-A-D04-L0_SICap-P1-D4-P1D2-GAM-C2R2-noBile-rep1-day2</t>
  </si>
  <si>
    <t>16S-A-D05-L0_SICap-P1-D5-P1D2-GAM-C3R1-noBile-rep1-day2</t>
  </si>
  <si>
    <t>16S-A-D06-L0_SICap-P1-D6-P1D2-GAM-C3R2-noBile-rep1-day2</t>
  </si>
  <si>
    <t>16S-A-D07-L0_SICap-P1-D7-P1D2-GAM-C4R1-noBile-rep1-day2</t>
  </si>
  <si>
    <t>16S-A-D08-L0_SICap-P1-D8-P1D2-GAM-C4R2-noBile-rep1-day2</t>
  </si>
  <si>
    <t>16S-A-D09-L0_SICap-P1-D9-P1D2-GAM-S1R2-noBile-rep1-day2</t>
  </si>
  <si>
    <t>16S-A-D10-L0_SICap-P1-D10-P1D2-GAM-StoolPool-noBile-rep1-day2</t>
  </si>
  <si>
    <t>16S-A-D11-L0_SICap-P1-D11-P1D2-GAM-SIPool-noBile-rep1-day2</t>
  </si>
  <si>
    <t>16S-A-D12-L0_SICap-P1-D12-P1D2-GAM-Media-noBile-rep1-day2</t>
  </si>
  <si>
    <t>16S-A-E01-L0_SICap-P1-E1-P1D2-BB-C1R1-noBile-rep1-day2</t>
  </si>
  <si>
    <t>16S-A-E02-L0_SICap-P1-E2-P1D2-BB-C1R2-noBile-rep1-day2</t>
  </si>
  <si>
    <t>16S-A-E03-L0_SICap-P1-E3-P1D2-BB-C2R1-noBile-rep1-day2</t>
  </si>
  <si>
    <t>16S-A-E04-L0_SICap-P1-E4-P1D2-BB-C2R2-noBile-rep1-day2</t>
  </si>
  <si>
    <t>16S-A-E05-L0_SICap-P1-E5-P1D2-BB-C3R1-noBile-rep1-day2</t>
  </si>
  <si>
    <t>16S-A-E06-L0_SICap-P1-E6-P1D2-BB-C3R2-noBile-rep1-day2</t>
  </si>
  <si>
    <t>16S-A-E07-L0_SICap-P1-E7-P1D2-BB-C4R1-noBile-rep1-day2</t>
  </si>
  <si>
    <t>16S-A-E08-L0_SICap-P1-E8-P1D2-BB-C4R2-noBile-rep1-day2</t>
  </si>
  <si>
    <t>16S-A-E09-L0_SICap-P1-E9-P1D2-BB-S1R2-noBile-rep1-day2</t>
  </si>
  <si>
    <t>16S-A-E10-L0_SICap-P1-E10-P1D2-BB-StoolPool-noBile-rep1-day2</t>
  </si>
  <si>
    <t>16S-A-E11-L0_SICap-P1-E11-P1D2-BB-SIPool-noBile-rep1-day2</t>
  </si>
  <si>
    <t>16S-A-E12-L0_SICap-P1-E12-P1D2-BB-Media-noBile-rep1-day2</t>
  </si>
  <si>
    <t>16S-A-F01-L0_SICap-P1-F1-P1D2-YCFAG-C1R1-noBile-rep1-day2</t>
  </si>
  <si>
    <t>16S-A-F02-L0_SICap-P1-F2-P1D2-YCFAG-C1R2-noBile-rep1-day2</t>
  </si>
  <si>
    <t>16S-A-F03-L0_SICap-P1-F3-P1D2-YCFAG-C2R1-noBile-rep1-day2</t>
  </si>
  <si>
    <t>16S-A-F04-L0_SICap-P1-F4-P1D2-YCFAG-C2R2-noBile-rep1-day2</t>
  </si>
  <si>
    <t>16S-A-F05-L0_SICap-P1-F5-P1D2-YCFAG-C3R1-noBile-rep1-day2</t>
  </si>
  <si>
    <t>16S-A-F06-L0_SICap-P1-F6-P1D2-YCFAG-C3R2-noBile-rep1-day2</t>
  </si>
  <si>
    <t>16S-A-F07-L0_SICap-P1-F7-P1D2-YCFAG-C4R1-noBile-rep1-day2</t>
  </si>
  <si>
    <t>16S-A-F08-L0_SICap-P1-F8-P1D2-YCFAG-C4R2-noBile-rep1-day2</t>
  </si>
  <si>
    <t>16S-A-F09-L0_SICap-P1-F9-P1D2-YCFAG-S1R2-noBile-rep1-day2</t>
  </si>
  <si>
    <t>16S-A-F10-L0_SICap-P1-F10-P1D2-YCFAG-StoolPool-noBile-rep1-day2</t>
  </si>
  <si>
    <t>16S-A-F11-L0_SICap-P1-F11-P1D2-YCFAG-SIPool-noBile-rep1-day2</t>
  </si>
  <si>
    <t>16S-A-F12-L0_SICap-P1-F12-P1D2-YCFAG-Media-noBile-rep1-day2</t>
  </si>
  <si>
    <t>16S-A-G01-L0_SICap-P1-G1-P1D2-TYG-C1R1-noBile-rep1-day2</t>
  </si>
  <si>
    <t>16S-A-G02-L0_SICap-P1-G2-P1D2-TYG-C1R2-noBile-rep1-day2</t>
  </si>
  <si>
    <t>16S-A-G03-L0_SICap-P1-G3-P1D2-TYG-C2R1-noBile-rep1-day2</t>
  </si>
  <si>
    <t>16S-A-G04-L0_SICap-P1-G4-P1D2-TYG-C2R2-noBile-rep1-day2</t>
  </si>
  <si>
    <t>16S-A-G05-L0_SICap-P1-G5-P1D2-TYG-C3R1-noBile-rep1-day2</t>
  </si>
  <si>
    <t>16S-A-G06-L0_SICap-P1-G6-P1D2-TYG-C3R2-noBile-rep1-day2</t>
  </si>
  <si>
    <t>16S-A-G07-L0_SICap-P1-G7-P1D2-TYG-C4R1-noBile-rep1-day2</t>
  </si>
  <si>
    <t>16S-A-G08-L0_SICap-P1-G8-P1D2-TYG-C4R2-noBile-rep1-day2</t>
  </si>
  <si>
    <t>16S-A-G09-L0_SICap-P1-G9-P1D2-TYG-S1R2-noBile-rep1-day2</t>
  </si>
  <si>
    <t>16S-A-G10-L0_SICap-P1-G10-P1D2-TYG-StoolPool-noBile-rep1-day2</t>
  </si>
  <si>
    <t>16S-A-G11-L0_SICap-P1-G11-P1D2-TYG-SIPool-noBile-rep1-day2</t>
  </si>
  <si>
    <t>16S-A-G12-L0_SICap-P1-G12-P1D2-TYG-Media-noBile-rep1-day2</t>
  </si>
  <si>
    <t>16S-A-H01-L0_SICap-P1-H1-P1D2-RCM-C1R1-noBile-rep1-day2</t>
  </si>
  <si>
    <t>16S-A-H02-L0_SICap-P1-H2-P1D2-RCM-C1R2-noBile-rep1-day2</t>
  </si>
  <si>
    <t>16S-A-H03-L0_SICap-P1-H3-P1D2-RCM-C2R1-noBile-rep1-day2</t>
  </si>
  <si>
    <t>16S-A-H04-L0_SICap-P1-H4-P1D2-RCM-C2R2-noBile-rep1-day2</t>
  </si>
  <si>
    <t>16S-A-H05-L0_SICap-P1-H5-P1D2-RCM-C3R1-noBile-rep1-day2</t>
  </si>
  <si>
    <t>16S-A-H06-L0_SICap-P1-H6-P1D2-RCM-C3R2-noBile-rep1-day2</t>
  </si>
  <si>
    <t>16S-A-H07-L0_SICap-P1-H7-P1D2-RCM-C4R1-noBile-rep1-day2</t>
  </si>
  <si>
    <t>16S-A-H08-L0_SICap-P1-H8-P1D2-RCM-C4R2-noBile-rep1-day2</t>
  </si>
  <si>
    <t>16S-A-H09-L0_SICap-P1-H9-P1D2-RCM-S1R2-noBile-rep1-day2</t>
  </si>
  <si>
    <t>16S-A-H10-L0_SICap-P1-H10-P1D2-RCM-StoolPool-noBile-rep1-day2</t>
  </si>
  <si>
    <t>16S-A-H11-L0_SICap-P1-H11-P1D2-RCM-SIPool-noBile-rep1-day2</t>
  </si>
  <si>
    <t>16S-A-H12-L0_SICap-P1-H12-P1D2-RCM-Media-noBile-rep1-day2</t>
  </si>
  <si>
    <t>16S-B-A01-L4_SICap-P5-A1-P5D2-M9-C1R1-yesBile-rep2-day2</t>
  </si>
  <si>
    <t>16S-B-A02-L4_SICap-P5-A2-P5D2-M9-C1R2-yesBile-rep2-day2</t>
  </si>
  <si>
    <t>16S-B-A03-L4_SICap-P5-A3-P5D2-M9-C2R1-yesBile-rep2-day2</t>
  </si>
  <si>
    <t>16S-B-A04-L4_SICap-P5-A4-P5D2-M9-C2R2-yesBile-rep2-day2</t>
  </si>
  <si>
    <t>16S-B-A05-L4_SICap-P5-A5-P5D2-M9-C3R1-yesBile-rep2-day2</t>
  </si>
  <si>
    <t>16S-B-A06-L4_SICap-P5-A6-P5D2-M9-C3R2-yesBile-rep2-day2</t>
  </si>
  <si>
    <t>16S-B-A07-L4_SICap-P5-A7-P5D2-M9-C4R1-yesBile-rep2-day2</t>
  </si>
  <si>
    <t>16S-B-A08-L4_SICap-P5-A8-P5D2-M9-C4R2-yesBile-rep2-day2</t>
  </si>
  <si>
    <t>16S-B-A09-L4_SICap-P5-A9-P5D2-M9-S1R2-yesBile-rep2-day2</t>
  </si>
  <si>
    <t>16S-B-A10-L4_SICap-P5-A10-P5D2-M9-StoolPool-yesBile-rep2-day2</t>
  </si>
  <si>
    <t>16S-B-A11-L4_SICap-P5-A11-P5D2-M9-SIPool-yesBile-rep2-day2</t>
  </si>
  <si>
    <t>16S-B-A12-L4_SICap-P5-A12-P5D2-M9-Media-yesBile-rep2-day2</t>
  </si>
  <si>
    <t>16S-B-B01-L4_SICap-P5-B1-P5D2-EZ-RDM-C1R1-yesBile-rep2-day2</t>
  </si>
  <si>
    <t>16S-B-B02-L4_SICap-P5-B2-P5D2-EZ-RDM-C1R2-yesBile-rep2-day2</t>
  </si>
  <si>
    <t>16S-B-B03-L4_SICap-P5-B3-P5D2-EZ-RDM-C2R1-yesBile-rep2-day2</t>
  </si>
  <si>
    <t>16S-B-B04-L4_SICap-P5-B4-P5D2-EZ-RDM-C2R2-yesBile-rep2-day2</t>
  </si>
  <si>
    <t>16S-B-B05-L4_SICap-P5-B5-P5D2-EZ-RDM-C3R1-yesBile-rep2-day2</t>
  </si>
  <si>
    <t>16S-B-B06-L4_SICap-P5-B6-P5D2-EZ-RDM-C3R2-yesBile-rep2-day2</t>
  </si>
  <si>
    <t>16S-B-B07-L4_SICap-P5-B7-P5D2-EZ-RDM-C4R1-yesBile-rep2-day2</t>
  </si>
  <si>
    <t>16S-B-B08-L4_SICap-P5-B8-P5D2-EZ-RDM-C4R2-yesBile-rep2-day2</t>
  </si>
  <si>
    <t>16S-B-B09-L4_SICap-P5-B9-P5D2-EZ-RDM-S1R2-yesBile-rep2-day2</t>
  </si>
  <si>
    <t>16S-B-B10-L4_SICap-P5-B10-P5D2-EZ-RDM-StoolPool-yesBile-rep2-day2</t>
  </si>
  <si>
    <t>16S-B-B11-L4_SICap-P5-B11-P5D2-EZ-RDM-SIPool-yesBile-rep2-day2</t>
  </si>
  <si>
    <t>16S-B-B12-L4_SICap-P5-B12-P5D2-EZ-RDM-Media-yesBile-rep2-day2</t>
  </si>
  <si>
    <t>16S-B-C01-L4_SICap-P5-C1-P5D2-BHI-C1R1-yesBile-rep2-day2</t>
  </si>
  <si>
    <t>16S-B-C02-L4_SICap-P5-C2-P5D2-BHI-C1R2-yesBile-rep2-day2</t>
  </si>
  <si>
    <t>16S-B-C03-L4_SICap-P5-C3-P5D2-BHI-C2R1-yesBile-rep2-day2</t>
  </si>
  <si>
    <t>16S-B-C04-L4_SICap-P5-C4-P5D2-BHI-C2R2-yesBile-rep2-day2</t>
  </si>
  <si>
    <t>16S-B-C05-L4_SICap-P5-C5-P5D2-BHI-C3R1-yesBile-rep2-day2</t>
  </si>
  <si>
    <t>16S-B-C06-L4_SICap-P5-C6-P5D2-BHI-C3R2-yesBile-rep2-day2</t>
  </si>
  <si>
    <t>16S-B-C07-L4_SICap-P5-C7-P5D2-BHI-C4R1-yesBile-rep2-day2</t>
  </si>
  <si>
    <t>16S-B-C08-L4_SICap-P5-C8-P5D2-BHI-C4R2-yesBile-rep2-day2</t>
  </si>
  <si>
    <t>16S-B-C09-L4_SICap-P5-C9-P5D2-BHI-S1R2-yesBile-rep2-day2</t>
  </si>
  <si>
    <t>16S-B-C10-L4_SICap-P5-C10-P5D2-BHI-StoolPool-yesBile-rep2-day2</t>
  </si>
  <si>
    <t>16S-B-C11-L4_SICap-P5-C11-P5D2-BHI-SIPool-yesBile-rep2-day2</t>
  </si>
  <si>
    <t>16S-B-C12-L4_SICap-P5-C12-P5D2-BHI-Media-yesBile-rep2-day2</t>
  </si>
  <si>
    <t>16S-B-D01-L4_SICap-P5-D1-P5D2-GAM-C1R1-yesBile-rep2-day2</t>
  </si>
  <si>
    <t>16S-B-D02-L4_SICap-P5-D2-P5D2-GAM-C1R2-yesBile-rep2-day2</t>
  </si>
  <si>
    <t>16S-B-D03-L4_SICap-P5-D3-P5D2-GAM-C2R1-yesBile-rep2-day2</t>
  </si>
  <si>
    <t>16S-B-D04-L4_SICap-P5-D4-P5D2-GAM-C2R2-yesBile-rep2-day2</t>
  </si>
  <si>
    <t>16S-B-D05-L4_SICap-P5-D5-P5D2-GAM-C3R1-yesBile-rep2-day2</t>
  </si>
  <si>
    <t>16S-B-D06-L4_SICap-P5-D6-P5D2-GAM-C3R2-yesBile-rep2-day2</t>
  </si>
  <si>
    <t>16S-B-D07-L4_SICap-P5-D7-P5D2-GAM-C4R1-yesBile-rep2-day2</t>
  </si>
  <si>
    <t>16S-B-D08-L4_SICap-P5-D8-P5D2-GAM-C4R2-yesBile-rep2-day2</t>
  </si>
  <si>
    <t>16S-B-D09-L4_SICap-P5-D9-P5D2-GAM-S1R2-yesBile-rep2-day2</t>
  </si>
  <si>
    <t>16S-B-D10-L4_SICap-P5-D10-P5D2-GAM-StoolPool-yesBile-rep2-day2</t>
  </si>
  <si>
    <t>16S-B-D11-L4_SICap-P5-D11-P5D2-GAM-SIPool-yesBile-rep2-day2</t>
  </si>
  <si>
    <t>16S-B-D12-L4_SICap-P5-D12-P5D2-GAM-Media-yesBile-rep2-day2</t>
  </si>
  <si>
    <t>16S-B-E01-L4_SICap-P5-E1-P5D2-BB-C1R1-yesBile-rep2-day2</t>
  </si>
  <si>
    <t>16S-B-E02-L4_SICap-P5-E2-P5D2-BB-C1R2-yesBile-rep2-day2</t>
  </si>
  <si>
    <t>16S-B-E03-L4_SICap-P5-E3-P5D2-BB-C2R1-yesBile-rep2-day2</t>
  </si>
  <si>
    <t>16S-B-E04-L4_SICap-P5-E4-P5D2-BB-C2R2-yesBile-rep2-day2</t>
  </si>
  <si>
    <t>16S-B-E05-L4_SICap-P5-E5-P5D2-BB-C3R1-yesBile-rep2-day2</t>
  </si>
  <si>
    <t>16S-B-E06-L4_SICap-P5-E6-P5D2-BB-C3R2-yesBile-rep2-day2</t>
  </si>
  <si>
    <t>16S-B-E07-L4_SICap-P5-E7-P5D2-BB-C4R1-yesBile-rep2-day2</t>
  </si>
  <si>
    <t>16S-B-E08-L4_SICap-P5-E8-P5D2-BB-C4R2-yesBile-rep2-day2</t>
  </si>
  <si>
    <t>16S-B-E09-L4_SICap-P5-E9-P5D2-BB-S1R2-yesBile-rep2-day2</t>
  </si>
  <si>
    <t>16S-B-E10-L4_SICap-P5-E10-P5D2-BB-StoolPool-yesBile-rep2-day2</t>
  </si>
  <si>
    <t>16S-B-E11-L4_SICap-P5-E11-P5D2-BB-SIPool-yesBile-rep2-day2</t>
  </si>
  <si>
    <t>16S-B-E12-L4_SICap-P5-E12-P5D2-BB-Media-yesBile-rep2-day2</t>
  </si>
  <si>
    <t>16S-B-F01-L4_SICap-P5-F1-P5D2-YCFAG-C1R1-yesBile-rep2-day2</t>
  </si>
  <si>
    <t>16S-B-F02-L4_SICap-P5-F2-P5D2-YCFAG-C1R2-yesBile-rep2-day2</t>
  </si>
  <si>
    <t>16S-B-F03-L4_SICap-P5-F3-P5D2-YCFAG-C2R1-yesBile-rep2-day2</t>
  </si>
  <si>
    <t>16S-B-F04-L4_SICap-P5-F4-P5D2-YCFAG-C2R2-yesBile-rep2-day2</t>
  </si>
  <si>
    <t>16S-B-F05-L4_SICap-P5-F5-P5D2-YCFAG-C3R1-yesBile-rep2-day2</t>
  </si>
  <si>
    <t>16S-B-F06-L4_SICap-P5-F6-P5D2-YCFAG-C3R2-yesBile-rep2-day2</t>
  </si>
  <si>
    <t>16S-B-F07-L4_SICap-P5-F7-P5D2-YCFAG-C4R1-yesBile-rep2-day2</t>
  </si>
  <si>
    <t>16S-B-F08-L4_SICap-P5-F8-P5D2-YCFAG-C4R2-yesBile-rep2-day2</t>
  </si>
  <si>
    <t>16S-B-F09-L4_SICap-P5-F9-P5D2-YCFAG-S1R2-yesBile-rep2-day2</t>
  </si>
  <si>
    <t>16S-B-F10-L4_SICap-P5-F10-P5D2-YCFAG-StoolPool-yesBile-rep2-day2</t>
  </si>
  <si>
    <t>16S-B-F11-L4_SICap-P5-F11-P5D2-YCFAG-SIPool-yesBile-rep2-day2</t>
  </si>
  <si>
    <t>16S-B-F12-L4_SICap-P5-F12-P5D2-YCFAG-Media-yesBile-rep2-day2</t>
  </si>
  <si>
    <t>16S-B-G01-L4_SICap-P5-G1-P5D2-TYG-C1R1-yesBile-rep2-day2</t>
  </si>
  <si>
    <t>16S-B-G02-L4_SICap-P5-G2-P5D2-TYG-C1R2-yesBile-rep2-day2</t>
  </si>
  <si>
    <t>16S-B-G03-L4_SICap-P5-G3-P5D2-TYG-C2R1-yesBile-rep2-day2</t>
  </si>
  <si>
    <t>16S-B-G04-L4_SICap-P5-G4-P5D2-TYG-C2R2-yesBile-rep2-day2</t>
  </si>
  <si>
    <t>16S-B-G05-L4_SICap-P5-G5-P5D2-TYG-C3R1-yesBile-rep2-day2</t>
  </si>
  <si>
    <t>16S-B-G06-L4_SICap-P5-G6-P5D2-TYG-C3R2-yesBile-rep2-day2</t>
  </si>
  <si>
    <t>16S-B-G07-L4_SICap-P5-G7-P5D2-TYG-C4R1-yesBile-rep2-day2</t>
  </si>
  <si>
    <t>16S-B-G08-L4_SICap-P5-G8-P5D2-TYG-C4R2-yesBile-rep2-day2</t>
  </si>
  <si>
    <t>16S-B-G09-L4_SICap-P5-G9-P5D2-TYG-S1R2-yesBile-rep2-day2</t>
  </si>
  <si>
    <t>16S-B-G10-L4_SICap-P5-G10-P5D2-TYG-StoolPool-yesBile-rep2-day2</t>
  </si>
  <si>
    <t>16S-B-G11-L4_SICap-P5-G11-P5D2-TYG-SIPool-yesBile-rep2-day2</t>
  </si>
  <si>
    <t>16S-B-G12-L4_SICap-P5-G12-P5D2-TYG-Media-yesBile-rep2-day2</t>
  </si>
  <si>
    <t>16S-B-H01-L4_SICap-P5-H1-P5D2-RCM-C1R1-yesBile-rep2-day2</t>
  </si>
  <si>
    <t>16S-B-H02-L4_SICap-P5-H2-P5D2-RCM-C1R2-yesBile-rep2-day2</t>
  </si>
  <si>
    <t>16S-B-H03-L4_SICap-P5-H3-P5D2-RCM-C2R1-yesBile-rep2-day2</t>
  </si>
  <si>
    <t>16S-B-H04-L4_SICap-P5-H4-P5D2-RCM-C2R2-yesBile-rep2-day2</t>
  </si>
  <si>
    <t>16S-B-H05-L4_SICap-P5-H5-P5D2-RCM-C3R1-yesBile-rep2-day2</t>
  </si>
  <si>
    <t>16S-B-H06-L4_SICap-P5-H6-P5D2-RCM-C3R2-yesBile-rep2-day2</t>
  </si>
  <si>
    <t>16S-B-H07-L4_SICap-P5-H7-P5D2-RCM-C4R1-yesBile-rep2-day2</t>
  </si>
  <si>
    <t>16S-B-H08-L4_SICap-P5-H8-P5D2-RCM-C4R2-yesBile-rep2-day2</t>
  </si>
  <si>
    <t>16S-B-H09-L4_SICap-P5-H9-P5D2-RCM-S1R2-yesBile-rep2-day2</t>
  </si>
  <si>
    <t>16S-B-H10-L4_SICap-P5-H10-P5D2-RCM-StoolPool-yesBile-rep2-day2</t>
  </si>
  <si>
    <t>16S-B-H11-L4_SICap-P5-H11-P5D2-RCM-SIPool-yesBile-rep2-day2</t>
  </si>
  <si>
    <t>16S-B-H12-L4_SICap-P5-H12-P5D2-RCM-Media-yesBile-rep2-day2</t>
  </si>
  <si>
    <t>16S-C-A01-L3_SICap-P12-A1-P1D14-M9-C1R1-noBile-rep1-day14</t>
  </si>
  <si>
    <t>16S-C-A02-L3_SICap-P12-A2-P1D14-M9-C1R2-noBile-rep1-day14</t>
  </si>
  <si>
    <t>16S-C-A03-L3_SICap-P12-A3-P1D14-M9-C2R1-noBile-rep1-day14</t>
  </si>
  <si>
    <t>16S-C-A04-L3_SICap-P12-A4-P1D14-M9-C2R2-noBile-rep1-day14</t>
  </si>
  <si>
    <t>16S-C-A05-L3_SICap-P12-A5-P1D14-M9-C3R1-noBile-rep1-day14</t>
  </si>
  <si>
    <t>16S-C-A06-L3_SICap-P12-A6-P1D14-M9-C3R2-noBile-rep1-day14</t>
  </si>
  <si>
    <t>16S-C-A07-L3_SICap-P12-A7-P1D14-M9-C4R1-noBile-rep1-day14</t>
  </si>
  <si>
    <t>16S-C-A08-L3_SICap-P12-A8-P1D14-M9-C4R2-noBile-rep1-day14</t>
  </si>
  <si>
    <t>16S-C-A09-L3_SICap-P12-A9-P1D14-M9-S1R2-noBile-rep1-day14</t>
  </si>
  <si>
    <t>16S-C-A10-L3_SICap-P12-A10-P1D14-M9-StoolPool-noBile-rep1-day14</t>
  </si>
  <si>
    <t>16S-C-A11-L3_SICap-P12-A11-P1D14-M9-SIPool-noBile-rep1-day14</t>
  </si>
  <si>
    <t>16S-C-A12-L3_SICap-P12-A12-P1D14-M9-Media-noBile-rep1-day14</t>
  </si>
  <si>
    <t>16S-C-B01-L3_SICap-P12-B1-P1D14-EZ-RDM-C1R1-noBile-rep1-day14</t>
  </si>
  <si>
    <t>16S-C-B02-L3_SICap-P12-B2-P1D14-EZ-RDM-C1R2-noBile-rep1-day14</t>
  </si>
  <si>
    <t>16S-C-B03-L3_SICap-P12-B3-P1D14-EZ-RDM-C2R1-noBile-rep1-day14</t>
  </si>
  <si>
    <t>16S-C-B04-L3_SICap-P12-B4-P1D14-EZ-RDM-C2R2-noBile-rep1-day14</t>
  </si>
  <si>
    <t>16S-C-B05-L3_SICap-P12-B5-P1D14-EZ-RDM-C3R1-noBile-rep1-day14</t>
  </si>
  <si>
    <t>16S-C-B06-L3_SICap-P12-B6-P1D14-EZ-RDM-C3R2-noBile-rep1-day14</t>
  </si>
  <si>
    <t>16S-C-B07-L3_SICap-P12-B7-P1D14-EZ-RDM-C4R1-noBile-rep1-day14</t>
  </si>
  <si>
    <t>16S-C-B08-L3_SICap-P12-B8-P1D14-EZ-RDM-C4R2-noBile-rep1-day14</t>
  </si>
  <si>
    <t>16S-C-B09-L3_SICap-P12-B9-P1D14-EZ-RDM-S1R2-noBile-rep1-day14</t>
  </si>
  <si>
    <t>16S-C-B10-L3_SICap-P12-B10-P1D14-EZ-RDM-StoolPool-noBile-rep1-day14</t>
  </si>
  <si>
    <t>16S-C-B11-L3_SICap-P12-B11-P1D14-EZ-RDM-SIPool-noBile-rep1-day14</t>
  </si>
  <si>
    <t>16S-C-B12-L3_SICap-P12-B12-P1D14-EZ-RDM-Media-noBile-rep1-day14</t>
  </si>
  <si>
    <t>16S-C-C01-L3_SICap-P12-C1-P1D14-BHI-C1R1-noBile-rep1-day14</t>
  </si>
  <si>
    <t>16S-C-C02-L3_SICap-P12-C2-P1D14-BHI-C1R2-noBile-rep1-day14</t>
  </si>
  <si>
    <t>16S-C-C03-L3_SICap-P12-C3-P1D14-BHI-C2R1-noBile-rep1-day14</t>
  </si>
  <si>
    <t>16S-C-C04-L3_SICap-P12-C4-P1D14-BHI-C2R2-noBile-rep1-day14</t>
  </si>
  <si>
    <t>16S-C-C05-L3_SICap-P12-C5-P1D14-BHI-C3R1-noBile-rep1-day14</t>
  </si>
  <si>
    <t>16S-C-C06-L3_SICap-P12-C6-P1D14-BHI-C3R2-noBile-rep1-day14</t>
  </si>
  <si>
    <t>16S-C-C07-L3_SICap-P12-C7-P1D14-BHI-C4R1-noBile-rep1-day14</t>
  </si>
  <si>
    <t>16S-C-C08-L3_SICap-P12-C8-P1D14-BHI-C4R2-noBile-rep1-day14</t>
  </si>
  <si>
    <t>16S-C-C09-L3_SICap-P12-C9-P1D14-BHI-S1R2-noBile-rep1-day14</t>
  </si>
  <si>
    <t>16S-C-C10-L3_SICap-P12-C10-P1D14-BHI-StoolPool-noBile-rep1-day14</t>
  </si>
  <si>
    <t>16S-C-C11-L3_SICap-P12-C11-P1D14-BHI-SIPool-noBile-rep1-day14</t>
  </si>
  <si>
    <t>16S-C-C12-L3_SICap-P12-C12-P1D14-BHI-Media-noBile-rep1-day14</t>
  </si>
  <si>
    <t>16S-C-D01-L3_SICap-P12-D1-P1D14-GAM-C1R1-noBile-rep1-day14</t>
  </si>
  <si>
    <t>16S-C-D02-L3_SICap-P12-D2-P1D14-GAM-C1R2-noBile-rep1-day14</t>
  </si>
  <si>
    <t>16S-C-D03-L3_SICap-P12-D3-P1D14-GAM-C2R1-noBile-rep1-day14</t>
  </si>
  <si>
    <t>16S-C-D04-L3_SICap-P12-D4-P1D14-GAM-C2R2-noBile-rep1-day14</t>
  </si>
  <si>
    <t>16S-C-D05-L3_SICap-P12-D5-P1D14-GAM-C3R1-noBile-rep1-day14</t>
  </si>
  <si>
    <t>16S-C-D06-L3_SICap-P12-D6-P1D14-GAM-C3R2-noBile-rep1-day14</t>
  </si>
  <si>
    <t>16S-C-D07-L3_SICap-P12-D7-P1D14-GAM-C4R1-noBile-rep1-day14</t>
  </si>
  <si>
    <t>16S-C-D08-L3_SICap-P12-D8-P1D14-GAM-C4R2-noBile-rep1-day14</t>
  </si>
  <si>
    <t>16S-C-D09-L3_SICap-P12-D9-P1D14-GAM-S1R2-noBile-rep1-day14</t>
  </si>
  <si>
    <t>16S-C-D10-L3_SICap-P12-D10-P1D14-GAM-StoolPool-noBile-rep1-day14</t>
  </si>
  <si>
    <t>16S-C-D11-L3_SICap-P12-D11-P1D14-GAM-SIPool-noBile-rep1-day14</t>
  </si>
  <si>
    <t>16S-C-D12-L3_SICap-P12-D12-P1D14-GAM-Media-noBile-rep1-day14</t>
  </si>
  <si>
    <t>16S-C-E01-L3_SICap-P12-E1-P1D14-BB-C1R1-noBile-rep1-day14</t>
  </si>
  <si>
    <t>16S-C-E02-L3_SICap-P12-E2-P1D14-BB-C1R2-noBile-rep1-day14</t>
  </si>
  <si>
    <t>16S-C-E03-L3_SICap-P12-E3-P1D14-BB-C2R1-noBile-rep1-day14</t>
  </si>
  <si>
    <t>16S-C-E04-L3_SICap-P12-E4-P1D14-BB-C2R2-noBile-rep1-day14</t>
  </si>
  <si>
    <t>16S-C-E05-L3_SICap-P12-E5-P1D14-BB-C3R1-noBile-rep1-day14</t>
  </si>
  <si>
    <t>16S-C-E06-L3_SICap-P12-E6-P1D14-BB-C3R2-noBile-rep1-day14</t>
  </si>
  <si>
    <t>16S-C-E07-L3_SICap-P12-E7-P1D14-BB-C4R1-noBile-rep1-day14</t>
  </si>
  <si>
    <t>16S-C-E08-L3_SICap-P12-E8-P1D14-BB-C4R2-noBile-rep1-day14</t>
  </si>
  <si>
    <t>16S-C-E09-L3_SICap-P12-E9-P1D14-BB-S1R2-noBile-rep1-day14</t>
  </si>
  <si>
    <t>16S-C-E10-L3_SICap-P12-E10-P1D14-BB-StoolPool-noBile-rep1-day14</t>
  </si>
  <si>
    <t>16S-C-E11-L3_SICap-P12-E11-P1D14-BB-SIPool-noBile-rep1-day14</t>
  </si>
  <si>
    <t>16S-C-E12-L3_SICap-P12-E12-P1D14-BB-Media-noBile-rep1-day14</t>
  </si>
  <si>
    <t>16S-C-F01-L3_SICap-P12-F1-P1D14-YCFAG-C1R1-noBile-rep1-day14</t>
  </si>
  <si>
    <t>16S-C-F02-L3_SICap-P12-F2-P1D14-YCFAG-C1R2-noBile-rep1-day14</t>
  </si>
  <si>
    <t>16S-C-F03-L3_SICap-P12-F3-P1D14-YCFAG-C2R1-noBile-rep1-day14</t>
  </si>
  <si>
    <t>16S-C-F04-L3_SICap-P12-F4-P1D14-YCFAG-C2R2-noBile-rep1-day14</t>
  </si>
  <si>
    <t>16S-C-F05-L3_SICap-P12-F5-P1D14-YCFAG-C3R1-noBile-rep1-day14</t>
  </si>
  <si>
    <t>16S-C-F06-L3_SICap-P12-F6-P1D14-YCFAG-C3R2-noBile-rep1-day14</t>
  </si>
  <si>
    <t>16S-C-F07-L3_SICap-P12-F7-P1D14-YCFAG-C4R1-noBile-rep1-day14</t>
  </si>
  <si>
    <t>16S-C-F08-L3_SICap-P12-F8-P1D14-YCFAG-C4R2-noBile-rep1-day14</t>
  </si>
  <si>
    <t>16S-C-F09-L3_SICap-P12-F9-P1D14-YCFAG-S1R2-noBile-rep1-day14</t>
  </si>
  <si>
    <t>16S-C-F10-L3_SICap-P12-F10-P1D14-YCFAG-StoolPool-noBile-rep1-day14</t>
  </si>
  <si>
    <t>16S-C-F11-L3_SICap-P12-F11-P1D14-YCFAG-SIPool-noBile-rep1-day14</t>
  </si>
  <si>
    <t>16S-C-F12-L3_SICap-P12-F12-P1D14-YCFAG-Media-noBile-rep1-day14</t>
  </si>
  <si>
    <t>16S-C-G01-L3_SICap-P12-G1-P1D14-TYG-C1R1-noBile-rep1-day14</t>
  </si>
  <si>
    <t>16S-C-G02-L3_SICap-P12-G2-P1D14-TYG-C1R2-noBile-rep1-day14</t>
  </si>
  <si>
    <t>16S-C-G03-L3_SICap-P12-G3-P1D14-TYG-C2R1-noBile-rep1-day14</t>
  </si>
  <si>
    <t>16S-C-G04-L3_SICap-P12-G4-P1D14-TYG-C2R2-noBile-rep1-day14</t>
  </si>
  <si>
    <t>16S-C-G05-L3_SICap-P12-G5-P1D14-TYG-C3R1-noBile-rep1-day14</t>
  </si>
  <si>
    <t>16S-C-G06-L3_SICap-P12-G6-P1D14-TYG-C3R2-noBile-rep1-day14</t>
  </si>
  <si>
    <t>16S-C-G07-L3_SICap-P12-G7-P1D14-TYG-C4R1-noBile-rep1-day14</t>
  </si>
  <si>
    <t>16S-C-G08-L3_SICap-P12-G8-P1D14-TYG-C4R2-noBile-rep1-day14</t>
  </si>
  <si>
    <t>16S-C-G09-L3_SICap-P12-G9-P1D14-TYG-S1R2-noBile-rep1-day14</t>
  </si>
  <si>
    <t>16S-C-G10-L3_SICap-P12-G10-P1D14-TYG-StoolPool-noBile-rep1-day14</t>
  </si>
  <si>
    <t>16S-C-G11-L3_SICap-P12-G11-P1D14-TYG-SIPool-noBile-rep1-day14</t>
  </si>
  <si>
    <t>16S-C-G12-L3_SICap-P12-G12-P1D14-TYG-Media-noBile-rep1-day14</t>
  </si>
  <si>
    <t>16S-C-H01-L3_SICap-P12-H1-P1D14-RCM-C1R1-noBile-rep1-day14</t>
  </si>
  <si>
    <t>16S-C-H02-L3_SICap-P12-H2-P1D14-RCM-C1R2-noBile-rep1-day14</t>
  </si>
  <si>
    <t>16S-C-H03-L3_SICap-P12-H3-P1D14-RCM-C2R1-noBile-rep1-day14</t>
  </si>
  <si>
    <t>16S-C-H04-L3_SICap-P12-H4-P1D14-RCM-C2R2-noBile-rep1-day14</t>
  </si>
  <si>
    <t>16S-C-H05-L3_SICap-P12-H5-P1D14-RCM-C3R1-noBile-rep1-day14</t>
  </si>
  <si>
    <t>16S-C-H06-L3_SICap-P12-H6-P1D14-RCM-C3R2-noBile-rep1-day14</t>
  </si>
  <si>
    <t>16S-C-H07-L3_SICap-P12-H7-P1D14-RCM-C4R1-noBile-rep1-day14</t>
  </si>
  <si>
    <t>16S-C-H08-L3_SICap-P12-H8-P1D14-RCM-C4R2-noBile-rep1-day14</t>
  </si>
  <si>
    <t>16S-C-H09-L3_SICap-P12-H9-P1D14-RCM-S1R2-noBile-rep1-day14</t>
  </si>
  <si>
    <t>16S-C-H10-L3_SICap-P12-H10-P1D14-RCM-StoolPool-noBile-rep1-day14</t>
  </si>
  <si>
    <t>16S-C-H11-L3_SICap-P12-H11-P1D14-RCM-SIPool-noBile-rep1-day14</t>
  </si>
  <si>
    <t>16S-C-H12-L3_SICap-P12-H12-P1D14-RCM-Media-noBile-rep1-day14</t>
  </si>
  <si>
    <t>16S-D-A01-L6_SICap-P15-A1-P4D14-M9-C1R1-yesBile-rep1-day14</t>
  </si>
  <si>
    <t>16S-D-A02-L6_SICap-P15-A2-P4D14-M9-C1R2-yesBile-rep1-day14</t>
  </si>
  <si>
    <t>16S-D-A03-L6_SICap-P15-A3-P4D14-M9-C2R1-yesBile-rep1-day14</t>
  </si>
  <si>
    <t>16S-D-A04-L6_SICap-P15-A4-P4D14-M9-C2R2-yesBile-rep1-day14</t>
  </si>
  <si>
    <t>16S-D-A05-L6_SICap-P15-A5-P4D14-M9-C3R1-yesBile-rep1-day14</t>
  </si>
  <si>
    <t>16S-D-A06-L6_SICap-P15-A6-P4D14-M9-C3R2-yesBile-rep1-day14</t>
  </si>
  <si>
    <t>16S-D-A07-L6_SICap-P15-A7-P4D14-M9-C4R1-yesBile-rep1-day14</t>
  </si>
  <si>
    <t>16S-D-A08-L6_SICap-P15-A8-P4D14-M9-C4R2-yesBile-rep1-day14</t>
  </si>
  <si>
    <t>16S-D-A09-L6_SICap-P15-A9-P4D14-M9-S1R2-yesBile-rep1-day14</t>
  </si>
  <si>
    <t>16S-D-A10-L6_SICap-P15-A10-P4D14-M9-StoolPool-yesBile-rep1-day14</t>
  </si>
  <si>
    <t>16S-D-A11-L6_SICap-P15-A11-P4D14-M9-SIPool-yesBile-rep1-day14</t>
  </si>
  <si>
    <t>16S-D-A12-L6_SICap-P15-A12-P4D14-M9-Media-yesBile-rep1-day14</t>
  </si>
  <si>
    <t>16S-D-B01-L6_SICap-P15-B1-P4D14-EZ-RDM-C1R1-yesBile-rep1-day14</t>
  </si>
  <si>
    <t>16S-D-B02-L6_SICap-P15-B2-P4D14-EZ-RDM-C1R2-yesBile-rep1-day14</t>
  </si>
  <si>
    <t>16S-D-B03-L6_SICap-P15-B3-P4D14-EZ-RDM-C2R1-yesBile-rep1-day14</t>
  </si>
  <si>
    <t>16S-D-B04-L6_SICap-P15-B4-P4D14-EZ-RDM-C2R2-yesBile-rep1-day14</t>
  </si>
  <si>
    <t>16S-D-B05-L6_SICap-P15-B5-P4D14-EZ-RDM-C3R1-yesBile-rep1-day14</t>
  </si>
  <si>
    <t>16S-D-B06-L6_SICap-P15-B6-P4D14-EZ-RDM-C3R2-yesBile-rep1-day14</t>
  </si>
  <si>
    <t>16S-D-B07-L6_SICap-P15-B7-P4D14-EZ-RDM-C4R1-yesBile-rep1-day14</t>
  </si>
  <si>
    <t>16S-D-B08-L6_SICap-P15-B8-P4D14-EZ-RDM-C4R2-yesBile-rep1-day14</t>
  </si>
  <si>
    <t>16S-D-B09-L6_SICap-P15-B9-P4D14-EZ-RDM-S1R2-yesBile-rep1-day14</t>
  </si>
  <si>
    <t>16S-D-B10-L6_SICap-P15-B10-P4D14-EZ-RDM-StoolPool-yesBile-rep1-day14</t>
  </si>
  <si>
    <t>16S-D-B11-L6_SICap-P15-B11-P4D14-EZ-RDM-SIPool-yesBile-rep1-day14</t>
  </si>
  <si>
    <t>16S-D-B12-L6_SICap-P15-B12-P4D14-EZ-RDM-Media-yesBile-rep1-day14</t>
  </si>
  <si>
    <t>16S-D-C01-L6_SICap-P15-C1-P4D14-BHI-C1R1-yesBile-rep1-day14</t>
  </si>
  <si>
    <t>16S-D-C02-L6_SICap-P15-C2-P4D14-BHI-C1R2-yesBile-rep1-day14</t>
  </si>
  <si>
    <t>16S-D-C03-L6_SICap-P15-C3-P4D14-BHI-C2R1-yesBile-rep1-day14</t>
  </si>
  <si>
    <t>16S-D-C04-L6_SICap-P15-C4-P4D14-BHI-C2R2-yesBile-rep1-day14</t>
  </si>
  <si>
    <t>16S-D-C05-L6_SICap-P15-C5-P4D14-BHI-C3R1-yesBile-rep1-day14</t>
  </si>
  <si>
    <t>16S-D-C06-L6_SICap-P15-C6-P4D14-BHI-C3R2-yesBile-rep1-day14</t>
  </si>
  <si>
    <t>16S-D-C07-L6_SICap-P15-C7-P4D14-BHI-C4R1-yesBile-rep1-day14</t>
  </si>
  <si>
    <t>16S-D-C08-L6_SICap-P15-C8-P4D14-BHI-C4R2-yesBile-rep1-day14</t>
  </si>
  <si>
    <t>16S-D-C09-L6_SICap-P15-C9-P4D14-BHI-S1R2-yesBile-rep1-day14</t>
  </si>
  <si>
    <t>16S-D-C10-L6_SICap-P15-C10-P4D14-BHI-StoolPool-yesBile-rep1-day14</t>
  </si>
  <si>
    <t>16S-D-C11-L6_SICap-P15-C11-P4D14-BHI-SIPool-yesBile-rep1-day14</t>
  </si>
  <si>
    <t>16S-D-C12-L6_SICap-P15-C12-P4D14-BHI-Media-yesBile-rep1-day14</t>
  </si>
  <si>
    <t>16S-D-D01-L6_SICap-P15-D1-P4D14-GAM-C1R1-yesBile-rep1-day14</t>
  </si>
  <si>
    <t>16S-D-D02-L6_SICap-P15-D2-P4D14-GAM-C1R2-yesBile-rep1-day14</t>
  </si>
  <si>
    <t>16S-D-D03-L6_SICap-P15-D3-P4D14-GAM-C2R1-yesBile-rep1-day14</t>
  </si>
  <si>
    <t>16S-D-D04-L6_SICap-P15-D4-P4D14-GAM-C2R2-yesBile-rep1-day14</t>
  </si>
  <si>
    <t>16S-D-D05-L6_SICap-P15-D5-P4D14-GAM-C3R1-yesBile-rep1-day14</t>
  </si>
  <si>
    <t>16S-D-D06-L6_SICap-P15-D6-P4D14-GAM-C3R2-yesBile-rep1-day14</t>
  </si>
  <si>
    <t>16S-D-D07-L6_SICap-P15-D7-P4D14-GAM-C4R1-yesBile-rep1-day14</t>
  </si>
  <si>
    <t>16S-D-D08-L6_SICap-P15-D8-P4D14-GAM-C4R2-yesBile-rep1-day14</t>
  </si>
  <si>
    <t>16S-D-D09-L6_SICap-P15-D9-P4D14-GAM-S1R2-yesBile-rep1-day14</t>
  </si>
  <si>
    <t>16S-D-D10-L6_SICap-P15-D10-P4D14-GAM-StoolPool-yesBile-rep1-day14</t>
  </si>
  <si>
    <t>16S-D-D11-L6_SICap-P15-D11-P4D14-GAM-SIPool-yesBile-rep1-day14</t>
  </si>
  <si>
    <t>16S-D-D12-L6_SICap-P15-D12-P4D14-GAM-Media-yesBile-rep1-day14</t>
  </si>
  <si>
    <t>16S-D-E01-L6_SICap-P15-E1-P4D14-BB-C1R1-yesBile-rep1-day14</t>
  </si>
  <si>
    <t>16S-D-E02-L6_SICap-P15-E2-P4D14-BB-C1R2-yesBile-rep1-day14</t>
  </si>
  <si>
    <t>16S-D-E03-L6_SICap-P15-E3-P4D14-BB-C2R1-yesBile-rep1-day14</t>
  </si>
  <si>
    <t>16S-D-E04-L6_SICap-P15-E4-P4D14-BB-C2R2-yesBile-rep1-day14</t>
  </si>
  <si>
    <t>16S-D-E05-L6_SICap-P15-E5-P4D14-BB-C3R1-yesBile-rep1-day14</t>
  </si>
  <si>
    <t>16S-D-E06-L6_SICap-P15-E6-P4D14-BB-C3R2-yesBile-rep1-day14</t>
  </si>
  <si>
    <t>16S-D-E07-L6_SICap-P15-E7-P4D14-BB-C4R1-yesBile-rep1-day14</t>
  </si>
  <si>
    <t>16S-D-E08-L6_SICap-P15-E8-P4D14-BB-C4R2-yesBile-rep1-day14</t>
  </si>
  <si>
    <t>16S-D-E09-L6_SICap-P15-E9-P4D14-BB-S1R2-yesBile-rep1-day14</t>
  </si>
  <si>
    <t>16S-D-E10-L6_SICap-P15-E10-P4D14-BB-StoolPool-yesBile-rep1-day14</t>
  </si>
  <si>
    <t>16S-D-E11-L6_SICap-P15-E11-P4D14-BB-SIPool-yesBile-rep1-day14</t>
  </si>
  <si>
    <t>16S-D-E12-L6_SICap-P15-E12-P4D14-BB-Media-yesBile-rep1-day14</t>
  </si>
  <si>
    <t>16S-D-F01-L6_SICap-P15-F1-P4D14-YCFAG-C1R1-yesBile-rep1-day14</t>
  </si>
  <si>
    <t>16S-D-F02-L6_SICap-P15-F2-P4D14-YCFAG-C1R2-yesBile-rep1-day14</t>
  </si>
  <si>
    <t>16S-D-F03-L6_SICap-P15-F3-P4D14-YCFAG-C2R1-yesBile-rep1-day14</t>
  </si>
  <si>
    <t>16S-D-F04-L6_SICap-P15-F4-P4D14-YCFAG-C2R2-yesBile-rep1-day14</t>
  </si>
  <si>
    <t>16S-D-F05-L6_SICap-P15-F5-P4D14-YCFAG-C3R1-yesBile-rep1-day14</t>
  </si>
  <si>
    <t>16S-D-F06-L6_SICap-P15-F6-P4D14-YCFAG-C3R2-yesBile-rep1-day14</t>
  </si>
  <si>
    <t>16S-D-F07-L6_SICap-P15-F7-P4D14-YCFAG-C4R1-yesBile-rep1-day14</t>
  </si>
  <si>
    <t>16S-D-F08-L6_SICap-P15-F8-P4D14-YCFAG-C4R2-yesBile-rep1-day14</t>
  </si>
  <si>
    <t>16S-D-F09-L6_SICap-P15-F9-P4D14-YCFAG-S1R2-yesBile-rep1-day14</t>
  </si>
  <si>
    <t>16S-D-F10-L6_SICap-P15-F10-P4D14-YCFAG-StoolPool-yesBile-rep1-day14</t>
  </si>
  <si>
    <t>16S-D-F11-L6_SICap-P15-F11-P4D14-YCFAG-SIPool-yesBile-rep1-day14</t>
  </si>
  <si>
    <t>16S-D-F12-L6_SICap-P15-F12-P4D14-YCFAG-Media-yesBile-rep1-day14</t>
  </si>
  <si>
    <t>16S-D-G01-L6_SICap-P15-G1-P4D14-TYG-C1R1-yesBile-rep1-day14</t>
  </si>
  <si>
    <t>16S-D-G02-L6_SICap-P15-G2-P4D14-TYG-C1R2-yesBile-rep1-day14</t>
  </si>
  <si>
    <t>16S-D-G03-L6_SICap-P15-G3-P4D14-TYG-C2R1-yesBile-rep1-day14</t>
  </si>
  <si>
    <t>16S-D-G04-L6_SICap-P15-G4-P4D14-TYG-C2R2-yesBile-rep1-day14</t>
  </si>
  <si>
    <t>16S-D-G05-L6_SICap-P15-G5-P4D14-TYG-C3R1-yesBile-rep1-day14</t>
  </si>
  <si>
    <t>16S-D-G06-L6_SICap-P15-G6-P4D14-TYG-C3R2-yesBile-rep1-day14</t>
  </si>
  <si>
    <t>16S-D-G07-L6_SICap-P15-G7-P4D14-TYG-C4R1-yesBile-rep1-day14</t>
  </si>
  <si>
    <t>16S-D-G08-L6_SICap-P15-G8-P4D14-TYG-C4R2-yesBile-rep1-day14</t>
  </si>
  <si>
    <t>16S-D-G09-L6_SICap-P15-G9-P4D14-TYG-S1R2-yesBile-rep1-day14</t>
  </si>
  <si>
    <t>16S-D-G10-L6_SICap-P15-G10-P4D14-TYG-StoolPool-yesBile-rep1-day14</t>
  </si>
  <si>
    <t>16S-D-G11-L6_SICap-P15-G11-P4D14-TYG-SIPool-yesBile-rep1-day14</t>
  </si>
  <si>
    <t>16S-D-G12-L6_SICap-P15-G12-P4D14-TYG-Media-yesBile-rep1-day14</t>
  </si>
  <si>
    <t>16S-D-H01-L6_SICap-P15-H1-P4D14-RCM-C1R1-yesBile-rep1-day14</t>
  </si>
  <si>
    <t>16S-D-H02-L6_SICap-P15-H2-P4D14-RCM-C1R2-yesBile-rep1-day14</t>
  </si>
  <si>
    <t>16S-D-H03-L6_SICap-P15-H3-P4D14-RCM-C2R1-yesBile-rep1-day14</t>
  </si>
  <si>
    <t>16S-D-H04-L6_SICap-P15-H4-P4D14-RCM-C2R2-yesBile-rep1-day14</t>
  </si>
  <si>
    <t>16S-D-H05-L6_SICap-P15-H5-P4D14-RCM-C3R1-yesBile-rep1-day14</t>
  </si>
  <si>
    <t>16S-D-H06-L6_SICap-P15-H6-P4D14-RCM-C3R2-yesBile-rep1-day14</t>
  </si>
  <si>
    <t>16S-D-H07-L6_SICap-P15-H7-P4D14-RCM-C4R1-yesBile-rep1-day14</t>
  </si>
  <si>
    <t>16S-D-H08-L6_SICap-P15-H8-P4D14-RCM-C4R2-yesBile-rep1-day14</t>
  </si>
  <si>
    <t>16S-D-H09-L6_SICap-P15-H9-P4D14-RCM-S1R2-yesBile-rep1-day14</t>
  </si>
  <si>
    <t>16S-D-H10-L6_SICap-P15-H10-P4D14-RCM-StoolPool-yesBile-rep1-day14</t>
  </si>
  <si>
    <t>16S-D-H11-L6_SICap-P15-H11-P4D14-RCM-SIPool-yesBile-rep1-day14</t>
  </si>
  <si>
    <t>16S-D-H12-L6_SICap-P15-H12-P4D14-RCM-Media-yesBile-rep1-day14</t>
  </si>
  <si>
    <t>16S-E-A01-L3_SICap-P20-A1-P1D14-RP3-M9-C1R1-noBile-rep1-day14-repassage3</t>
  </si>
  <si>
    <t>16S-E-A02-L3_SICap-P20-A2-P1D14-RP3-M9-C1R2-noBile-rep1-day14-repassage3</t>
  </si>
  <si>
    <t>16S-E-A03-L3_SICap-P20-A3-P1D14-RP3-M9-C2R1-noBile-rep1-day14-repassage3</t>
  </si>
  <si>
    <t>16S-E-A04-L3_SICap-P20-A4-P1D14-RP3-M9-C2R2-noBile-rep1-day14-repassage3</t>
  </si>
  <si>
    <t>16S-E-A05-L3_SICap-P20-A5-P1D14-RP3-M9-C3R1-noBile-rep1-day14-repassage3</t>
  </si>
  <si>
    <t>16S-E-A06-L3_SICap-P20-A6-P1D14-RP3-M9-C3R2-noBile-rep1-day14-repassage3</t>
  </si>
  <si>
    <t>16S-E-A07-L3_SICap-P20-A7-P1D14-RP3-M9-C4R1-noBile-rep1-day14-repassage3</t>
  </si>
  <si>
    <t>16S-E-A08-L3_SICap-P20-A8-P1D14-RP3-M9-C4R2-noBile-rep1-day14-repassage3</t>
  </si>
  <si>
    <t>16S-E-A09-L3_SICap-P20-A9-P1D14-RP3-M9-S1R2-noBile-rep1-day14-repassage3</t>
  </si>
  <si>
    <t>16S-E-A10-L3_SICap-P20-A10-P1D14-RP3-M9-StoolPool-noBile-rep1-day14-repassage3</t>
  </si>
  <si>
    <t>16S-E-A11-L3_SICap-P20-A11-P1D14-RP3-M9-SIPool-noBile-rep1-day14-repassage3</t>
  </si>
  <si>
    <t>16S-E-A12-L3_SICap-P20-A12-P1D14-RP3-M9-Media-noBile-rep1-day14-repassage3</t>
  </si>
  <si>
    <t>16S-E-B01-L3_SICap-P20-B1-P1D14-RP3-EZ-RDM-C1R1-noBile-rep1-day14-repassage3</t>
  </si>
  <si>
    <t>16S-E-B02-L3_SICap-P20-B2-P1D14-RP3-EZ-RDM-C1R2-noBile-rep1-day14-repassage3</t>
  </si>
  <si>
    <t>16S-E-B03-L3_SICap-P20-B3-P1D14-RP3-EZ-RDM-C2R1-noBile-rep1-day14-repassage3</t>
  </si>
  <si>
    <t>16S-E-B04-L3_SICap-P20-B4-P1D14-RP3-EZ-RDM-C2R2-noBile-rep1-day14-repassage3</t>
  </si>
  <si>
    <t>16S-E-B05-L3_SICap-P20-B5-P1D14-RP3-EZ-RDM-C3R1-noBile-rep1-day14-repassage3</t>
  </si>
  <si>
    <t>16S-E-B06-L3_SICap-P20-B6-P1D14-RP3-EZ-RDM-C3R2-noBile-rep1-day14-repassage3</t>
  </si>
  <si>
    <t>16S-E-B07-L3_SICap-P20-B7-P1D14-RP3-EZ-RDM-C4R1-noBile-rep1-day14-repassage3</t>
  </si>
  <si>
    <t>16S-E-B08-L3_SICap-P20-B8-P1D14-RP3-EZ-RDM-C4R2-noBile-rep1-day14-repassage3</t>
  </si>
  <si>
    <t>16S-E-B09-L3_SICap-P20-B9-P1D14-RP3-EZ-RDM-S1R2-noBile-rep1-day14-repassage3</t>
  </si>
  <si>
    <t>16S-E-B10-L3_SICap-P20-B10-P1D14-RP3-EZ-RDM-StoolPool-noBile-rep1-day14-repassage3</t>
  </si>
  <si>
    <t>16S-E-B11-L3_SICap-P20-B11-P1D14-RP3-EZ-RDM-SIPool-noBile-rep1-day14-repassage3</t>
  </si>
  <si>
    <t>16S-E-B12-L3_SICap-P20-B12-P1D14-RP3-EZ-RDM-Media-noBile-rep1-day14-repassage3</t>
  </si>
  <si>
    <t>16S-E-C01-L3_SICap-P20-C1-P1D14-RP3-BHI-C1R1-noBile-rep1-day14-repassage3</t>
  </si>
  <si>
    <t>16S-E-C02-L3_SICap-P20-C2-P1D14-RP3-BHI-C1R2-noBile-rep1-day14-repassage3</t>
  </si>
  <si>
    <t>16S-E-C03-L3_SICap-P20-C3-P1D14-RP3-BHI-C2R1-noBile-rep1-day14-repassage3</t>
  </si>
  <si>
    <t>16S-E-C04-L3_SICap-P20-C4-P1D14-RP3-BHI-C2R2-noBile-rep1-day14-repassage3</t>
  </si>
  <si>
    <t>16S-E-C05-L3_SICap-P20-C5-P1D14-RP3-BHI-C3R1-noBile-rep1-day14-repassage3</t>
  </si>
  <si>
    <t>16S-E-C06-L3_SICap-P20-C6-P1D14-RP3-BHI-C3R2-noBile-rep1-day14-repassage3</t>
  </si>
  <si>
    <t>16S-E-C07-L3_SICap-P20-C7-P1D14-RP3-BHI-C4R1-noBile-rep1-day14-repassage3</t>
  </si>
  <si>
    <t>16S-E-C08-L3_SICap-P20-C8-P1D14-RP3-BHI-C4R2-noBile-rep1-day14-repassage3</t>
  </si>
  <si>
    <t>16S-E-C09-L3_SICap-P20-C9-P1D14-RP3-BHI-S1R2-noBile-rep1-day14-repassage3</t>
  </si>
  <si>
    <t>16S-E-C10-L3_SICap-P20-C10-P1D14-RP3-BHI-StoolPool-noBile-rep1-day14-repassage3</t>
  </si>
  <si>
    <t>16S-E-C11-L3_SICap-P20-C11-P1D14-RP3-BHI-SIPool-noBile-rep1-day14-repassage3</t>
  </si>
  <si>
    <t>16S-E-C12-L3_SICap-P20-C12-P1D14-RP3-BHI-Media-noBile-rep1-day14-repassage3</t>
  </si>
  <si>
    <t>16S-E-D01-L3_SICap-P20-D1-P1D14-RP3-GAM-C1R1-noBile-rep1-day14-repassage3</t>
  </si>
  <si>
    <t>16S-E-D02-L3_SICap-P20-D2-P1D14-RP3-GAM-C1R2-noBile-rep1-day14-repassage3</t>
  </si>
  <si>
    <t>16S-E-D03-L3_SICap-P20-D3-P1D14-RP3-GAM-C2R1-noBile-rep1-day14-repassage3</t>
  </si>
  <si>
    <t>16S-E-D04-L3_SICap-P20-D4-P1D14-RP3-GAM-C2R2-noBile-rep1-day14-repassage3</t>
  </si>
  <si>
    <t>16S-E-D05-L3_SICap-P20-D5-P1D14-RP3-GAM-C3R1-noBile-rep1-day14-repassage3</t>
  </si>
  <si>
    <t>16S-E-D06-L3_SICap-P20-D6-P1D14-RP3-GAM-C3R2-noBile-rep1-day14-repassage3</t>
  </si>
  <si>
    <t>16S-E-D07-L3_SICap-P20-D7-P1D14-RP3-GAM-C4R1-noBile-rep1-day14-repassage3</t>
  </si>
  <si>
    <t>16S-E-D08-L3_SICap-P20-D8-P1D14-RP3-GAM-C4R2-noBile-rep1-day14-repassage3</t>
  </si>
  <si>
    <t>16S-E-D09-L3_SICap-P20-D9-P1D14-RP3-GAM-S1R2-noBile-rep1-day14-repassage3</t>
  </si>
  <si>
    <t>16S-E-D10-L3_SICap-P20-D10-P1D14-RP3-GAM-StoolPool-noBile-rep1-day14-repassage3</t>
  </si>
  <si>
    <t>16S-E-D11-L3_SICap-P20-D11-P1D14-RP3-GAM-SIPool-noBile-rep1-day14-repassage3</t>
  </si>
  <si>
    <t>16S-E-D12-L3_SICap-P20-D12-P1D14-RP3-GAM-Media-noBile-rep1-day14-repassage3</t>
  </si>
  <si>
    <t>16S-E-E01-L3_SICap-P20-E1-P1D14-RP3-BB-C1R1-noBile-rep1-day14-repassage3</t>
  </si>
  <si>
    <t>16S-E-E02-L3_SICap-P20-E2-P1D14-RP3-BB-C1R2-noBile-rep1-day14-repassage3</t>
  </si>
  <si>
    <t>16S-E-E03-L3_SICap-P20-E3-P1D14-RP3-BB-C2R1-noBile-rep1-day14-repassage3</t>
  </si>
  <si>
    <t>16S-E-E04-L3_SICap-P20-E4-P1D14-RP3-BB-C2R2-noBile-rep1-day14-repassage3</t>
  </si>
  <si>
    <t>16S-E-E05-L3_SICap-P20-E5-P1D14-RP3-BB-C3R1-noBile-rep1-day14-repassage3</t>
  </si>
  <si>
    <t>16S-E-E06-L3_SICap-P20-E6-P1D14-RP3-BB-C3R2-noBile-rep1-day14-repassage3</t>
  </si>
  <si>
    <t>16S-E-E07-L3_SICap-P20-E7-P1D14-RP3-BB-C4R1-noBile-rep1-day14-repassage3</t>
  </si>
  <si>
    <t>16S-E-E08-L3_SICap-P20-E8-P1D14-RP3-BB-C4R2-noBile-rep1-day14-repassage3</t>
  </si>
  <si>
    <t>16S-E-E09-L3_SICap-P20-E9-P1D14-RP3-BB-S1R2-noBile-rep1-day14-repassage3</t>
  </si>
  <si>
    <t>16S-E-E10-L3_SICap-P20-E10-P1D14-RP3-BB-StoolPool-noBile-rep1-day14-repassage3</t>
  </si>
  <si>
    <t>16S-E-E11-L3_SICap-P20-E11-P1D14-RP3-BB-SIPool-noBile-rep1-day14-repassage3</t>
  </si>
  <si>
    <t>16S-E-E12-L3_SICap-P20-E12-P1D14-RP3-BB-Media-noBile-rep1-day14-repassage3</t>
  </si>
  <si>
    <t>16S-E-F01-L3_SICap-P20-F1-P1D14-RP3-YCFAG-C1R1-noBile-rep1-day14-repassage3</t>
  </si>
  <si>
    <t>16S-E-F02-L3_SICap-P20-F2-P1D14-RP3-YCFAG-C1R2-noBile-rep1-day14-repassage3</t>
  </si>
  <si>
    <t>16S-E-F03-L3_SICap-P20-F3-P1D14-RP3-YCFAG-C2R1-noBile-rep1-day14-repassage3</t>
  </si>
  <si>
    <t>16S-E-F04-L3_SICap-P20-F4-P1D14-RP3-YCFAG-C2R2-noBile-rep1-day14-repassage3</t>
  </si>
  <si>
    <t>16S-E-F05-L3_SICap-P20-F5-P1D14-RP3-YCFAG-C3R1-noBile-rep1-day14-repassage3</t>
  </si>
  <si>
    <t>16S-E-F06-L3_SICap-P20-F6-P1D14-RP3-YCFAG-C3R2-noBile-rep1-day14-repassage3</t>
  </si>
  <si>
    <t>16S-E-F07-L3_SICap-P20-F7-P1D14-RP3-YCFAG-C4R1-noBile-rep1-day14-repassage3</t>
  </si>
  <si>
    <t>16S-E-F08-L3_SICap-P20-F8-P1D14-RP3-YCFAG-C4R2-noBile-rep1-day14-repassage3</t>
  </si>
  <si>
    <t>16S-E-F09-L3_SICap-P20-F9-P1D14-RP3-YCFAG-S1R2-noBile-rep1-day14-repassage3</t>
  </si>
  <si>
    <t>16S-E-F10-L3_SICap-P20-F10-P1D14-RP3-YCFAG-StoolPool-noBile-rep1-day14-repassage3</t>
  </si>
  <si>
    <t>16S-E-F11-L3_SICap-P20-F11-P1D14-RP3-YCFAG-SIPool-noBile-rep1-day14-repassage3</t>
  </si>
  <si>
    <t>16S-E-F12-L3_SICap-P20-F12-P1D14-RP3-YCFAG-Media-noBile-rep1-day14-repassage3</t>
  </si>
  <si>
    <t>16S-E-G01-L3_SICap-P20-G1-P1D14-RP3-TYG-C1R1-noBile-rep1-day14-repassage3</t>
  </si>
  <si>
    <t>16S-E-G02-L3_SICap-P20-G2-P1D14-RP3-TYG-C1R2-noBile-rep1-day14-repassage3</t>
  </si>
  <si>
    <t>16S-E-G03-L3_SICap-P20-G3-P1D14-RP3-TYG-C2R1-noBile-rep1-day14-repassage3</t>
  </si>
  <si>
    <t>16S-E-G04-L3_SICap-P20-G4-P1D14-RP3-TYG-C2R2-noBile-rep1-day14-repassage3</t>
  </si>
  <si>
    <t>16S-E-G05-L3_SICap-P20-G5-P1D14-RP3-TYG-C3R1-noBile-rep1-day14-repassage3</t>
  </si>
  <si>
    <t>16S-E-G06-L3_SICap-P20-G6-P1D14-RP3-TYG-C3R2-noBile-rep1-day14-repassage3</t>
  </si>
  <si>
    <t>16S-E-G07-L3_SICap-P20-G7-P1D14-RP3-TYG-C4R1-noBile-rep1-day14-repassage3</t>
  </si>
  <si>
    <t>16S-E-G08-L3_SICap-P20-G8-P1D14-RP3-TYG-C4R2-noBile-rep1-day14-repassage3</t>
  </si>
  <si>
    <t>16S-E-G09-L3_SICap-P20-G9-P1D14-RP3-TYG-S1R2-noBile-rep1-day14-repassage3</t>
  </si>
  <si>
    <t>16S-E-G10-L3_SICap-P20-G10-P1D14-RP3-TYG-StoolPool-noBile-rep1-day14-repassage3</t>
  </si>
  <si>
    <t>16S-E-G11-L3_SICap-P20-G11-P1D14-RP3-TYG-SIPool-noBile-rep1-day14-repassage3</t>
  </si>
  <si>
    <t>16S-E-G12-L3_SICap-P20-G12-P1D14-RP3-TYG-Media-noBile-rep1-day14-repassage3</t>
  </si>
  <si>
    <t>16S-E-H01-L3_SICap-P20-H1-P1D14-RP3-RCM-C1R1-noBile-rep1-day14-repassage3</t>
  </si>
  <si>
    <t>16S-E-H02-L3_SICap-P20-H2-P1D14-RP3-RCM-C1R2-noBile-rep1-day14-repassage3</t>
  </si>
  <si>
    <t>16S-E-H03-L3_SICap-P20-H3-P1D14-RP3-RCM-C2R1-noBile-rep1-day14-repassage3</t>
  </si>
  <si>
    <t>16S-E-H04-L3_SICap-P20-H4-P1D14-RP3-RCM-C2R2-noBile-rep1-day14-repassage3</t>
  </si>
  <si>
    <t>16S-E-H05-L3_SICap-P20-H5-P1D14-RP3-RCM-C3R1-noBile-rep1-day14-repassage3</t>
  </si>
  <si>
    <t>16S-E-H06-L3_SICap-P20-H6-P1D14-RP3-RCM-C3R2-noBile-rep1-day14-repassage3</t>
  </si>
  <si>
    <t>16S-E-H07-L3_SICap-P20-H7-P1D14-RP3-RCM-C4R1-noBile-rep1-day14-repassage3</t>
  </si>
  <si>
    <t>16S-E-H08-L3_SICap-P20-H8-P1D14-RP3-RCM-C4R2-noBile-rep1-day14-repassage3</t>
  </si>
  <si>
    <t>16S-E-H09-L3_SICap-P20-H9-P1D14-RP3-RCM-S1R2-noBile-rep1-day14-repassage3</t>
  </si>
  <si>
    <t>16S-E-H10-L3_SICap-P20-H10-P1D14-RP3-RCM-StoolPool-noBile-rep1-day14-repassage3</t>
  </si>
  <si>
    <t>16S-E-H11-L3_SICap-P20-H11-P1D14-RP3-RCM-SIPool-noBile-rep1-day14-repassage3</t>
  </si>
  <si>
    <t>16S-E-H12-L3_SICap-P20-H12-P1D14-RP3-RCM-Media-noBile-rep1-day14-repassage3</t>
  </si>
  <si>
    <t>16S-F-A01-L5_SICap-P22-A1-MouseStool-Feces-mouse-20231110-111-Blue-3</t>
  </si>
  <si>
    <t>16S-F-A02-L5_SICap-P22-A2-MouseStool-Feces-mouse-20231110-111-Orange-3</t>
  </si>
  <si>
    <t>16S-F-A03-L5_SICap-P22-A3-MouseStool-Feces-mouse-20231110-111-Clear-3</t>
  </si>
  <si>
    <t>16S-F-A04-L5_SICap-P22-A4-MouseStool-Feces-mouse-20231110-111-Purple-1</t>
  </si>
  <si>
    <t>16S-F-A05-L5_SICap-P22-A5-MouseStool-Feces-mouse-20231110-111-Yellow-1</t>
  </si>
  <si>
    <t>16S-F-A06-L5_SICap-P22-A6-MouseStool-Feces-mouse-20231110-111-Green-1</t>
  </si>
  <si>
    <t>16S-F-A07-L5_SICap-P22-A7-MouseStool-Feces-mouse-20231110-114-Blue-3</t>
  </si>
  <si>
    <t>16S-F-A08-L5_SICap-P22-A8-MouseStool-Feces-mouse-20231110-114-Orange-3</t>
  </si>
  <si>
    <t>16S-F-A09-L5_SICap-P22-A9-MouseStool-Feces-mouse-20231110-114-Clear-3</t>
  </si>
  <si>
    <t>16S-F-A10-L5_SICap-P22-A10-MouseStool-Feces-mouse-20231110-114-Purple-1</t>
  </si>
  <si>
    <t>16S-F-A11-L5_SICap-P22-A11-MouseStool-Feces-mouse-20231110-114-Yellow-1</t>
  </si>
  <si>
    <t>16S-F-A12-L5_SICap-P22-A12-MouseStool-Feces-mouse-20231110-114-Green-1</t>
  </si>
  <si>
    <t>16S-F-B01-L5_SICap-P22-B1-MouseStool-Feces-mouse-20231110-113-Blue-3</t>
  </si>
  <si>
    <t>16S-F-B02-L5_SICap-P22-B2-MouseStool-Feces-mouse-20231110-113-Orange-3</t>
  </si>
  <si>
    <t>16S-F-B03-L5_SICap-P22-B3-MouseStool-Feces-mouse-20231110-113-Clear-3</t>
  </si>
  <si>
    <t>16S-F-B04-L5_SICap-P22-B4-MouseStool-Feces-mouse-20231110-113-Purple-1</t>
  </si>
  <si>
    <t>16S-F-B05-L5_SICap-P22-B5-MouseStool-Feces-mouse-20231110-113-Yellow-1</t>
  </si>
  <si>
    <t>16S-F-B06-L5_SICap-P22-B6-MouseStool-Feces-mouse-20231110-113-Green-1</t>
  </si>
  <si>
    <t>16S-F-B07-L5_SICap-P22-B7-MouseStool-Feces-mouse-20231112-111-Orange-3</t>
  </si>
  <si>
    <t>16S-F-B08-L5_SICap-P22-B8-MouseStool-Feces-mouse-20231112-111-Clear-3</t>
  </si>
  <si>
    <t>16S-F-B09-L5_SICap-P22-B9-MouseStool-Feces-mouse-20231112-111-Yellow-1</t>
  </si>
  <si>
    <t>16S-F-B10-L5_SICap-P22-B10-MouseStool-Feces-mouse-20231112-114-Blue-3</t>
  </si>
  <si>
    <t>16S-F-B11-L5_SICap-P22-B11-MouseStool-Feces-mouse-20231112-114-Orange-3</t>
  </si>
  <si>
    <t>16S-F-B12-L5_SICap-P22-B12-MouseStool-Feces-mouse-20231112-114-Purple-1</t>
  </si>
  <si>
    <t>16S-F-C01-L5_SICap-P22-C1-MouseStool-Feces-mouse-20231112-114-Yellow-1</t>
  </si>
  <si>
    <t>16S-F-C02-L5_SICap-P22-C2-MouseStool-Feces-mouse-20231112-114-Green-1</t>
  </si>
  <si>
    <t>16S-F-C03-L5_SICap-P22-C3-MouseStool-Feces-mouse-20231112-113-Blue-3</t>
  </si>
  <si>
    <t>16S-F-C04-L5_SICap-P22-C4-MouseStool-Feces-mouse-20231112-113-Orange-3</t>
  </si>
  <si>
    <t>16S-F-C05-L5_SICap-P22-C5-MouseStool-Feces-mouse-20231112-113-Clear-3</t>
  </si>
  <si>
    <t>16S-F-C06-L5_SICap-P22-C6-MouseStool-Feces-mouse-20231112-113-Purple-1</t>
  </si>
  <si>
    <t>16S-F-C07-L5_SICap-P22-C7-MouseStool-Feces-mouse-20231112-113-Green-1</t>
  </si>
  <si>
    <t>16S-F-C08-L5_SICap-P22-C8-MouseStool-Feces-mouse-20231113-111-Orange-3</t>
  </si>
  <si>
    <t>16S-F-C09-L5_SICap-P22-C9-MouseStool-Feces-mouse-20231113-111-Clear-3</t>
  </si>
  <si>
    <t>16S-F-C10-L5_SICap-P22-C10-MouseStool-Feces-mouse-20231113-111-Yellow-1</t>
  </si>
  <si>
    <t>16S-F-C11-L5_SICap-P22-C11-MouseStool-Feces-mouse-20231113-114-Blue-3</t>
  </si>
  <si>
    <t>16S-F-C12-L5_SICap-P22-C12-MouseStool-Feces-mouse-20231113-114-Orange-3</t>
  </si>
  <si>
    <t>16S-F-D01-L5_SICap-P22-D1-MouseStool-Feces-mouse-20231113-114-Clear-3</t>
  </si>
  <si>
    <t>16S-F-D02-L5_SICap-P22-D2-MouseStool-Feces-mouse-20231113-114-Purple-1</t>
  </si>
  <si>
    <t>16S-F-D03-L5_SICap-P22-D3-MouseStool-Feces-mouse-20231113-114-Yellow-1</t>
  </si>
  <si>
    <t>16S-F-D04-L5_SICap-P22-D4-MouseStool-Feces-mouse-20231113-114-Green-1</t>
  </si>
  <si>
    <t>16S-F-D05-L5_SICap-P22-D5-MouseStool-Feces-mouse-20231113-113-Blue-3</t>
  </si>
  <si>
    <t>16S-F-D06-L5_SICap-P22-D6-MouseStool-Feces-mouse-20231113-113-Clear-3</t>
  </si>
  <si>
    <t>16S-F-D07-L5_SICap-P22-D7-MouseStool-Feces-mouse-20231113-113-Purple-1</t>
  </si>
  <si>
    <t>16S-F-D08-L5_SICap-P22-D8-MouseStool-Feces-mouse-20231113-113-Yellow-1</t>
  </si>
  <si>
    <t>16S-F-D09-L5_SICap-P22-D9-MouseStool-Feces-mouse-20231113-113-Green-1</t>
  </si>
  <si>
    <t>16S-F-D10-L5_SICap-P22-D10-MouseStool-Feces-mouse-20231116-111-Orange-3</t>
  </si>
  <si>
    <t>16S-F-D11-L5_SICap-P22-D11-MouseStool-Feces-mouse-20231116-114-Blue-3</t>
  </si>
  <si>
    <t>16S-F-D12-L5_SICap-P22-D12-MouseStool-Feces-mouse-20231116-114-Orange-3</t>
  </si>
  <si>
    <t>16S-F-E01-L5_SICap-P22-E1-MouseStool-Feces-mouse-20231116-114-Clear-3</t>
  </si>
  <si>
    <t>16S-F-E02-L5_SICap-P22-E2-MouseStool-Feces-mouse-20231116-114-Purple-1</t>
  </si>
  <si>
    <t>16S-F-E03-L5_SICap-P22-E3-MouseStool-Feces-mouse-20231116-114-Yellow-1</t>
  </si>
  <si>
    <t>16S-F-E04-L5_SICap-P22-E4-MouseStool-Feces-mouse-20231116-114-Green-1</t>
  </si>
  <si>
    <t>16S-F-E05-L5_SICap-P22-E5-MouseStool-Feces-mouse-20231116-113-Blue-3</t>
  </si>
  <si>
    <t>16S-F-E06-L5_SICap-P22-E6-MouseStool-Feces-mouse-20231116-113-Clear-3</t>
  </si>
  <si>
    <t>16S-F-E07-L5_SICap-P22-E7-MouseStool-Feces-mouse-20231116-113-Purple-1</t>
  </si>
  <si>
    <t>16S-F-E08-L5_SICap-P22-E8-MouseStool-Feces-mouse-20231116-113-Yellow-1</t>
  </si>
  <si>
    <t>16S-F-E09-L5_SICap-P22-E9-MouseStool-Feces-mouse-20231116-113-Green-1</t>
  </si>
  <si>
    <t>16S-F-E10-L5_SICap-P22-E10-MouseStool-Feces-mouse-20231128-111-Blue-3</t>
  </si>
  <si>
    <t>16S-F-E11-L5_SICap-P22-E11-MouseStool-Feces-mouse-20231128-114-Blue-3</t>
  </si>
  <si>
    <t>16S-F-E12-L5_SICap-P22-E12-MouseStool-Feces-mouse-20231128-114-Orange-3</t>
  </si>
  <si>
    <t>16S-F-F01-L5_SICap-P22-F1-MouseStool-Feces-mouse-20231128-114-Clear-3</t>
  </si>
  <si>
    <t>16S-F-F02-L5_SICap-P22-F2-MouseStool-Feces-mouse-20231128-114-Purple-1</t>
  </si>
  <si>
    <t>16S-F-F03-L5_SICap-P22-F3-MouseStool-Feces-mouse-20231128-114-Yellow-1</t>
  </si>
  <si>
    <t>16S-F-F04-L5_SICap-P22-F4-MouseStool-Feces-mouse-20231128-114-Green-1</t>
  </si>
  <si>
    <t>16S-F-F05-L5_SICap-P22-F5-MouseStool-Feces-mouse-20231128-113-Clear-3</t>
  </si>
  <si>
    <t>16S-F-F06-L5_SICap-P22-F6-MouseStool-Feces-mouse-20231128-113-Purple-1</t>
  </si>
  <si>
    <t>16S-F-F07-L5_SICap-P22-F7-MouseStool-Feces-mouse-20231204-111-Blue-3</t>
  </si>
  <si>
    <t>16S-F-F08-L5_SICap-P22-F8-MouseStool-Feces-mouse-20231204-114-Blue-3</t>
  </si>
  <si>
    <t>16S-F-F09-L5_SICap-P22-F9-MouseStool-Feces-mouse-20231204-114-Orange-3</t>
  </si>
  <si>
    <t>16S-F-F10-L5_SICap-P22-F10-MouseStool-Feces-mouse-20231204-114-Clear-3</t>
  </si>
  <si>
    <t>16S-F-F11-L5_SICap-P22-F11-MouseStool-Feces-mouse-20231204-114-Purple-1</t>
  </si>
  <si>
    <t>16S-F-F12-L5_SICap-P22-F12-MouseStool-Feces-mouse-20231204-114-Yellow-1</t>
  </si>
  <si>
    <t>16S-F-G01-L5_SICap-P22-G1-MouseStool-Feces-mouse-20231204-114-Green-1</t>
  </si>
  <si>
    <t>16S-F-G02-L5_SICap-P22-G2-MouseStool-Feces-mouse-20231204-113-Clear-3</t>
  </si>
  <si>
    <t>16S-F-G03-L5_SICap-P22-G3-MouseStool-Feces-mouse-20231204-113-Purple-1</t>
  </si>
  <si>
    <t>16S-F-G04-L5_SICap-P22-G4-MouseStool-Feces-mouse-20231208-111-Blue-3</t>
  </si>
  <si>
    <t>16S-F-G05-L5_SICap-P22-G5-MouseStool-Feces-mouse-20231208-114-Blue-3</t>
  </si>
  <si>
    <t>16S-F-G06-L5_SICap-P22-G6-MouseStool-Feces-mouse-20231208-114-Orange-3</t>
  </si>
  <si>
    <t>16S-F-G07-L5_SICap-P22-G7-MouseStool-Feces-mouse-20231208-114-Clear-3</t>
  </si>
  <si>
    <t>16S-F-G08-L5_SICap-P22-G8-MouseStool-Feces-mouse-20231208-114-Purple-1</t>
  </si>
  <si>
    <t>16S-F-G09-L5_SICap-P22-G9-MouseStool-Feces-mouse-20231208-114-Yellow-1</t>
  </si>
  <si>
    <t>16S-F-G10-L5_SICap-P22-G10-MouseStool-Feces-mouse-20231208-114-Green-1</t>
  </si>
  <si>
    <t>16S-F-G11-L5_SICap-P22-G11-MouseStool-Feces-mouse-20231208-113-Clear-3</t>
  </si>
  <si>
    <t>16S-F-G12-L5_SICap-P22-G12-MouseStool-Feces-mouse-20231208-113-Purple-1</t>
  </si>
  <si>
    <t>16S-F-H01-L5_SICap-P22-H1-MouseStool-Cecum-mouse-20231208-111-Blue-3</t>
  </si>
  <si>
    <t>16S-F-H02-L5_SICap-P22-H2-MouseStool-Cecum-mouse-20231208-114-Blue-3</t>
  </si>
  <si>
    <t>16S-F-H03-L5_SICap-P22-H3-MouseStool-Cecum-mouse-20231208-114-Orange-3</t>
  </si>
  <si>
    <t>16S-F-H04-L5_SICap-P22-H4-MouseStool-Cecum-mouse-20231208-114-Clear-3</t>
  </si>
  <si>
    <t>16S-F-H05-L5_SICap-P22-H5-MouseStool-Cecum-mouse-20231208-114-Purple-1</t>
  </si>
  <si>
    <t>16S-F-H06-L5_SICap-P22-H6-MouseStool-Cecum-mouse-20231208-114-Yellow-1</t>
  </si>
  <si>
    <t>16S-F-H07-L5_SICap-P22-H7-MouseStool-Cecum-mouse-20231208-114-Green-1</t>
  </si>
  <si>
    <t>16S-F-H08-L5_SICap-P22-H8-MouseStool-Cecum-mouse-20231208-113-Clear-3</t>
  </si>
  <si>
    <t>16S-F-H09-L5_SICap-P22-H9-MouseStool-Cecum-mouse-20231208-113-Purple-1</t>
  </si>
  <si>
    <t>16S-F-H10-L5_SICap-P22-H10-MouseStool-EmptyWell-1</t>
  </si>
  <si>
    <t>16S-F-H11-L5_SICap-P22-H11-MouseStool-EmptyWell-2</t>
  </si>
  <si>
    <t>16S-F-H12-L5_SICap-P22-H12-MouseStool-EmptyWell-3</t>
  </si>
  <si>
    <t>Platform</t>
  </si>
  <si>
    <t>MiSEQ</t>
  </si>
  <si>
    <t>NovaSEQ</t>
  </si>
  <si>
    <t>Row</t>
  </si>
  <si>
    <t>Col</t>
  </si>
  <si>
    <t>sample_16S-P4-A1-A01-L6_P10-A01-Klebsiella-SynStool-m-Input</t>
  </si>
  <si>
    <t>sample_16S-P4-A1-A02-L6_P10-A02-Klebsiella-SynStoolSI-m-Input</t>
  </si>
  <si>
    <t>sample_16S-P4-A1-A03-L6_P10-A03-Klebsiella-SynStoolSI-m-Input</t>
  </si>
  <si>
    <t>sample_16S-P4-A1-A04-L6_P10-A04-Klebsiella-SynStoolSI-m-Input</t>
  </si>
  <si>
    <t>sample_16S-P4-A1-C08-L7_P11-C08-Klebsiella-Kleb-m0-Feces</t>
  </si>
  <si>
    <t>sample_16S-P4-A1-C09-L7_P11-C09-Klebsiella-Kleb-m0-Feces</t>
  </si>
  <si>
    <t>sample_16S-P4-A1-C10-L7_P11-C10-Klebsiella-GF-m1-Cecum</t>
  </si>
  <si>
    <t>sample_16S-P4-A1-C11-L7_P11-C11-Klebsiella-GF-m2-Cecum</t>
  </si>
  <si>
    <t>sample_16S-P4-A1-C12-L7_P11-C12-Klebsiella-GF-m3-Cecum</t>
  </si>
  <si>
    <t>sample_16S-P4-A1-D01-L7_P11-D01-Klebsiella-SynStool-m1-Cecum</t>
  </si>
  <si>
    <t>sample_16S-P4-A1-D02-L7_P11-D02-Klebsiella-SynStool-m2-Cecum</t>
  </si>
  <si>
    <t>sample_16S-P4-A1-D03-L7_P11-D03-Klebsiella-SynStool-m3-Cecum</t>
  </si>
  <si>
    <t>sample_16S-P4-A1-D04-L7_P11-D04-Klebsiella-SynStool-m4-Cecum</t>
  </si>
  <si>
    <t>sample_16S-P4-A1-D05-L7_P11-D05-Klebsiella-SynStoolSI-m1-Cecum</t>
  </si>
  <si>
    <t>sample_16S-P4-A1-D06-L7_P11-D06-Klebsiella-SynStoolSI-m2-Cecum</t>
  </si>
  <si>
    <t>sample_16S-P4-A1-D07-L7_P11-D07-Klebsiella-SynStoolSI-m3-Cecum</t>
  </si>
  <si>
    <t>sample_16S-P4-A1-D08-L7_P11-D08-Klebsiella-SynStoolSI-m4-Cecum</t>
  </si>
  <si>
    <t>sample_16S-P4-A1-D09-L7_P11-D09-Klebsiella-GF-m1-Feces</t>
  </si>
  <si>
    <t>sample_16S-P4-A1-D10-L7_P11-D10-Klebsiella-GF-m2-Feces</t>
  </si>
  <si>
    <t>sample_16S-P4-A1-D11-L7_P11-D11-Klebsiella-GF-m3-Feces</t>
  </si>
  <si>
    <t>sample_16S-P4-A1-D12-L7_P11-D12-Klebsiella-SynStool-m1-Feces</t>
  </si>
  <si>
    <t>sample_16S-P4-A1-E01-L7_P11-E01-Klebsiella-SynStool-m2-Feces</t>
  </si>
  <si>
    <t>sample_16S-P4-A1-E02-L7_P11-E02-Klebsiella-SynStool-m3-Feces</t>
  </si>
  <si>
    <t>sample_16S-P4-A1-E03-L7_P11-E03-Klebsiella-SynStool-m4-Feces</t>
  </si>
  <si>
    <t>sample_16S-P4-A1-E04-L7_P11-E04-Klebsiella-SynStoolSI-m1-Feces</t>
  </si>
  <si>
    <t>sample_16S-P4-A1-E05-L7_P11-E05-Klebsiella-SynStoolSI-m2-Feces</t>
  </si>
  <si>
    <t>sample_16S-P4-A1-E06-L7_P11-E06-Klebsiella-SynStoolSI-m3-Feces</t>
  </si>
  <si>
    <t>sample_16S-P4-A1-E07-L7_P11-E07-Klebsiella-SynStoolSI-m4-Feces</t>
  </si>
  <si>
    <t>sample_16S-P4-A1-F02-L5_P9-F02-Klebsiella-GF-m2-ProxSI</t>
  </si>
  <si>
    <t>sample_16S-P4-A1-F03-L5_P9-F03-Klebsiella-GF-m3-ProxSI</t>
  </si>
  <si>
    <t>sample_16S-P4-A1-F04-L5_P9-F04-Klebsiella-SynStool-m1-ProxSI</t>
  </si>
  <si>
    <t>sample_16S-P4-A1-F05-L5_P9-F05-Klebsiella-SynStool-m2-ProxSI</t>
  </si>
  <si>
    <t>sample_16S-P4-A1-F06-L5_P9-F06-Klebsiella-SynStool-m3-ProxSI</t>
  </si>
  <si>
    <t>sample_16S-P4-A1-F07-L5_P9-F07-Klebsiella-SynStool-m4-ProxSI</t>
  </si>
  <si>
    <t>sample_16S-P4-A1-F08-L5_P9-F08-Klebsiella-SynStoolSI-m1-ProxSI</t>
  </si>
  <si>
    <t>sample_16S-P4-A1-F09-L5_P9-F09-Klebsiella-SynStoolSI-m2-ProxSI</t>
  </si>
  <si>
    <t>sample_16S-P4-A1-F10-L5_P9-F10-Klebsiella-SynStoolSI-m3-ProxSI</t>
  </si>
  <si>
    <t>sample_16S-P4-A1-F11-L5_P9-F11-Klebsiella-SynStoolSI-m4-ProxSI</t>
  </si>
  <si>
    <t>sample_16S-P4-A1-F12-L5_P9-F12-Klebsiella-GF-m1-MidSI</t>
  </si>
  <si>
    <t>sample_16S-P4-A1-G01-L5_P9-G01-Klebsiella-GF-m2-MidSI</t>
  </si>
  <si>
    <t>sample_16S-P4-A1-G02-L5_P9-G02-Klebsiella-GF-m3-MidSI</t>
  </si>
  <si>
    <t>sample_16S-P4-A1-G03-L5_P9-G03-Klebsiella-SynStool-m1-MidSI</t>
  </si>
  <si>
    <t>sample_16S-P4-A1-G04-L5_P9-G04-Klebsiella-SynStool-m2-MidSI</t>
  </si>
  <si>
    <t>sample_16S-P4-A1-G05-L5_P9-G05-Klebsiella-SynStool-m3-MidSI</t>
  </si>
  <si>
    <t>sample_16S-P4-A1-G06-L5_P9-G06-Klebsiella-SynStool-m4-MidSI</t>
  </si>
  <si>
    <t>sample_16S-P4-A1-G07-L5_P9-G07-Klebsiella-SynStoolSI-m1-MidSI</t>
  </si>
  <si>
    <t>sample_16S-P4-A1-G08-L5_P9-G08-Klebsiella-SynStoolSI-m2-MidSI</t>
  </si>
  <si>
    <t>sample_16S-P4-A1-G09-L5_P9-G09-Klebsiella-SynStoolSI-m3-MidSI</t>
  </si>
  <si>
    <t>sample_16S-P4-A1-G10-L5_P9-G10-Klebsiella-SynStoolSI-m4-MidSI</t>
  </si>
  <si>
    <t>sample_16S-P4-A1-G11-L5_P9-G11-Klebsiella-GF-m1-DistalSI</t>
  </si>
  <si>
    <t>sample_16S-P4-A1-G12-L5_P9-G12-Klebsiella-GF-m2-DistalSI</t>
  </si>
  <si>
    <t>sample_16S-P4-A1-H01-L5_P9-H01-Klebsiella-GF-m3-DistalSI</t>
  </si>
  <si>
    <t>sample_16S-P4-A1-H02-L5_P9-H02-Klebsiella-SynStool-m1-DistalSI</t>
  </si>
  <si>
    <t>sample_16S-P4-A1-H03-L5_P9-H03-Klebsiella-SynStool-m2-DistalSI</t>
  </si>
  <si>
    <t>sample_16S-P4-A1-H04-L5_P9-H04-Klebsiella-SynStool-m3-DistalSI</t>
  </si>
  <si>
    <t>sample_16S-P4-A1-H05-L5_P9-H05-Klebsiella-SynStool-m4-DistalSI</t>
  </si>
  <si>
    <t>sample_16S-P4-A1-H06-L5_P9-H06-Klebsiella-SynStoolSI-m1-DistalSI</t>
  </si>
  <si>
    <t>sample_16S-P4-A1-H07-L5_P9-H07-Klebsiella-SynStoolSI-m2-DistalSI</t>
  </si>
  <si>
    <t>sample_16S-P4-A1-H08-L5_P9-H08-Klebsiella-SynStoolSI-m3-DistalSI</t>
  </si>
  <si>
    <t>sample_16S-P4-A1-H09-L5_P9-H09-Klebsiella-SynStoolSI-m4-DistalSI</t>
  </si>
  <si>
    <t>sample_16S-P4-A1-H10-L5_P9-H10-Klebsiella-SynSI-m-Input</t>
  </si>
  <si>
    <t>sample_16S-P4-A1-H11-L5_P9-H11-Klebsiella-SynSI-m-Input</t>
  </si>
  <si>
    <t>sample_16S-P4-A1-H12-L5_P9-H12-Klebsiella-SynStool-m-Input</t>
  </si>
  <si>
    <t>SynStool</t>
  </si>
  <si>
    <t>Kleb</t>
  </si>
  <si>
    <t>m1</t>
  </si>
  <si>
    <t>Cecum</t>
  </si>
  <si>
    <t>m2</t>
  </si>
  <si>
    <t>m3</t>
  </si>
  <si>
    <t>m4</t>
  </si>
  <si>
    <t>ProxSI</t>
  </si>
  <si>
    <t>MidSI</t>
  </si>
  <si>
    <t>DistalSI</t>
  </si>
  <si>
    <t>SynSI</t>
  </si>
  <si>
    <t>NA</t>
  </si>
  <si>
    <t>SD</t>
  </si>
  <si>
    <t>Stool</t>
  </si>
  <si>
    <t>Barcode_well</t>
  </si>
  <si>
    <t>L6</t>
  </si>
  <si>
    <t>L7</t>
  </si>
  <si>
    <t>L5</t>
  </si>
  <si>
    <t>L0</t>
  </si>
  <si>
    <t>L1</t>
  </si>
  <si>
    <t>L2</t>
  </si>
  <si>
    <t>L3</t>
  </si>
  <si>
    <t>Phase</t>
  </si>
  <si>
    <t>Mouse</t>
  </si>
  <si>
    <t>Community</t>
  </si>
  <si>
    <t>Project</t>
  </si>
  <si>
    <t>Sub_no</t>
  </si>
  <si>
    <t>Folder</t>
  </si>
  <si>
    <t>Moved</t>
  </si>
  <si>
    <t>Sample_type</t>
  </si>
  <si>
    <t>Unique_mouse</t>
  </si>
  <si>
    <t>Isolator_cage</t>
  </si>
  <si>
    <t>Location</t>
  </si>
  <si>
    <t>Donor</t>
  </si>
  <si>
    <t>Pathogen</t>
  </si>
  <si>
    <t>Mouse_no</t>
  </si>
  <si>
    <t>Mouse_breed</t>
  </si>
  <si>
    <t>Mouse_sex</t>
  </si>
  <si>
    <t>Diet</t>
  </si>
  <si>
    <t>Final_sac</t>
  </si>
  <si>
    <t>Collection_date</t>
  </si>
  <si>
    <t>Capsule_name</t>
  </si>
  <si>
    <t>pH</t>
  </si>
  <si>
    <t>Buffer</t>
  </si>
  <si>
    <t>Isolate</t>
  </si>
  <si>
    <t>Strain</t>
  </si>
  <si>
    <t>Replicate</t>
  </si>
  <si>
    <t>Notes</t>
  </si>
  <si>
    <t>Sample_old</t>
  </si>
  <si>
    <t>Klebsiella1</t>
  </si>
  <si>
    <t>6_UIUC-20240909</t>
  </si>
  <si>
    <t>filtered</t>
  </si>
  <si>
    <t>MiSeq</t>
  </si>
  <si>
    <t>MiSeq-GermFree_None-SD-m1-d16</t>
  </si>
  <si>
    <t>GermFree</t>
  </si>
  <si>
    <t>GermFree_None</t>
  </si>
  <si>
    <t>Small_intestine</t>
  </si>
  <si>
    <t>None</t>
  </si>
  <si>
    <t>m01</t>
  </si>
  <si>
    <t>B6</t>
  </si>
  <si>
    <t>Male</t>
  </si>
  <si>
    <t>MiSeq-GermFree_None-SD-m2-d16</t>
  </si>
  <si>
    <t>m02</t>
  </si>
  <si>
    <t>7_CZBSeqSub-2024-0460</t>
  </si>
  <si>
    <t>NextSeq</t>
  </si>
  <si>
    <t>NextSeq-GermFree_None-SD-m2-d16</t>
  </si>
  <si>
    <t>MiSeq-GermFree_None-SD-m3-d16</t>
  </si>
  <si>
    <t>m03</t>
  </si>
  <si>
    <t>NextSeq-GermFree_None-SD-m3-d16</t>
  </si>
  <si>
    <t>MiSeq-SynStool_Kleb-SD-m1-d16</t>
  </si>
  <si>
    <t>SynStool_Kleb</t>
  </si>
  <si>
    <t>NextSeq-SynStool_Kleb-SD-m1-d16</t>
  </si>
  <si>
    <t>MiSeq-SynStool_Kleb-SD-m2-d16</t>
  </si>
  <si>
    <t>NextSeq-SynStool_Kleb-SD-m2-d16</t>
  </si>
  <si>
    <t>MiSeq-SynStool_Kleb-SD-m3-d16</t>
  </si>
  <si>
    <t>NextSeq-SynStool_Kleb-SD-m3-d16</t>
  </si>
  <si>
    <t>MiSeq-SynStool_Kleb-SD-m4-d16</t>
  </si>
  <si>
    <t>m04</t>
  </si>
  <si>
    <t>NextSeq-SynStool_Kleb-SD-m4-d16</t>
  </si>
  <si>
    <t>MiSeq-SynSI_2_SynStool-SW-SD-SD-m2-dNA</t>
  </si>
  <si>
    <t>SynSI_SynStool</t>
  </si>
  <si>
    <t>SynSI_SynStool_Kleb</t>
  </si>
  <si>
    <t>NextSeq-SynSI_SynStool_Kleb-SD-m1-d16</t>
  </si>
  <si>
    <t>MiSeq-SynSI_SynStool_Kleb-SD-m2-d16</t>
  </si>
  <si>
    <t>NextSeq-SynSI_SynStool_Kleb-SD-m2-d16</t>
  </si>
  <si>
    <t>MiSeq-SynSI_SynStool_Kleb-SD-m3-d16</t>
  </si>
  <si>
    <t>NextSeq-SynSI_SynStool_Kleb-SD-m3-d16</t>
  </si>
  <si>
    <t>MiSeq-SynSI_SynStool_Kleb-SD-m4-d16</t>
  </si>
  <si>
    <t>NextSeq-SynSI_SynStool_Kleb-SD-m4-d16</t>
  </si>
  <si>
    <t>NextSeq-GermFree_None-SD-m1-d16</t>
  </si>
  <si>
    <t>MiSeq-SynSI_SynStool_Kleb-SD-m1-d16</t>
  </si>
  <si>
    <t>Gavage</t>
  </si>
  <si>
    <t>SynSI_NA</t>
  </si>
  <si>
    <t>SynStool_NA</t>
  </si>
  <si>
    <t>SynSI_SynStool_NA</t>
  </si>
  <si>
    <t>MiSeq-Kleb_Kleb-SD-m1-d16</t>
  </si>
  <si>
    <t>Kleb_Kleb</t>
  </si>
  <si>
    <t>m00</t>
  </si>
  <si>
    <t>NextSeq-Kleb_Kleb-SD-m1-d16</t>
  </si>
  <si>
    <t>MiSeq-Kleb_Kleb-SD-m2-d16</t>
  </si>
  <si>
    <t>NextSeq-Kleb_Kleb-SD-m2-d16</t>
  </si>
  <si>
    <t>Unk1</t>
  </si>
  <si>
    <t>Unk2</t>
  </si>
  <si>
    <t>MouseAvatar</t>
  </si>
  <si>
    <t>MiSeq-KD34_Capsule-SD-m1-d13</t>
  </si>
  <si>
    <t>DirectSI</t>
  </si>
  <si>
    <t>KD34_Capsule</t>
  </si>
  <si>
    <t>KD34</t>
  </si>
  <si>
    <t>L4</t>
  </si>
  <si>
    <t>NextSeq-KD34_Capsule-SD-m1-d13</t>
  </si>
  <si>
    <t>MiSeq-KD34_Capsule-SD-m2-d13</t>
  </si>
  <si>
    <t>NextSeq-KD34_Capsule-SD-m2-d13</t>
  </si>
  <si>
    <t>MiSeq-KD34_Capsule-SD-m3-d13</t>
  </si>
  <si>
    <t>NextSeq-KD34_Capsule-SD-m3-d13</t>
  </si>
  <si>
    <t>MiSeq-KD34_Capsule-SD-m4-d13</t>
  </si>
  <si>
    <t>NextSeq-KD34_Capsule-SD-m4-d13</t>
  </si>
  <si>
    <t>MiSeq-KD34_CapsuleStool-SD-m1-d13</t>
  </si>
  <si>
    <t>DirectSI_DirectStool</t>
  </si>
  <si>
    <t>KD34_CapsuleStool</t>
  </si>
  <si>
    <t>NextSeq-KD34_CapsuleStool-SD-m1-d13</t>
  </si>
  <si>
    <t>MiSeq-KD34_CapsuleStool-SD-m2-d13</t>
  </si>
  <si>
    <t>NextSeq-KD34_CapsuleStool-SD-m2-d13</t>
  </si>
  <si>
    <t>MiSeq-KD34_CapsuleStool-SD-m3-d13</t>
  </si>
  <si>
    <t>NextSeq-KD34_CapsuleStool-SD-m3-d13</t>
  </si>
  <si>
    <t>MiSeq-KD34_CapsuleStool-SD-m4-d13</t>
  </si>
  <si>
    <t>NextSeq-KD34_CapsuleStool-SD-m4-d13</t>
  </si>
  <si>
    <t>MiSeq-KD34_Stool-SD-m1-d13</t>
  </si>
  <si>
    <t>DirectStool</t>
  </si>
  <si>
    <t>KD34_Stool</t>
  </si>
  <si>
    <t>NextSeq-KD34_Stool-SD-m1-d13</t>
  </si>
  <si>
    <t>MiSeq-KD34_Stool-SD-m2-d13</t>
  </si>
  <si>
    <t>NextSeq-KD34_Stool-SD-m2-d13</t>
  </si>
  <si>
    <t>MiSeq-KD34_Stool-SD-m3-d13</t>
  </si>
  <si>
    <t>NextSeq-KD34_Stool-SD-m3-d13</t>
  </si>
  <si>
    <t>MiSeq-KD34_Stool-SD-m4-d13</t>
  </si>
  <si>
    <t>NextSeq-KD34_Stool-SD-m4-d13</t>
  </si>
  <si>
    <t>MiSeq-KD32_Capsule-SD-m1-d13</t>
  </si>
  <si>
    <t>KD32_Capsule</t>
  </si>
  <si>
    <t>KD32</t>
  </si>
  <si>
    <t>NextSeq-KD32_Capsule-SD-m1-d13</t>
  </si>
  <si>
    <t>MiSeq-KD32_Capsule-SD-m2-d13</t>
  </si>
  <si>
    <t>NextSeq-KD32_Capsule-SD-m2-d13</t>
  </si>
  <si>
    <t>MiSeq-KD32_Capsule-SD-m3-d13</t>
  </si>
  <si>
    <t>NextSeq-KD32_Capsule-SD-m3-d13</t>
  </si>
  <si>
    <t>MiSeq-KD32_Capsule-SD-m4-d13</t>
  </si>
  <si>
    <t>NextSeq-KD32_Capsule-SD-m4-d13</t>
  </si>
  <si>
    <t>MiSeq-KD32_Capsule-SD-m5-d13</t>
  </si>
  <si>
    <t>m5</t>
  </si>
  <si>
    <t>NextSeq-KD32_Capsule-SD-m5-d13</t>
  </si>
  <si>
    <t>MiSeq-KD32_CapsuleStool-SD-m1-d13</t>
  </si>
  <si>
    <t>KD32_CapsuleStool</t>
  </si>
  <si>
    <t>NextSeq-KD32_CapsuleStool-SD-m1-d13</t>
  </si>
  <si>
    <t>MiSeq-KD32_CapsuleStool-SD-m2-d13</t>
  </si>
  <si>
    <t>NextSeq-KD32_CapsuleStool-SD-m2-d13</t>
  </si>
  <si>
    <t>MiSeq-KD32_CapsuleStool-SD-m3-d13</t>
  </si>
  <si>
    <t>NextSeq-KD32_CapsuleStool-SD-m3-d13</t>
  </si>
  <si>
    <t>MiSeq-KD32_CapsuleStool-SD-m4-d13</t>
  </si>
  <si>
    <t>NextSeq-KD32_CapsuleStool-SD-m4-d13</t>
  </si>
  <si>
    <t>MiSeq-KD32_CapsuleStool-SD-m5-d13</t>
  </si>
  <si>
    <t>NextSeq-KD32_CapsuleStool-SD-m5-d13</t>
  </si>
  <si>
    <t>MiSeq-KD32_Stool1-SD-m1-d13</t>
  </si>
  <si>
    <t>KD32_Stool1</t>
  </si>
  <si>
    <t>NextSeq-KD32_Stool1-SD-m1-d13</t>
  </si>
  <si>
    <t>MiSeq-KD32_Stool1-SD-m2-d13</t>
  </si>
  <si>
    <t>NextSeq-KD32_Stool1-SD-m2-d13</t>
  </si>
  <si>
    <t>MiSeq-KD32_Stool1-SD-m3-d13</t>
  </si>
  <si>
    <t>NextSeq-KD32_Stool1-SD-m3-d13</t>
  </si>
  <si>
    <t>MiSeq-KD32_Stool1-SD-m4-d13</t>
  </si>
  <si>
    <t>NextSeq-KD32_Stool1-SD-m4-d13</t>
  </si>
  <si>
    <t>MiSeq-KD32_Stool2-SD-m6-d13</t>
  </si>
  <si>
    <t>KD32_Stool2</t>
  </si>
  <si>
    <t>NextSeq-KD32_Stool2-SD-m6-d13</t>
  </si>
  <si>
    <t>MiSeq-KD32_Stool2-SD-m7-d13</t>
  </si>
  <si>
    <t>NextSeq-KD32_Stool2-SD-m7-d13</t>
  </si>
  <si>
    <t>MiSeq-KD32_Stool2-SD-m8-d13</t>
  </si>
  <si>
    <t>NextSeq-KD32_Stool2-SD-m8-d13</t>
  </si>
  <si>
    <t>MiSeq-KD32_Stool2-SD-m9-d13</t>
  </si>
  <si>
    <t>NextSeq-KD32_Stool2-SD-m9-d13</t>
  </si>
  <si>
    <t>MiSeq-KD32_Stool2-SD-m10-d13</t>
  </si>
  <si>
    <t>NextSeq-KD32_Stool2-SD-m10-d13</t>
  </si>
  <si>
    <t>MiSeq-KD32_Stool3-SD-m11-d13</t>
  </si>
  <si>
    <t>KD32_Stool3</t>
  </si>
  <si>
    <t>NextSeq-KD32_Stool3-SD-m11-d13</t>
  </si>
  <si>
    <t>MiSeq-KD32_Stool3-SD-m12-d13</t>
  </si>
  <si>
    <t>NextSeq-KD32_Stool3-SD-m12-d13</t>
  </si>
  <si>
    <t>MiSeq-KD31_Capsule-SD-m1-d13</t>
  </si>
  <si>
    <t>KD31_Capsule</t>
  </si>
  <si>
    <t>KD31</t>
  </si>
  <si>
    <t>NextSeq-KD31_Capsule-SD-m1-d13</t>
  </si>
  <si>
    <t>MiSeq-KD31_Capsule-SD-m2-d13</t>
  </si>
  <si>
    <t>NextSeq-KD31_Capsule-SD-m2-d13</t>
  </si>
  <si>
    <t>MiSeq-KD31_Capsule-SD-m3-d13</t>
  </si>
  <si>
    <t>NextSeq-KD31_Capsule-SD-m3-d13</t>
  </si>
  <si>
    <t>MiSeq-KD31_Capsule-SD-m4-d13</t>
  </si>
  <si>
    <t>NextSeq-KD31_Capsule-SD-m4-d13</t>
  </si>
  <si>
    <t>MiSeq-KD31_Stool1-SD-m1-d13</t>
  </si>
  <si>
    <t>KD31_Stool1</t>
  </si>
  <si>
    <t>NextSeq-KD31_Stool1-SD-m1-d13</t>
  </si>
  <si>
    <t>MiSeq-KD31_Stool1-SD-m2-d13</t>
  </si>
  <si>
    <t>NextSeq-KD31_Stool1-SD-m2-d13</t>
  </si>
  <si>
    <t>MiSeq-KD31_Stool1-SD-m3-d13</t>
  </si>
  <si>
    <t>NextSeq-KD31_Stool1-SD-m3-d13</t>
  </si>
  <si>
    <t>MiSeq-KD31_Stool1-SD-m4-d13</t>
  </si>
  <si>
    <t>NextSeq-KD31_Stool1-SD-m4-d13</t>
  </si>
  <si>
    <t>MiSeq-KD31_Stool1-SD-m5-d13</t>
  </si>
  <si>
    <t>NextSeq-KD31_Stool1-SD-m5-d13</t>
  </si>
  <si>
    <t>MiSeq-KD31_Stool2-SD-m7-d13</t>
  </si>
  <si>
    <t>KD31_Stool2</t>
  </si>
  <si>
    <t>NextSeq-KD31_Stool2-SD-m7-d13</t>
  </si>
  <si>
    <t>MiSeq-KD31_Stool2-SD-m8-d13</t>
  </si>
  <si>
    <t>NextSeq-KD31_Stool2-SD-m8-d13</t>
  </si>
  <si>
    <t>MiSeq-KD31_Stool2-SD-m9-d13</t>
  </si>
  <si>
    <t>NextSeq-KD31_Stool2-SD-m9-d13</t>
  </si>
  <si>
    <t>MiSeq-KD31_Stool2-SD-m10-d13</t>
  </si>
  <si>
    <t>NextSeq-KD31_Stool2-SD-m10-d13</t>
  </si>
  <si>
    <t>MiSeq-KD31_Stool3-SD-m11-d13</t>
  </si>
  <si>
    <t>KD31_Stool3</t>
  </si>
  <si>
    <t>NextSeq-KD31_Stool3-SD-m11-d13</t>
  </si>
  <si>
    <t>MiSeq-KD31_Stool3-SD-m12-d13</t>
  </si>
  <si>
    <t>NextSeq-KD31_Stool3-SD-m12-d13</t>
  </si>
  <si>
    <t>MiSeq-KD31_Stool3-SD-m13-d13</t>
  </si>
  <si>
    <t>NextSeq-KD31_Stool3-SD-m13-d13</t>
  </si>
  <si>
    <t>MiSeq-KD31_Stool3-SD-m14-d13</t>
  </si>
  <si>
    <t>NextSeq-KD31_Stool3-SD-m14-d13</t>
  </si>
  <si>
    <t>MiSeq-KD31_Stool3-SD-m15-d13</t>
  </si>
  <si>
    <t>NextSeq-KD31_Stool3-SD-m15-d13</t>
  </si>
  <si>
    <t>MiSeq-KD31_Stool2-SD-m6-d13</t>
  </si>
  <si>
    <t>NextSeq-KD31_Stool2-SD-m6-d13</t>
  </si>
  <si>
    <t>Saliva</t>
  </si>
  <si>
    <t>KD30</t>
  </si>
  <si>
    <t>CapsuleSI</t>
  </si>
  <si>
    <t>HumanStool</t>
  </si>
  <si>
    <t>CapsuleAC</t>
  </si>
  <si>
    <t>sample_16S-NA-Unk1-L4_2step-P5-D07-EnvivoNIH-KD014-D0009-capscan</t>
  </si>
  <si>
    <t>sample_16S-NA-Unk1-L5_2step-P6-D07-EnvivoNIH-KD003-D0113A-capscan</t>
  </si>
  <si>
    <t>sample_16S-NA-Unk2-L4_2step-P5-D07-EnvivoNIH-KD014-D0009-capscan</t>
  </si>
  <si>
    <t>sample_16S-NA-Unk2-L5_2step-P6-D07-EnvivoNIH-KD003-D0113A-capscan</t>
  </si>
  <si>
    <t>sample_16S-P6A2-A01-L4_2step-P5-A01-EnvivoNIH-KC002-C0001-capscan</t>
  </si>
  <si>
    <t>sample_16S-P6A2-A01-L5_2step-P6-A01-EnvivoNIH-temp007-11G-capscan</t>
  </si>
  <si>
    <t>sample_16S-P6A2-A02-L4_2step-P5-A02-EnvivoNIH-KC002-C0002-capscan</t>
  </si>
  <si>
    <t>sample_16S-P6A2-A02-L5_2step-P6-A02-EnvivoNIH-temp006-13G-capscan</t>
  </si>
  <si>
    <t>sample_16S-P6A2-A03-L4_2step-P5-A03-EnvivoNIH-KC002-C0003-capscan</t>
  </si>
  <si>
    <t>sample_16S-P6A2-A03-L5_2step-P6-A03-EnvivoNIH-temp006-15G-capscan</t>
  </si>
  <si>
    <t>sample_16S-P6A2-A04-L4_2step-P5-A04-EnvivoNIH-KC002-C0004-stool</t>
  </si>
  <si>
    <t>sample_16S-P6A2-A04-L5_2step-P6-A04-EnvivoNIH-temp004-17G-capscan</t>
  </si>
  <si>
    <t>sample_16S-P6A2-A05-L4_2step-P5-A05-EnvivoNIH-KC002-C0005-capscan</t>
  </si>
  <si>
    <t>sample_16S-P6A2-A05-L5_2step-P6-A05-EnvivoNIH-temp004-19G-capscan</t>
  </si>
  <si>
    <t>sample_16S-P6A2-A06-L4_2step-P5-A06-EnvivoNIH-KC002-C0006-capscan</t>
  </si>
  <si>
    <t>sample_16S-P6A2-A06-L5_2step-P6-A06-EnvivoNIH-temp001-23G-capscan</t>
  </si>
  <si>
    <t>sample_16S-P6A2-A07-L4_2step-P5-A07-EnvivoNIH-KC002-C0007-capscan</t>
  </si>
  <si>
    <t>sample_16S-P6A2-A07-L5_2step-P6-A07-EnvivoNIH-temp005-25G-capscan</t>
  </si>
  <si>
    <t>sample_16S-P6A2-A08-L4_2step-P5-A08-EnvivoNIH-KC002-C0008-stool</t>
  </si>
  <si>
    <t>sample_16S-P6A2-A08-L5_2step-P6-A08-EnvivoNIH-temp005-27G-capscan</t>
  </si>
  <si>
    <t>sample_16S-P6A2-A09-L4_2step-P5-A09-EnvivoNIH-KC002-240501-Blood-kc2-blood</t>
  </si>
  <si>
    <t>sample_16S-P6A2-A09-L5_2step-P6-A09-EnvivoNIH-temp003-31G-capscan</t>
  </si>
  <si>
    <t>sample_16S-P6A2-A10-L4_2step-P5-A10-EnvivoNIH-KC002-240501-Saliva-kc2-saliva</t>
  </si>
  <si>
    <t>sample_16S-P6A2-A10-L5_2step-P6-A10-EnvivoNIH-temp003-32G-capscan</t>
  </si>
  <si>
    <t>sample_16S-P6A2-A11-L4_2step-P5-A11-EnvivoNIH-KC021-C0009-capscan</t>
  </si>
  <si>
    <t>sample_16S-P6A2-A11-L5_2step-P6-A11-EnvivoNIH-temp008-A0144A-capscan</t>
  </si>
  <si>
    <t>sample_16S-P6A2-A12-L4_2step-P5-A12-EnvivoNIH-KC021-C0010-capscan</t>
  </si>
  <si>
    <t>sample_16S-P6A2-A12-L5_2step-P6-A12-EnvivoNIH-temp008-A0144C-capscan</t>
  </si>
  <si>
    <t>sample_16S-P6A2-B01-L4_2step-P5-B01-EnvivoNIH-KC021-C0011-capscan</t>
  </si>
  <si>
    <t>sample_16S-P6A2-B01-L5_2step-P6-B01-EnvivoNIH-temp008-A0144F-capscan</t>
  </si>
  <si>
    <t>sample_16S-P6A2-B02-L4_2step-P5-B02-EnvivoNIH-KC021-C0012-stool</t>
  </si>
  <si>
    <t>sample_16S-P6A2-B02-L5_2step-P6-B02-EnvivoNIH-KC001-C0101A-capscan</t>
  </si>
  <si>
    <t>sample_16S-P6A2-B03-L4_2step-P5-B03-EnvivoNIH-KC021-C0013-capscan</t>
  </si>
  <si>
    <t>sample_16S-P6A2-B03-L5_2step-P6-B03-EnvivoNIH-KC001-C0102A-capscan</t>
  </si>
  <si>
    <t>sample_16S-P6A2-B04-L4_2step-P5-B04-EnvivoNIH-KC021-C0014-capscan</t>
  </si>
  <si>
    <t>sample_16S-P6A2-B04-L5_2step-P6-B04-EnvivoNIH-KC001-C0103A-capscan</t>
  </si>
  <si>
    <t>sample_16S-P6A2-B05-L4_2step-P5-B05-EnvivoNIH-KC021-C0015-capscan</t>
  </si>
  <si>
    <t>sample_16S-P6A2-B05-L5_2step-P6-B05-EnvivoNIH-KC001-C0104A-capscan</t>
  </si>
  <si>
    <t>sample_16S-P6A2-B06-L4_2step-P5-B06-EnvivoNIH-KC021-C0016-stool</t>
  </si>
  <si>
    <t>sample_16S-P6A2-B06-L5_2step-P6-B06-EnvivoNIH-KC001-C0105A-capscan</t>
  </si>
  <si>
    <t>sample_16S-P6A2-B07-L4_2step-P5-B07-EnvivoNIH-KC021-240517-Blood-kc21-blood</t>
  </si>
  <si>
    <t>sample_16S-P6A2-B07-L5_2step-P6-B07-EnvivoNIH-KC001-C0106A-capscan</t>
  </si>
  <si>
    <t>sample_16S-P6A2-B08-L4_2step-P5-B08-EnvivoNIH-KC021-240517-Saliva-kc21-saliva</t>
  </si>
  <si>
    <t>sample_16S-P6A2-B08-L5_2step-P6-B08-EnvivoNIH-KC014-C0107A-capscan</t>
  </si>
  <si>
    <t>sample_16S-P6A2-B09-L5_2step-P6-B09-EnvivoNIH-KC014-C0108A-capscan</t>
  </si>
  <si>
    <t>sample_16S-P6A2-B10-L5_2step-P6-B10-EnvivoNIH-KC014-C0109A-capscan</t>
  </si>
  <si>
    <t>sample_16S-P6A2-B11-L5_2step-P6-B11-EnvivoNIH-KC014-C0110A-capscan</t>
  </si>
  <si>
    <t>sample_16S-P6A2-B12-L5_2step-P6-B12-EnvivoNIH-KC014-C0111A-capscan</t>
  </si>
  <si>
    <t>sample_16S-P6A2-C01-L5_2step-P6-C01-EnvivoNIH-KC006-C0112A-capscan</t>
  </si>
  <si>
    <t>sample_16S-P6A2-C02-L5_2step-P6-C02-EnvivoNIH-KC006-C0113A-capscan</t>
  </si>
  <si>
    <t>sample_16S-P6A2-C03-L5_2step-P6-C03-EnvivoNIH-KC006-C0114A-capscan</t>
  </si>
  <si>
    <t>sample_16S-P6A2-C04-L5_2step-P6-C04-EnvivoNIH-KC007-C0115A-capscan</t>
  </si>
  <si>
    <t>sample_16S-P6A2-C05-L5_2step-P6-C05-EnvivoNIH-KC007-C0116A-capscan</t>
  </si>
  <si>
    <t>sample_16S-P6A2-C06-L5_2step-P6-C06-EnvivoNIH-KC006-C0117A-capscan</t>
  </si>
  <si>
    <t>sample_16S-P6A2-C07-L5_2step-P6-C07-EnvivoNIH-KC006-C0118A-capscan</t>
  </si>
  <si>
    <t>sample_16S-P6A2-C08-L5_2step-P6-C08-EnvivoNIH-KC006-C0119A-capscan</t>
  </si>
  <si>
    <t>sample_16S-P6A2-C09-L5_2step-P6-C09-EnvivoNIH-KD999-D0102A-capscan</t>
  </si>
  <si>
    <t>sample_16S-P6A2-C10-L5_2step-P6-C10-EnvivoNIH-KD999-D0103A-capscan</t>
  </si>
  <si>
    <t>sample_16S-P6A2-C11-L5_2step-P6-C11-EnvivoNIH-KD999-D0104A-capscan</t>
  </si>
  <si>
    <t>sample_16S-P6A2-C12-L5_2step-P6-C12-EnvivoNIH-KD001-D0105A-capscan</t>
  </si>
  <si>
    <t>sample_16S-P6A2-D01-L4_2step-P5-D01-EnvivoNIH-KD013-D0001-capscan</t>
  </si>
  <si>
    <t>sample_16S-P6A2-D01-L5_2step-P6-D01-EnvivoNIH-KD001-D0106A-capscan</t>
  </si>
  <si>
    <t>sample_16S-P6A2-D02-L4_2step-P5-D02-EnvivoNIH-KD013-D0004-stool</t>
  </si>
  <si>
    <t>sample_16S-P6A2-D02-L5_2step-P6-D02-EnvivoNIH-KD001-D0107A-capscan</t>
  </si>
  <si>
    <t>sample_16S-P6A2-D03-L4_2step-P5-D03-EnvivoNIH-KD010-D0005-capscan</t>
  </si>
  <si>
    <t>sample_16S-P6A2-D03-L5_2step-P6-D03-EnvivoNIH-KD001-D0108A-capscan</t>
  </si>
  <si>
    <t>sample_16S-P6A2-D04-L4_2step-P5-D04-EnvivoNIH-KD010-D0006-capscan</t>
  </si>
  <si>
    <t>sample_16S-P6A2-D04-L5_2step-P6-D04-EnvivoNIH-KD004-D0110A-capscan</t>
  </si>
  <si>
    <t>sample_16S-P6A2-D05-L4_2step-P5-D05-EnvivoNIH-KD010-D0007-capscan</t>
  </si>
  <si>
    <t>sample_16S-P6A2-D05-L5_2step-P6-D05-EnvivoNIH-KD004-D0111A-capscan</t>
  </si>
  <si>
    <t>sample_16S-P6A2-D06-L4_2step-P5-D06-EnvivoNIH-KD010-D0008-stool</t>
  </si>
  <si>
    <t>sample_16S-P6A2-D06-L5_2step-P6-D06-EnvivoNIH-KD004-D0112A-capscan</t>
  </si>
  <si>
    <t>sample_16S-P6A2-D08-L4_2step-P5-D08-EnvivoNIH-KD014-D0010-capscan</t>
  </si>
  <si>
    <t>sample_16S-P6A2-D08-L5_2step-P6-D08-EnvivoNIH-KD003-D0114A-capscan</t>
  </si>
  <si>
    <t>sample_16S-P6A2-D09-L4_2step-P5-D09-EnvivoNIH-KD014-D0011-capscan</t>
  </si>
  <si>
    <t>sample_16S-P6A2-D09-L5_2step-P6-D09-EnvivoNIH-KD003-D0115A-capscan</t>
  </si>
  <si>
    <t>sample_16S-P6A2-D10-L4_2step-P5-D10-EnvivoNIH-KD014-D0012-stool</t>
  </si>
  <si>
    <t>sample_16S-P6A2-D10-L5_2step-P6-D10-EnvivoNIH-KD008-D0116A-capscan</t>
  </si>
  <si>
    <t>sample_16S-P6A2-D11-L4_2step-P5-D11-EnvivoNIH-KD017-D0013-capscan</t>
  </si>
  <si>
    <t>sample_16S-P6A2-D11-L5_2step-P6-D11-EnvivoNIH-KD008-D0117A-capscan</t>
  </si>
  <si>
    <t>sample_16S-P6A2-D12-L4_2step-P5-D12-EnvivoNIH-KD017-D0016-stool</t>
  </si>
  <si>
    <t>sample_16S-P6A2-D12-L5_2step-P6-D12-EnvivoNIH-KD008-D0118A-capscan</t>
  </si>
  <si>
    <t>sample_16S-P6A2-E01-L5_2step-P6-E01-EnvivoNIH-KD005-D0119A-capscan</t>
  </si>
  <si>
    <t>sample_16S-P6A2-E02-L5_2step-P6-E02-EnvivoNIH-KD007-D0120A-capscan</t>
  </si>
  <si>
    <t>sample_16S-P6A2-E03-L5_2step-P6-E03-EnvivoNIH-KD007-D0121A-capscan</t>
  </si>
  <si>
    <t>sample_16S-P6A2-E04-L5_2step-P6-E04-EnvivoNIH-KD009-D0129A-capscan</t>
  </si>
  <si>
    <t>sample_16S-P6A2-E05-L5_2step-P6-E05-EnvivoNIH-KD009-D0130A-capscan</t>
  </si>
  <si>
    <t>sample_16S-P6A2-E06-L5_2step-P6-E06-EnvivoNIH-KD009-D0131A-capscan</t>
  </si>
  <si>
    <t>sample_16S-P6A2-E07-L5_2step-P6-E07-EnvivoNIH-temp009-39G-saliva</t>
  </si>
  <si>
    <t>sample_16S-P6A2-E08-L5_2step-P6-E08-EnvivoNIH-temp009-A0160A-saliva</t>
  </si>
  <si>
    <t>sample_16S-P6A2-E09-L5_2step-P6-E09-EnvivoNIH-KC001-C0120A-saliva</t>
  </si>
  <si>
    <t>sample_16S-P6A2-E10-L5_2step-P6-E10-EnvivoNIH-KC006-C0121A-saliva</t>
  </si>
  <si>
    <t>sample_16S-P6A2-E11-L5_2step-P6-E11-EnvivoNIH-KC007-C0122A-saliva</t>
  </si>
  <si>
    <t>sample_16S-P6A2-E12-L5_2step-P6-E12-EnvivoNIH-KC014-C0123A-saliva</t>
  </si>
  <si>
    <t>sample_16S-P6A2-F01-L4_2step-P5-F01-EnvivoNIH-LS001-LS0001-capscan</t>
  </si>
  <si>
    <t>sample_16S-P6A2-F01-L5_2step-P6-F01-EnvivoNIH-KD004-D0122A-saliva</t>
  </si>
  <si>
    <t>sample_16S-P6A2-F02-L4_2step-P5-F02-EnvivoNIH-LS001-LS0002-capscan</t>
  </si>
  <si>
    <t>sample_16S-P6A2-F02-L5_2step-P6-F02-EnvivoNIH-KD005-D0123A-saliva</t>
  </si>
  <si>
    <t>sample_16S-P6A2-F03-L4_2step-P5-F03-EnvivoNIH-LS001-LS0003-capscan</t>
  </si>
  <si>
    <t>sample_16S-P6A2-F03-L5_2step-P6-F03-EnvivoNIH-KD007-D0124A-saliva</t>
  </si>
  <si>
    <t>sample_16S-P6A2-F04-L4_2step-P5-F04-EnvivoNIH-LS002-LS0004-capscan</t>
  </si>
  <si>
    <t>sample_16S-P6A2-F04-L5_2step-P6-F04-EnvivoNIH-KD008-D0125A-saliva</t>
  </si>
  <si>
    <t>sample_16S-P6A2-F05-L4_2step-P5-F05-EnvivoNIH-LS002-LS0005-capscan</t>
  </si>
  <si>
    <t>sample_16S-P6A2-F05-L5_2step-P6-F05-EnvivoNIH-KD010-D0126A-saliva</t>
  </si>
  <si>
    <t>sample_16S-P6A2-F06-L4_2step-P5-F06-EnvivoNIH-LS002-LS0006-capscan</t>
  </si>
  <si>
    <t>sample_16S-P6A2-F06-L5_2step-P6-F06-EnvivoNIH-KD013-D0127A-saliva</t>
  </si>
  <si>
    <t>sample_16S-P6A2-F07-L4_2step-P5-F07-EnvivoNIH-LS002-LS0007-capscan</t>
  </si>
  <si>
    <t>sample_16S-P6A2-F07-L5_2step-P6-F07-EnvivoNIH-KD014-D0128A-saliva</t>
  </si>
  <si>
    <t>sample_16S-P6A2-F08-L4_2step-P5-F08-EnvivoNIH-LS002-LS0008-capscan</t>
  </si>
  <si>
    <t>sample_16S-P6A2-F08-L5_2step-P6-F08-EnvivoNIH-KD999-D0132A-saliva</t>
  </si>
  <si>
    <t>sample_16S-P6A2-F09-L4_2step-P5-F09-EnvivoNIH-LS002-LS0009-capscan</t>
  </si>
  <si>
    <t>sample_16S-P6A2-F09-L5_2step-P6-F09-EnvivoNIH-KD009-D0133A-saliva</t>
  </si>
  <si>
    <t>sample_16S-P6A2-F10-L4_2step-P5-F10-EnvivoNIH-LS003-LS0010-capscan</t>
  </si>
  <si>
    <t>sample_16S-P6A2-F10-L5_2step-P6-F10-EnvivoNIH-KD001-D0150A-saliva</t>
  </si>
  <si>
    <t>sample_16S-P6A2-F11-L4_2step-P5-F11-EnvivoNIH-LS003-LS0011-capscan</t>
  </si>
  <si>
    <t>sample_16S-P6A2-F11-L5_2step-P6-F11-EnvivoNIH-KC001-C0124A-stool</t>
  </si>
  <si>
    <t>sample_16S-P6A2-F12-L4_2step-P5-F12-EnvivoNIH-LS003-LS0012-capscan</t>
  </si>
  <si>
    <t>sample_16S-P6A2-F12-L5_2step-P6-F12-EnvivoNIH-KC006-C0125A-stool</t>
  </si>
  <si>
    <t>sample_16S-P6A2-G01-L4_2step-P5-G01-EnvivoNIH-LS003-LS0013-capscan</t>
  </si>
  <si>
    <t>sample_16S-P6A2-G01-L5_2step-P6-G01-EnvivoNIH-KC007-C0126A-stool</t>
  </si>
  <si>
    <t>sample_16S-P6A2-G02-L4_2step-P5-G02-EnvivoNIH-LS004-LS0016-capscan</t>
  </si>
  <si>
    <t>sample_16S-P6A2-G02-L5_2step-P6-G02-EnvivoNIH-KC014-C0127A-stool</t>
  </si>
  <si>
    <t>sample_16S-P6A2-G03-L4_2step-P5-G03-EnvivoNIH-LS004-LS0017-capscan</t>
  </si>
  <si>
    <t>sample_16S-P6A2-G03-L5_2step-P6-G03-EnvivoNIH-KD009-D0134A-stool</t>
  </si>
  <si>
    <t>sample_16S-P6A2-G04-L4_2step-P5-G04-EnvivoNIH-LS004-LS0018-capscan</t>
  </si>
  <si>
    <t>sample_16S-P6A2-G04-L5_2step-P6-G04-EnvivoNIH-KD007-D0144A-stool</t>
  </si>
  <si>
    <t>sample_16S-P6A2-G05-L4_2step-P5-G05-EnvivoNIH-LS004-LS0019-capscan</t>
  </si>
  <si>
    <t>sample_16S-P6A2-G05-L5_2step-P6-G05-EnvivoNIH-KD003-D0145A-stool</t>
  </si>
  <si>
    <t>sample_16S-P6A2-G06-L4_2step-P5-G06-EnvivoNIH-LS004-LS0020-capscan</t>
  </si>
  <si>
    <t>sample_16S-P6A2-G06-L5_2step-P6-G06-EnvivoNIH-KD005-D0146A-stool</t>
  </si>
  <si>
    <t>sample_16S-P6A2-G07-L4_2step-P5-G07-EnvivoNIH-LS004-LS0021-capscan</t>
  </si>
  <si>
    <t>sample_16S-P6A2-G07-L5_2step-P6-G07-EnvivoNIH-KD004-D0147A-stool</t>
  </si>
  <si>
    <t>sample_16S-P6A2-G08-L4_2step-P5-G08-EnvivoNIH-LS004-LS0021-2-capscan</t>
  </si>
  <si>
    <t>sample_16S-P6A2-G08-L5_2step-P6-G08-EnvivoNIH-KD008-D0148A-stool</t>
  </si>
  <si>
    <t>sample_16S-P6A2-G09-L4_2step-P5-G09-EnvivoNIH-LS005-LS0022-capscan</t>
  </si>
  <si>
    <t>sample_16S-P6A2-G09-L5_2step-P6-G09-EnvivoNIH-KD999-D0149A-stool</t>
  </si>
  <si>
    <t>sample_16S-P6A2-G10-L4_2step-P5-G10-EnvivoNIH-LS005-LS0023-capscan</t>
  </si>
  <si>
    <t>sample_16S-P6A2-G10-L5_2step-P6-G10-EnvivoNIH-KD001-D0151A-stool</t>
  </si>
  <si>
    <t>sample_16S-P6A2-G11-L4_2step-P5-G11-EnvivoNIH-LS005-LS0024-capscan</t>
  </si>
  <si>
    <t>sample_16S-P6A2-G11-L5_2step-P6-G11-EnvivoNIH-temp009-A0160B-nasal</t>
  </si>
  <si>
    <t>sample_16S-P6A2-G12-L4_2step-P5-G12-EnvivoNIH-LS005-LS0025-capscan</t>
  </si>
  <si>
    <t>sample_16S-P6A2-H01-L4_2step-P5-H01-EnvivoNIH-LS005-LS0026-capscan</t>
  </si>
  <si>
    <t>sample_16S-P6A2-H02-L4_2step-P5-H02-EnvivoNIH-LS006-LS0028-capscan</t>
  </si>
  <si>
    <t>sample_16S-P6A2-H03-L4_2step-P5-H03-EnvivoNIH-LS006-LS0029-capscan</t>
  </si>
  <si>
    <t>sample_16S-P6A2-H04-L4_2step-P5-H04-EnvivoNIH-LS006-LS0030-capscan</t>
  </si>
  <si>
    <t>sample_16S-P6A2-H05-L4_2step-P5-H05-EnvivoNIH-LS006-LS0031-capscan</t>
  </si>
  <si>
    <t>sample_16S-P6A2-H06-L4_2step-P5-H06-EnvivoNIH-LS006-LS0032-capscan</t>
  </si>
  <si>
    <t>sample_16S-P6A2-H07-L4_2step-P5-H07-EnvivoNIH-LS006-LS0033-capscan</t>
  </si>
  <si>
    <t>sample_P3_A01_CCTCGCATGACC</t>
  </si>
  <si>
    <t>sample_P3_A02_GGCGTAACGGCA</t>
  </si>
  <si>
    <t>sample_P3_A03_GCGAGGAAGTCC</t>
  </si>
  <si>
    <t>sample_P3_A04_CAAATTCGGGAT</t>
  </si>
  <si>
    <t>sample_P3_A05_TTGTGTCTCCCT</t>
  </si>
  <si>
    <t>sample_P3_A06_CAATGTAGACAC</t>
  </si>
  <si>
    <t>sample_P3_A07_AACCACTAACCG</t>
  </si>
  <si>
    <t>sample_P3_A08_AACTTTCAGGAG</t>
  </si>
  <si>
    <t>sample_P3_A09_CCAGGACAGGAA</t>
  </si>
  <si>
    <t>sample_P3_A10_GCGCGGCGTTGC</t>
  </si>
  <si>
    <t>sample_P3_A11_GTCGCTTGCACA</t>
  </si>
  <si>
    <t>sample_P3_A12_TCCGCCTAGTCG</t>
  </si>
  <si>
    <t>sample_P3_B01_CGCGCAAGTATT</t>
  </si>
  <si>
    <t>sample_P3_B02_AATACAGACCTG</t>
  </si>
  <si>
    <t>sample_P3_B03_GGACAAGTGCGA</t>
  </si>
  <si>
    <t>sample_P3_B04_TACGGTCTGGAT</t>
  </si>
  <si>
    <t>sample_P3_B05_TTCAGTTCGTTA</t>
  </si>
  <si>
    <t>sample_P3_B06_CCGCGTCTCAAC</t>
  </si>
  <si>
    <t>sample_P3_B07_CCGAGGTATAAT</t>
  </si>
  <si>
    <t>sample_P3_B08_AGATTCGCTCGA</t>
  </si>
  <si>
    <t>sample_P3_D01_CGCAATGAGGGA</t>
  </si>
  <si>
    <t>sample_P3_D02_CCGCAGCCGCAG</t>
  </si>
  <si>
    <t>sample_P3_D03_TGGAGCCTTGTC</t>
  </si>
  <si>
    <t>sample_P3_D04_TTACTTATCCGA</t>
  </si>
  <si>
    <t>sample_P3_D05_ATGGGACCTTCA</t>
  </si>
  <si>
    <t>sample_P3_D06_TCCGATAATCGG</t>
  </si>
  <si>
    <t>sample_P3_D07_AAGTCACACACA</t>
  </si>
  <si>
    <t>sample_P3_D08_GAAGTAGCGAGC</t>
  </si>
  <si>
    <t>sample_P3_D09_CACCATCTCCGG</t>
  </si>
  <si>
    <t>sample_P3_D10_GTGTCGAGGGCA</t>
  </si>
  <si>
    <t>sample_P3_D11_TTCCACACGTGG</t>
  </si>
  <si>
    <t>sample_P3_D12_AGAATCCACCAC</t>
  </si>
  <si>
    <t>sample_P3_F01_CATTTGACGACG</t>
  </si>
  <si>
    <t>sample_P3_F02_ACTAAGTACCCG</t>
  </si>
  <si>
    <t>sample_P3_F03_CACCCTTGCGAC</t>
  </si>
  <si>
    <t>sample_P3_F04_GATGCCTAATGA</t>
  </si>
  <si>
    <t>sample_P3_F05_GTACGTCACTGA</t>
  </si>
  <si>
    <t>sample_P3_F06_TCGCTACAGATG</t>
  </si>
  <si>
    <t>sample_P3_F07_CCGGCTTATGTG</t>
  </si>
  <si>
    <t>sample_P3_F08_ATAGTCCTTTAA</t>
  </si>
  <si>
    <t>sample_P3_F09_TCGAGCCGATCT</t>
  </si>
  <si>
    <t>sample_P3_F10_AGTGCAGGAGCC</t>
  </si>
  <si>
    <t>sample_P3_F11_GTACTCGAACCA</t>
  </si>
  <si>
    <t>sample_P3_F12_ATAGGAATAACC</t>
  </si>
  <si>
    <t>sample_P3_G01_GCTGCGTATACC</t>
  </si>
  <si>
    <t>sample_P3_G02_CTCAGCGGGACG</t>
  </si>
  <si>
    <t>sample_P3_G03_ATGCCTCGTAAG</t>
  </si>
  <si>
    <t>sample_P3_G04_TTAGTTTGTCAC</t>
  </si>
  <si>
    <t>sample_P3_G05_CCGGCCGCGTGC</t>
  </si>
  <si>
    <t>sample_P3_G06_ATTATGATTATG</t>
  </si>
  <si>
    <t>sample_P3_G07_CGAATACTGACA</t>
  </si>
  <si>
    <t>sample_P3_G08_TCTTATAACGCT</t>
  </si>
  <si>
    <t>sample_P3_G09_TAAGGTCGATAA</t>
  </si>
  <si>
    <t>sample_P3_G10_GTTGCTGAGTCC</t>
  </si>
  <si>
    <t>sample_P3_G11_ACACCGCACAAT</t>
  </si>
  <si>
    <t>sample_P3_G12_CACAACCACAAC</t>
  </si>
  <si>
    <t>sample_P3_H01_GAGAAGCTTATA</t>
  </si>
  <si>
    <t>sample_P3_H02_GTTAACTTACTA</t>
  </si>
  <si>
    <t>sample_P3_H03_GTTGTTCTGGGA</t>
  </si>
  <si>
    <t>sample_P3_H04_AGGGTGACTTTA</t>
  </si>
  <si>
    <t>sample_P3_H05_GCCGCCAGGGTC</t>
  </si>
  <si>
    <t>sample_P3_H06_GCCACCGCCGGA</t>
  </si>
  <si>
    <t>sample_P3_H07_ACACACCCTGAC</t>
  </si>
  <si>
    <t>sample_P4_A01_TAGGACGGGAGT</t>
  </si>
  <si>
    <t>sample_P4_A02_AAGTCTTATCTC</t>
  </si>
  <si>
    <t>sample_P4_A03_TTGCACCGTCGA</t>
  </si>
  <si>
    <t>sample_P4_A04_CTCCGAACAACA</t>
  </si>
  <si>
    <t>sample_P4_A05_TCTGGCTACGAC</t>
  </si>
  <si>
    <t>sample_P4_A06_AGTAGTTTCCTT</t>
  </si>
  <si>
    <t>sample_P4_A07_CAGATCCCAACC</t>
  </si>
  <si>
    <t>sample_P4_A08_GATAGCACTCGT</t>
  </si>
  <si>
    <t>sample_P4_A09_GTAATTGTAATT</t>
  </si>
  <si>
    <t>sample_P4_A10_TGCTACAGACGT</t>
  </si>
  <si>
    <t>sample_P4_A11_AGGTGAGTTCTA</t>
  </si>
  <si>
    <t>sample_P4_A12_AACGATCATAGA</t>
  </si>
  <si>
    <t>sample_P4_B01_GTTTGGCCACAC</t>
  </si>
  <si>
    <t>sample_P4_B02_GTCCTACACAGC</t>
  </si>
  <si>
    <t>sample_P4_B03_ATTTACAATTGA</t>
  </si>
  <si>
    <t>sample_P4_B04_CCACTGCCCACC</t>
  </si>
  <si>
    <t>sample_P4_B05_ATAGTTAGGGCT</t>
  </si>
  <si>
    <t>sample_P4_B06_GACCCGTTTCGC</t>
  </si>
  <si>
    <t>sample_P4_B07_TGACTGCGTTAG</t>
  </si>
  <si>
    <t>sample_P4_B08_ACGTTAATATTC</t>
  </si>
  <si>
    <t>sample_P4_B09_TCTAACGAGTGC</t>
  </si>
  <si>
    <t>sample_P4_B10_GATCCCACGTAC</t>
  </si>
  <si>
    <t>sample_P4_B11_CCGCCAGCTTTG</t>
  </si>
  <si>
    <t>sample_P4_B12_TCATCTTGATTG</t>
  </si>
  <si>
    <t>sample_P4_C01_TATATAGTATCC</t>
  </si>
  <si>
    <t>sample_P4_C02_ACTGTTTACTGT</t>
  </si>
  <si>
    <t>sample_P4_C03_GTCACGGACATT</t>
  </si>
  <si>
    <t>sample_P4_C04_GAATATACCTGG</t>
  </si>
  <si>
    <t>sample_P4_C05_GAATCTGACAAC</t>
  </si>
  <si>
    <t>sample_P4_C06_ATTGCCTTGATT</t>
  </si>
  <si>
    <t>sample_P4_C07_GAGCCCAAAGAG</t>
  </si>
  <si>
    <t>sample_P4_C08_CCATGTGGCTCC</t>
  </si>
  <si>
    <t>sample_P4_C09_CGTTCCTTGTTA</t>
  </si>
  <si>
    <t>sample_P4_C10_CGCTAGGATGTT</t>
  </si>
  <si>
    <t>sample_P4_C11_AGCGGTAGCGGT</t>
  </si>
  <si>
    <t>sample_P4_C12_GTCAGTATGGCT</t>
  </si>
  <si>
    <t>sample_P4_D01_CATAAGGGAGGC</t>
  </si>
  <si>
    <t>sample_P4_D02_CAGGCCACTCTC</t>
  </si>
  <si>
    <t>sample_P4_D03_ACAGTTGTACGC</t>
  </si>
  <si>
    <t>sample_P4_D04_ACCAGAAATGTC</t>
  </si>
  <si>
    <t>sample_P4_D05_CTCATCATGTTC</t>
  </si>
  <si>
    <t>sample_P4_D06_TTAGGATTCTAT</t>
  </si>
  <si>
    <t>sample_P4_D07_CAACGAACCATC</t>
  </si>
  <si>
    <t>sample_P4_D08_ACACGTTTGGGT</t>
  </si>
  <si>
    <t>sample_P4_D09_CGTCGCAGCCTT</t>
  </si>
  <si>
    <t>sample_P4_D10_CTACTTACATCC</t>
  </si>
  <si>
    <t>sample_P4_D11_CGCACGTACCTC</t>
  </si>
  <si>
    <t>sample_P4_D12_GTCCTCGCGACT</t>
  </si>
  <si>
    <t>sample_P4_E01_GTGCAACCAATC</t>
  </si>
  <si>
    <t>sample_P4_E02_ACCCAAGCGTTA</t>
  </si>
  <si>
    <t>sample_P4_E03_ACTGGCAAACCT</t>
  </si>
  <si>
    <t>sample_P4_E04_AACACCATCGAC</t>
  </si>
  <si>
    <t>sample_P4_E05_TTATCCAGTCCT</t>
  </si>
  <si>
    <t>sample_P4_E06_GTTTATCTTAAG</t>
  </si>
  <si>
    <t>sample_P4_E07_GTTCGCCGCATC</t>
  </si>
  <si>
    <t>sample_P4_E08_AGACTATTTCAT</t>
  </si>
  <si>
    <t>sample_P4_E09_AGCGATTCCTCG</t>
  </si>
  <si>
    <t>sample_P4_E10_ACCACCGTAACC</t>
  </si>
  <si>
    <t>sample_P4_E11_AGGAAGTAACTT</t>
  </si>
  <si>
    <t>sample_P4_E12_CGTTCGCTAGCC</t>
  </si>
  <si>
    <t>sample_P4_F01_CTCACCTAGGAA</t>
  </si>
  <si>
    <t>sample_P4_F02_AGATGCAATGAT</t>
  </si>
  <si>
    <t>sample_P4_F03_GCATTCGGCGTT</t>
  </si>
  <si>
    <t>sample_P4_F04_TCTACATACATA</t>
  </si>
  <si>
    <t>sample_P4_F05_GAGTCTTGGTAA</t>
  </si>
  <si>
    <t>sample_P4_F06_CAGTCTAGTACG</t>
  </si>
  <si>
    <t>sample_P4_F07_GTTCGAGTGAAT</t>
  </si>
  <si>
    <t>sample_P4_F08_AGTCCGAGTTGT</t>
  </si>
  <si>
    <t>sample_P4_F09_CGTGAGGACCAG</t>
  </si>
  <si>
    <t>sample_P4_F10_CGGTTGGCGGGT</t>
  </si>
  <si>
    <t>sample_P4_F11_CGATTCCTTAAT</t>
  </si>
  <si>
    <t>sample_P4_F12_TGCCTGCTCGAC</t>
  </si>
  <si>
    <t>sample_P4_G01_TACTGTACTGTT</t>
  </si>
  <si>
    <t>sample_P4_G02_TCTCGCACTGGA</t>
  </si>
  <si>
    <t>sample_P4_G03_ACCAGTGACTCA</t>
  </si>
  <si>
    <t>sample_P4_G04_TGGCGCACGGAC</t>
  </si>
  <si>
    <t>sample_P4_G05_CATTTACATCAC</t>
  </si>
  <si>
    <t>sample_P4_G06_GTGGGACTGCGC</t>
  </si>
  <si>
    <t>sample_P4_G07_CGGCCTAAGTTC</t>
  </si>
  <si>
    <t>sample_P4_G08_GCTGAGCCTTTG</t>
  </si>
  <si>
    <t>sample_P4_G09_AGAGACGCGTAG</t>
  </si>
  <si>
    <t>sample_P4_G10_CCACCGGGCCGA</t>
  </si>
  <si>
    <t>sample_P4_G11_AATCCGGTCACC</t>
  </si>
  <si>
    <t>sample_16S-P6A2-A01-L3_P4-A01-Klebsiella-GF-m1-ProxSI</t>
  </si>
  <si>
    <t>sample_16S-P6A2-A02-L3_P4-A02-Klebsiella-GF-m2-ProxSI</t>
  </si>
  <si>
    <t>sample_16S-P6A2-A03-L3_P4-A03-Klebsiella-GF-m3-ProxSI</t>
  </si>
  <si>
    <t>sample_16S-P6A2-A04-L3_P4-A04-Klebsiella-SynStool-m1-ProxSI</t>
  </si>
  <si>
    <t>sample_16S-P6A2-A05-L3_P4-A05-Klebsiella-SynStool-m2-ProxSI</t>
  </si>
  <si>
    <t>sample_16S-P6A2-A06-L3_P4-A06-Klebsiella-SynStool-m3-ProxSI</t>
  </si>
  <si>
    <t>sample_16S-P6A2-A07-L3_P4-A07-Klebsiella-SynStool-m4-ProxSI</t>
  </si>
  <si>
    <t>sample_16S-P6A2-A08-L3_P4-A08-Klebsiella-SynStoolSI-m1-ProxSI</t>
  </si>
  <si>
    <t>sample_16S-P6A2-A09-L3_P4-A09-Klebsiella-SynStoolSI-m2-ProxSI</t>
  </si>
  <si>
    <t>sample_16S-P6A2-A10-L3_P4-A10-Klebsiella-SynStoolSI-m3-ProxSI</t>
  </si>
  <si>
    <t>sample_16S-P6A2-A11-L3_P4-A11-Klebsiella-SynStoolSI-m4-ProxSI</t>
  </si>
  <si>
    <t>sample_16S-P6A2-A12-L3_P4-A12-Klebsiella-GF-m1-MidSI</t>
  </si>
  <si>
    <t>sample_16S-P6A2-B01-L3_P4-B01-Klebsiella-GF-m2-MidSI</t>
  </si>
  <si>
    <t>sample_16S-P6A2-B02-L3_P4-B02-Klebsiella-GF-m3-MidSI</t>
  </si>
  <si>
    <t>sample_16S-P6A2-B03-L3_P4-B03-Klebsiella-SynStool-m1-MidSI</t>
  </si>
  <si>
    <t>sample_16S-P6A2-B04-L3_P4-B04-Klebsiella-SynStool-m2-MidSI</t>
  </si>
  <si>
    <t>sample_16S-P6A2-B05-L3_P4-B05-Klebsiella-SynStool-m3-MidSI</t>
  </si>
  <si>
    <t>sample_16S-P6A2-B06-L3_P4-B06-Klebsiella-SynStool-m4-MidSI</t>
  </si>
  <si>
    <t>sample_16S-P6A2-B07-L3_P4-B07-Klebsiella-SynStoolSI-m1-MidSI</t>
  </si>
  <si>
    <t>sample_16S-P6A2-B08-L3_P4-B08-Klebsiella-SynStoolSI-m2-MidSI</t>
  </si>
  <si>
    <t>sample_16S-P6A2-B09-L3_P4-B09-Klebsiella-SynStoolSI-m3-MidSI</t>
  </si>
  <si>
    <t>sample_16S-P6A2-B10-L3_P4-B10-Klebsiella-SynStoolSI-m4-MidSI</t>
  </si>
  <si>
    <t>sample_16S-P6A2-B11-L3_P4-B11-Klebsiella-GF-m1-DistalSI</t>
  </si>
  <si>
    <t>sample_16S-P6A2-B12-L3_P4-B12-Klebsiella-GF-m2-DistalSI</t>
  </si>
  <si>
    <t>sample_16S-P6A2-C01-L3_P4-C01-Klebsiella-GF-m3-DistalSI</t>
  </si>
  <si>
    <t>sample_16S-P6A2-C02-L3_P4-C02-Klebsiella-SynStool-m1-DistalSI</t>
  </si>
  <si>
    <t>sample_16S-P6A2-C03-L3_P4-C03-Klebsiella-SynStool-m2-DistalSI</t>
  </si>
  <si>
    <t>sample_16S-P6A2-C04-L3_P4-C04-Klebsiella-SynStool-m3-DistalSI</t>
  </si>
  <si>
    <t>sample_16S-P6A2-C05-L3_P4-C05-Klebsiella-SynStool-m4-DistalSI</t>
  </si>
  <si>
    <t>sample_16S-P6A2-C06-L3_P4-C06-Klebsiella-SynStoolSI-m1-DistalSI</t>
  </si>
  <si>
    <t>sample_16S-P6A2-C07-L3_P4-C07-Klebsiella-SynStoolSI-m2-DistalSI</t>
  </si>
  <si>
    <t>sample_16S-P6A2-C08-L3_P4-C08-Klebsiella-SynStoolSI-m3-DistalSI</t>
  </si>
  <si>
    <t>sample_16S-P6A2-C09-L3_P4-C09-Klebsiella-SynStoolSI-m4-DistalSI</t>
  </si>
  <si>
    <t>sample_16S-P6A2-C10-L3_P4-C10-Klebsiella-GF-m1-Cecum</t>
  </si>
  <si>
    <t>sample_16S-P6A2-C11-L3_P4-C11-Klebsiella-GF-m2-Cecum</t>
  </si>
  <si>
    <t>sample_16S-P6A2-C12-L3_P4-C12-Klebsiella-GF-m3-Cecum</t>
  </si>
  <si>
    <t>sample_16S-P6A2-D01-L3_P4-D01-Klebsiella-SynStool-m1-Cecum</t>
  </si>
  <si>
    <t>sample_16S-P6A2-D02-L3_P4-D02-Klebsiella-SynStool-m2-Cecum</t>
  </si>
  <si>
    <t>sample_16S-P6A2-D03-L3_P4-D03-Klebsiella-SynStool-m3-Cecum</t>
  </si>
  <si>
    <t>sample_16S-P6A2-D04-L3_P4-D04-Klebsiella-SynStool-m4-Cecum</t>
  </si>
  <si>
    <t>sample_16S-P6A2-D05-L3_P4-D05-Klebsiella-SynStoolSI-m1-Cecum</t>
  </si>
  <si>
    <t>sample_16S-P6A2-D06-L3_P4-D06-Klebsiella-SynStoolSI-m2-Cecum</t>
  </si>
  <si>
    <t>sample_16S-P6A2-D08-L3_P4-D08-Klebsiella-SynStoolSI-m4-Cecum</t>
  </si>
  <si>
    <t>sample_16S-P6A2-D09-L3_P4-D09-Klebsiella-GF-m1-Feces</t>
  </si>
  <si>
    <t>sample_16S-P6A2-D10-L3_P4-D10-Klebsiella-GF-m2-Feces</t>
  </si>
  <si>
    <t>sample_16S-P6A2-D11-L3_P4-D11-Klebsiella-GF-m3-Feces</t>
  </si>
  <si>
    <t>sample_16S-P6A2-D12-L3_P4-D12-Klebsiella-SynStool-m1-Feces</t>
  </si>
  <si>
    <t>sample_16S-P6A2-E01-L3_P4-E01-Klebsiella-SynStool-m2-Feces</t>
  </si>
  <si>
    <t>sample_16S-P6A2-E02-L3_P4-E02-Klebsiella-SynStool-m3-Feces</t>
  </si>
  <si>
    <t>sample_16S-P6A2-E03-L3_P4-E03-Klebsiella-SynStool-m4-Feces</t>
  </si>
  <si>
    <t>sample_16S-P6A2-E04-L3_P4-E04-Klebsiella-SynStoolSI-m1-Feces</t>
  </si>
  <si>
    <t>sample_16S-P6A2-E05-L3_P4-E05-Klebsiella-SynStoolSI-m2-Feces</t>
  </si>
  <si>
    <t>sample_16S-P6A2-E06-L3_P4-E06-Klebsiella-SynStoolSI-m3-Feces</t>
  </si>
  <si>
    <t>sample_16S-P6A2-E07-L3_P4-E07-Klebsiella-SynStoolSI-m4-Feces</t>
  </si>
  <si>
    <t>sample_16S-P6A2-F05-L3_P4-F05-Klebsiella-SynSI1-mNA-input</t>
  </si>
  <si>
    <t>sample_16S-P6A2-F06-L3_P4-F06-Klebsiella-SynSI2-mNA-input</t>
  </si>
  <si>
    <t>sample_16S-P6A2-F07-L3_P4-F07-Klebsiella-SynStool1-mNA-input</t>
  </si>
  <si>
    <t>sample_16S-P6A2-F08-L3_P4-F08-Klebsiella-SynStool2-mNA-input</t>
  </si>
  <si>
    <t>sample_16S-P6A2-F09-L3_P4-F09-Klebsiella-SynStoolSI1to1-mNA-input</t>
  </si>
  <si>
    <t>sample_16S-P6A2-F10-L3_P4-F10-Klebsiella-SynStoolSI1to1-mNA-input</t>
  </si>
  <si>
    <t>sample_16S-P6A2-F11-L3_P4-F11-Klebsiella-SynStoolSI1to1-mNA-input</t>
  </si>
  <si>
    <t>sample_16S-P6A2-H11-L2_P3-H11-Klebsiella-Klebonly-m0-Feces</t>
  </si>
  <si>
    <t>sample_16S-P6A2-H12-L2_P3-H12-Klebsiella-Klebonly-m0-Feces</t>
  </si>
  <si>
    <t>sample_16S-NA-Unk1-L3_P4-D07-Klebsiella-SynStoolSI-m3-Cecum</t>
  </si>
  <si>
    <t>sample_16S-NA-Unk2-L3_P4-D07-Klebsiella-SynStoolSI-m3-Cecum</t>
  </si>
  <si>
    <t>sample_16S-P6A2-A01-L0_P1-A01-MouseAvatar-KD34-Capsule-m1-ProxSI</t>
  </si>
  <si>
    <t>sample_16S-P4-A1-A01-L4_P8-A01-MouseAvatar-KD34-Capsule-m1-ProxSI</t>
  </si>
  <si>
    <t>sample_16S-P6A2-A02-L0_P1-A02-MouseAvatar-KD34-Capsule-m2-ProxSI</t>
  </si>
  <si>
    <t>sample_16S-P4-A1-A02-L4_P8-A02-MouseAvatar-KD34-Capsule-m2-ProxSI</t>
  </si>
  <si>
    <t>sample_16S-P6A2-A03-L0_P1-A03-MouseAvatar-KD34-Capsule-m3-ProxSI</t>
  </si>
  <si>
    <t>sample_16S-P4-A1-A03-L4_P8-A03-MouseAvatar-KD34-Capsule-m3-ProxSI</t>
  </si>
  <si>
    <t>sample_16S-P6A2-A04-L0_P1-A04-MouseAvatar-KD34-Capsule-m4-ProxSI</t>
  </si>
  <si>
    <t>sample_16S-P4-A1-A04-L4_P8-A04-MouseAvatar-KD34-Capsule-m4-ProxSI</t>
  </si>
  <si>
    <t>sample_16S-P6A2-A05-L0_P1-A05-MouseAvatar-KD34-CapsuleStool-m1-ProxSI</t>
  </si>
  <si>
    <t>sample_16S-P4-A1-A05-L4_P8-A05-MouseAvatar-KD34-CapsuleStool-m1-ProxSI</t>
  </si>
  <si>
    <t>sample_16S-P6A2-A06-L0_P1-A06-MouseAvatar-KD34-CapsuleStool-m2-ProxSI</t>
  </si>
  <si>
    <t>sample_16S-P4-A1-A06-L4_P8-A06-MouseAvatar-KD34-CapsuleStool-m2-ProxSI</t>
  </si>
  <si>
    <t>sample_16S-P6A2-A07-L0_P1-A07-MouseAvatar-KD34-CapsuleStool-m3-ProxSI</t>
  </si>
  <si>
    <t>sample_16S-P4-A1-A07-L4_P8-A07-MouseAvatar-KD34-CapsuleStool-m3-ProxSI</t>
  </si>
  <si>
    <t>sample_16S-P6A2-A08-L0_P1-A08-MouseAvatar-KD34-CapsuleStool-m4-ProxSI</t>
  </si>
  <si>
    <t>sample_16S-P4-A1-A08-L4_P8-A08-MouseAvatar-KD34-CapsuleStool-m4-ProxSI</t>
  </si>
  <si>
    <t>sample_16S-P6A2-A09-L0_P1-A09-MouseAvatar-KD34-Stool-m1-ProxSI</t>
  </si>
  <si>
    <t>sample_16S-P4-A1-A09-L4_P8-A09-MouseAvatar-KD34-Stool-m1-ProxSI</t>
  </si>
  <si>
    <t>sample_16S-P6A2-A10-L0_P1-A10-MouseAvatar-KD34-Stool-m2-ProxSI</t>
  </si>
  <si>
    <t>sample_16S-P4-A1-A10-L4_P8-A10-MouseAvatar-KD34-Stool-m2-ProxSI</t>
  </si>
  <si>
    <t>sample_16S-P6A2-A11-L0_P1-A11-MouseAvatar-KD34-Stool-m3-ProxSI</t>
  </si>
  <si>
    <t>sample_16S-P4-A1-A11-L4_P8-A11-MouseAvatar-KD34-Stool-m3-ProxSI</t>
  </si>
  <si>
    <t>sample_16S-P6A2-A12-L0_P1-A12-MouseAvatar-KD34-Stool-m4-ProxSI</t>
  </si>
  <si>
    <t>sample_16S-P4-A1-A12-L4_P8-A12-MouseAvatar-KD34-Stool-m4-ProxSI</t>
  </si>
  <si>
    <t>sample_16S-P6A2-B01-L0_P1-B01-MouseAvatar-KD32-Capsule-m1-ProxSI</t>
  </si>
  <si>
    <t>sample_16S-P4-A1-B01-L4_P8-B01-MouseAvatar-KD32-Capsule-m1-ProxSI</t>
  </si>
  <si>
    <t>sample_16S-P6A2-B02-L0_P1-B02-MouseAvatar-KD32-Capsule-m2-ProxSI</t>
  </si>
  <si>
    <t>sample_16S-P4-A1-B02-L4_P8-B02-MouseAvatar-KD32-Capsule-m2-ProxSI</t>
  </si>
  <si>
    <t>sample_16S-P6A2-B03-L0_P1-B03-MouseAvatar-KD32-Capsule-m3-ProxSI</t>
  </si>
  <si>
    <t>sample_16S-P4-A1-B03-L4_P8-B03-MouseAvatar-KD32-Capsule-m3-ProxSI</t>
  </si>
  <si>
    <t>sample_16S-P6A2-B04-L0_P1-B04-MouseAvatar-KD32-Capsule-m4-ProxSI</t>
  </si>
  <si>
    <t>sample_16S-P4-A1-B04-L4_P8-B04-MouseAvatar-KD32-Capsule-m4-ProxSI</t>
  </si>
  <si>
    <t>sample_16S-P6A2-B05-L0_P1-B05-MouseAvatar-KD32-Capsule-m5-ProxSI</t>
  </si>
  <si>
    <t>sample_16S-P4-A1-B05-L4_P8-B05-MouseAvatar-KD32-Capsule-m5-ProxSI</t>
  </si>
  <si>
    <t>sample_16S-P6A2-B06-L0_P1-B06-MouseAvatar-KD32-CapsuleStool-m1-ProxSI</t>
  </si>
  <si>
    <t>sample_16S-P4-A1-B06-L4_P8-B06-MouseAvatar-KD32-CapsuleStool-m1-ProxSI</t>
  </si>
  <si>
    <t>sample_16S-P6A2-B07-L0_P1-B07-MouseAvatar-KD32-CapsuleStool-m2-ProxSI</t>
  </si>
  <si>
    <t>sample_16S-P4-A1-B07-L4_P8-B07-MouseAvatar-KD32-CapsuleStool-m2-ProxSI</t>
  </si>
  <si>
    <t>sample_16S-P6A2-B08-L0_P1-B08-MouseAvatar-KD32-CapsuleStool-m3-ProxSI</t>
  </si>
  <si>
    <t>sample_16S-P4-A1-B08-L4_P8-B08-MouseAvatar-KD32-CapsuleStool-m3-ProxSI</t>
  </si>
  <si>
    <t>sample_16S-P6A2-B09-L0_P1-B09-MouseAvatar-KD32-CapsuleStool-m4-ProxSI</t>
  </si>
  <si>
    <t>sample_16S-P4-A1-B09-L4_P8-B09-MouseAvatar-KD32-CapsuleStool-m4-ProxSI</t>
  </si>
  <si>
    <t>sample_16S-P6A2-B10-L0_P1-B10-MouseAvatar-KD32-CapsuleStool-m5-ProxSI</t>
  </si>
  <si>
    <t>sample_16S-P4-A1-B10-L4_P8-B10-MouseAvatar-KD32-CapsuleStool-m5-ProxSI</t>
  </si>
  <si>
    <t>sample_16S-P6A2-B11-L0_P1-B11-MouseAvatar-KD32-Stool1-m1-ProxSI</t>
  </si>
  <si>
    <t>sample_16S-P4-A1-B11-L4_P8-B11-MouseAvatar-KD32-Stool1-m1-ProxSI</t>
  </si>
  <si>
    <t>sample_16S-P6A2-B12-L0_P1-B12-MouseAvatar-KD32-Stool1-m2-ProxSI</t>
  </si>
  <si>
    <t>sample_16S-P4-A1-B12-L4_P8-B12-MouseAvatar-KD32-Stool1-m2-ProxSI</t>
  </si>
  <si>
    <t>sample_16S-P6A2-C01-L0_P1-C01-MouseAvatar-KD32-Stool1-m3-ProxSI</t>
  </si>
  <si>
    <t>sample_16S-P4-A1-C01-L4_P8-C01-MouseAvatar-KD32-Stool1-m3-ProxSI</t>
  </si>
  <si>
    <t>sample_16S-P6A2-C02-L0_P1-C02-MouseAvatar-KD32-Stool1-m4-ProxSI</t>
  </si>
  <si>
    <t>sample_16S-P4-A1-C02-L4_P8-C02-MouseAvatar-KD32-Stool1-m4-ProxSI</t>
  </si>
  <si>
    <t>sample_16S-P6A2-C03-L0_P1-C03-MouseAvatar-KD32-Stool2-m1-ProxSI</t>
  </si>
  <si>
    <t>sample_16S-P4-A1-C03-L4_P8-C03-MouseAvatar-KD32-Stool2-m1-ProxSI</t>
  </si>
  <si>
    <t>sample_16S-P6A2-C04-L0_P1-C04-MouseAvatar-KD32-Stool2-m2-ProxSI</t>
  </si>
  <si>
    <t>sample_16S-P4-A1-C04-L4_P8-C04-MouseAvatar-KD32-Stool2-m2-ProxSI</t>
  </si>
  <si>
    <t>sample_16S-P6A2-C05-L0_P1-C05-MouseAvatar-KD32-Stool2-m3-ProxSI</t>
  </si>
  <si>
    <t>sample_16S-P4-A1-C05-L4_P8-C05-MouseAvatar-KD32-Stool2-m3-ProxSI</t>
  </si>
  <si>
    <t>sample_16S-P6A2-C06-L0_P1-C06-MouseAvatar-KD32-Stool2-m4-ProxSI</t>
  </si>
  <si>
    <t>sample_16S-P4-A1-C06-L4_P8-C06-MouseAvatar-KD32-Stool2-m4-ProxSI</t>
  </si>
  <si>
    <t>sample_16S-P6A2-C07-L0_P1-C07-MouseAvatar-KD32-Stool2-m5-ProxSI</t>
  </si>
  <si>
    <t>sample_16S-P4-A1-C07-L4_P8-C07-MouseAvatar-KD32-Stool2-m5-ProxSI</t>
  </si>
  <si>
    <t>sample_16S-P6A2-C08-L0_P1-C08-MouseAvatar-KD32-Stool3-m1-ProxSI</t>
  </si>
  <si>
    <t>sample_16S-P4-A1-C08-L4_P8-C08-MouseAvatar-KD32-Stool3-m1-ProxSI</t>
  </si>
  <si>
    <t>sample_16S-P6A2-C09-L0_P1-C09-MouseAvatar-KD32-Stool3-m2-ProxSI</t>
  </si>
  <si>
    <t>sample_16S-P4-A1-C09-L4_P8-C09-MouseAvatar-KD32-Stool3-m2-ProxSI</t>
  </si>
  <si>
    <t>sample_16S-P6A2-C10-L0_P1-C10-MouseAvatar-KD31-Capsule-m1-ProxSI</t>
  </si>
  <si>
    <t>sample_16S-P4-A1-C10-L4_P8-C10-MouseAvatar-KD31-Capsule-m1-ProxSI</t>
  </si>
  <si>
    <t>sample_16S-P6A2-C11-L0_P1-C11-MouseAvatar-KD31-Capsule-m2-ProxSI</t>
  </si>
  <si>
    <t>sample_16S-P4-A1-C11-L4_P8-C11-MouseAvatar-KD31-Capsule-m2-ProxSI</t>
  </si>
  <si>
    <t>sample_16S-P6A2-C12-L0_P1-C12-MouseAvatar-KD31-Capsule-m3-ProxSI</t>
  </si>
  <si>
    <t>sample_16S-P4-A1-C12-L4_P8-C12-MouseAvatar-KD31-Capsule-m3-ProxSI</t>
  </si>
  <si>
    <t>sample_16S-P6A2-D01-L0_P1-D01-MouseAvatar-KD31-Capsule-m4-ProxSI</t>
  </si>
  <si>
    <t>sample_16S-P4-A1-D01-L4_P8-D01-MouseAvatar-KD31-Capsule-m4-ProxSI</t>
  </si>
  <si>
    <t>sample_16S-P6A2-D02-L0_P1-D02-MouseAvatar-KD32-Stool1-m1-ProxSI</t>
  </si>
  <si>
    <t>sample_16S-P4-A1-D02-L4_P8-D02-MouseAvatar-KD32-Stool1-m1-ProxSI</t>
  </si>
  <si>
    <t>sample_16S-P6A2-D03-L0_P1-D03-MouseAvatar-KD33-Stool1-m2-ProxSI</t>
  </si>
  <si>
    <t>sample_16S-P4-A1-D03-L4_P8-D03-MouseAvatar-KD32-Stool1-m2-ProxSI</t>
  </si>
  <si>
    <t>sample_16S-P6A2-D04-L0_P1-D04-MouseAvatar-KD34-Stool1-m3-ProxSI</t>
  </si>
  <si>
    <t>sample_16S-P4-A1-D04-L4_P8-D04-MouseAvatar-KD32-Stool1-m3-ProxSI</t>
  </si>
  <si>
    <t>sample_16S-P6A2-D05-L0_P1-D05-MouseAvatar-KD35-Stool1-m4-ProxSI</t>
  </si>
  <si>
    <t>sample_16S-P4-A1-D05-L4_P8-D05-MouseAvatar-KD32-Stool1-m4-ProxSI</t>
  </si>
  <si>
    <t>sample_16S-P6A2-D06-L0_P1-D06-MouseAvatar-KD36-Stool1-m5-ProxSI</t>
  </si>
  <si>
    <t>sample_16S-P4-A1-D06-L4_P8-D06-MouseAvatar-KD32-Stool1-m5-ProxSI</t>
  </si>
  <si>
    <t>sample_16S-P6A2-D08-L0_P1-D08-MouseAvatar-KD38-Stool2-m2-ProxSI</t>
  </si>
  <si>
    <t>sample_16S-P4-A1-D08-L4_P8-D08-MouseAvatar-KD32-Stool2-m2-ProxSI</t>
  </si>
  <si>
    <t>sample_16S-P6A2-D09-L0_P1-D09-MouseAvatar-KD39-Stool2-m3-ProxSI</t>
  </si>
  <si>
    <t>sample_16S-P4-A1-D09-L4_P8-D09-MouseAvatar-KD32-Stool2-m3-ProxSI</t>
  </si>
  <si>
    <t>sample_16S-P6A2-D10-L0_P1-D10-MouseAvatar-KD40-Stool2-m4-ProxSI</t>
  </si>
  <si>
    <t>sample_16S-P4-A1-D10-L4_P8-D10-MouseAvatar-KD32-Stool2-m4-ProxSI</t>
  </si>
  <si>
    <t>sample_16S-P6A2-D11-L0_P1-D11-MouseAvatar-KD41-Stool2-m5-ProxSI</t>
  </si>
  <si>
    <t>sample_16S-P4-A1-D11-L4_P8-D11-MouseAvatar-KD32-Stool2-m5-ProxSI</t>
  </si>
  <si>
    <t>sample_16S-P6A2-D12-L0_P1-D12-MouseAvatar-KD42-Stool3-m1-ProxSI</t>
  </si>
  <si>
    <t>sample_16S-P4-A1-D12-L4_P8-D12-MouseAvatar-KD32-Stool3-m1-ProxSI</t>
  </si>
  <si>
    <t>sample_16S-P6A2-E01-L0_P1-E01-MouseAvatar-KD43-Stool3-m2-ProxSI</t>
  </si>
  <si>
    <t>sample_16S-P4-A1-E01-L4_P8-E01-MouseAvatar-KD32-Stool3-m2-ProxSI</t>
  </si>
  <si>
    <t>sample_16S-P6A2-E02-L0_P1-E02-MouseAvatar-KD44-Stool3-m3-ProxSI</t>
  </si>
  <si>
    <t>sample_16S-P4-A1-E02-L4_P8-E02-MouseAvatar-KD32-Stool3-m3-ProxSI</t>
  </si>
  <si>
    <t>sample_16S-P6A2-E03-L0_P1-E03-MouseAvatar-KD45-Stool3-m4-ProxSI</t>
  </si>
  <si>
    <t>sample_16S-P4-A1-E03-L4_P8-E03-MouseAvatar-KD32-Stool3-m4-ProxSI</t>
  </si>
  <si>
    <t>sample_16S-P6A2-E04-L0_P1-E04-MouseAvatar-KD46-Stool3-m5-ProxSI</t>
  </si>
  <si>
    <t>sample_16S-P4-A1-E04-L4_P8-E04-MouseAvatar-KD32-Stool3-m5-ProxSI</t>
  </si>
  <si>
    <t>sample_16S-P6A2-E05-L0_P1-E05-MouseAvatar-KD34-Capsule-m1-MidSI</t>
  </si>
  <si>
    <t>sample_16S-P4-A1-E05-L4_P8-E05-MouseAvatar-KD34-Capsule-m1-MidSI</t>
  </si>
  <si>
    <t>sample_16S-P6A2-E06-L0_P1-E06-MouseAvatar-KD34-Capsule-m2-MidSI</t>
  </si>
  <si>
    <t>sample_16S-P4-A1-E06-L4_P8-E06-MouseAvatar-KD34-Capsule-m2-MidSI</t>
  </si>
  <si>
    <t>sample_16S-P6A2-E07-L0_P1-E07-MouseAvatar-KD34-Capsule-m3-MidSI</t>
  </si>
  <si>
    <t>sample_16S-P4-A1-E07-L4_P8-E07-MouseAvatar-KD34-Capsule-m3-MidSI</t>
  </si>
  <si>
    <t>sample_16S-P6A2-E08-L0_P1-E08-MouseAvatar-KD34-Capsule-m4-MidSI</t>
  </si>
  <si>
    <t>sample_16S-P4-A1-E08-L4_P8-E08-MouseAvatar-KD34-Capsule-m4-MidSI</t>
  </si>
  <si>
    <t>sample_16S-P6A2-E09-L0_P1-E09-MouseAvatar-KD34-CapsuleStool-m1-MidSI</t>
  </si>
  <si>
    <t>sample_16S-P4-A1-E09-L4_P8-E09-MouseAvatar-KD34-CapsuleStool-m1-MidSI</t>
  </si>
  <si>
    <t>sample_16S-P6A2-E10-L0_P1-E10-MouseAvatar-KD34-CapsuleStool-m2-MidSI</t>
  </si>
  <si>
    <t>sample_16S-P4-A1-E10-L4_P8-E10-MouseAvatar-KD34-CapsuleStool-m2-MidSI</t>
  </si>
  <si>
    <t>sample_16S-P6A2-E11-L0_P1-E11-MouseAvatar-KD34-CapsuleStool-m3-MidSI</t>
  </si>
  <si>
    <t>sample_16S-P4-A1-E11-L4_P8-E11-MouseAvatar-KD34-CapsuleStool-m3-MidSI</t>
  </si>
  <si>
    <t>sample_16S-P6A2-E12-L0_P1-E12-MouseAvatar-KD34-CapsuleStool-m4-MidSI</t>
  </si>
  <si>
    <t>sample_16S-P4-A1-E12-L4_P8-E12-MouseAvatar-KD34-CapsuleStool-m4-MidSI</t>
  </si>
  <si>
    <t>sample_16S-P6A2-F01-L0_P1-F01-MouseAvatar-KD34-Stool-m1-MidSI</t>
  </si>
  <si>
    <t>sample_16S-P4-A1-F01-L4_P8-F01-MouseAvatar-KD34-Stool-m1-MidSI</t>
  </si>
  <si>
    <t>sample_16S-P6A2-F02-L0_P1-F02-MouseAvatar-KD34-Stool-m2-MidSI</t>
  </si>
  <si>
    <t>sample_16S-P4-A1-F02-L4_P8-F02-MouseAvatar-KD34-Stool-m2-MidSI</t>
  </si>
  <si>
    <t>sample_16S-P6A2-F03-L0_P1-F03-MouseAvatar-KD34-Stool-m3-MidSI</t>
  </si>
  <si>
    <t>sample_16S-P4-A1-F03-L4_P8-F03-MouseAvatar-KD34-Stool-m3-MidSI</t>
  </si>
  <si>
    <t>sample_16S-P6A2-F04-L0_P1-F04-MouseAvatar-KD34-Stool-m4-MidSI</t>
  </si>
  <si>
    <t>sample_16S-P4-A1-F04-L4_P8-F04-MouseAvatar-KD34-Stool-m4-MidSI</t>
  </si>
  <si>
    <t>sample_16S-P6A2-F05-L0_P1-F05-MouseAvatar-KD32-Capsule-m1-MidSI</t>
  </si>
  <si>
    <t>sample_16S-P4-A1-F05-L4_P8-F05-MouseAvatar-KD32-Capsule-m1-MidSI</t>
  </si>
  <si>
    <t>sample_16S-P6A2-F06-L0_P1-F06-MouseAvatar-KD32-Capsule-m2-MidSI</t>
  </si>
  <si>
    <t>sample_16S-P4-A1-F06-L4_P8-F06-MouseAvatar-KD32-Capsule-m2-MidSI</t>
  </si>
  <si>
    <t>sample_16S-P6A2-F07-L0_P1-F07-MouseAvatar-KD32-Capsule-m3-MidSI</t>
  </si>
  <si>
    <t>sample_16S-P4-A1-F07-L4_P8-F07-MouseAvatar-KD32-Capsule-m3-MidSI</t>
  </si>
  <si>
    <t>sample_16S-P6A2-F08-L0_P1-F08-MouseAvatar-KD32-Capsule-m4-MidSI</t>
  </si>
  <si>
    <t>sample_16S-P4-A1-F08-L4_P8-F08-MouseAvatar-KD32-Capsule-m4-MidSI</t>
  </si>
  <si>
    <t>sample_16S-P6A2-F09-L0_P1-F09-MouseAvatar-KD32-Capsule-m5-MidSI</t>
  </si>
  <si>
    <t>sample_16S-P4-A1-F09-L4_P8-F09-MouseAvatar-KD32-Capsule-m5-MidSI</t>
  </si>
  <si>
    <t>sample_16S-P6A2-F10-L0_P1-F10-MouseAvatar-KD32-CapsuleStool-m1-MidSI</t>
  </si>
  <si>
    <t>sample_16S-P4-A1-F10-L4_P8-F10-MouseAvatar-KD32-CapsuleStool-m1-MidSI</t>
  </si>
  <si>
    <t>sample_16S-P6A2-F11-L0_P1-F11-MouseAvatar-KD32-CapsuleStool-m2-MidSI</t>
  </si>
  <si>
    <t>sample_16S-P4-A1-F11-L4_P8-F11-MouseAvatar-KD32-CapsuleStool-m2-MidSI</t>
  </si>
  <si>
    <t>sample_16S-P6A2-F12-L0_P1-F12-MouseAvatar-KD32-CapsuleStool-m3-MidSI</t>
  </si>
  <si>
    <t>sample_16S-P4-A1-F12-L4_P8-F12-MouseAvatar-KD32-CapsuleStool-m3-MidSI</t>
  </si>
  <si>
    <t>sample_16S-P6A2-G01-L0_P1-G01-MouseAvatar-KD32-CapsuleStool-m4-MidSI</t>
  </si>
  <si>
    <t>sample_16S-P4-A1-G01-L4_P8-G01-MouseAvatar-KD32-CapsuleStool-m4-MidSI</t>
  </si>
  <si>
    <t>sample_16S-P6A2-G02-L0_P1-G02-MouseAvatar-KD32-CapsuleStool-m5-MidSI</t>
  </si>
  <si>
    <t>sample_16S-P4-A1-G02-L4_P8-G02-MouseAvatar-KD32-CapsuleStool-m5-MidSI</t>
  </si>
  <si>
    <t>sample_16S-P6A2-G03-L0_P1-G03-MouseAvatar-KD32-Stool1-m1-MidSI</t>
  </si>
  <si>
    <t>sample_16S-P4-A1-G03-L4_P8-G03-MouseAvatar-KD32-Stool1-m1-MidSI</t>
  </si>
  <si>
    <t>sample_16S-P6A2-G04-L0_P1-G04-MouseAvatar-KD32-Stool1-m2-MidSI</t>
  </si>
  <si>
    <t>sample_16S-P4-A1-G04-L4_P8-G04-MouseAvatar-KD32-Stool1-m2-MidSI</t>
  </si>
  <si>
    <t>sample_16S-P6A2-G05-L0_P1-G05-MouseAvatar-KD32-Stool1-m3-MidSI</t>
  </si>
  <si>
    <t>sample_16S-P4-A1-G05-L4_P8-G05-MouseAvatar-KD32-Stool1-m3-MidSI</t>
  </si>
  <si>
    <t>sample_16S-P6A2-G06-L0_P1-G06-MouseAvatar-KD32-Stool1-m4-MidSI</t>
  </si>
  <si>
    <t>sample_16S-P4-A1-G06-L4_P8-G06-MouseAvatar-KD32-Stool1-m4-MidSI</t>
  </si>
  <si>
    <t>sample_16S-P6A2-G07-L0_P1-G07-MouseAvatar-KD32-Stool2-m1-MidSI</t>
  </si>
  <si>
    <t>sample_16S-P4-A1-G07-L4_P8-G07-MouseAvatar-KD32-Stool2-m1-MidSI</t>
  </si>
  <si>
    <t>sample_16S-P6A2-G08-L0_P1-G08-MouseAvatar-KD32-Stool2-m2-MidSI</t>
  </si>
  <si>
    <t>sample_16S-P4-A1-G08-L4_P8-G08-MouseAvatar-KD32-Stool2-m2-MidSI</t>
  </si>
  <si>
    <t>sample_16S-P6A2-G09-L0_P1-G09-MouseAvatar-KD32-Stool2-m3-MidSI</t>
  </si>
  <si>
    <t>sample_16S-P4-A1-G09-L4_P8-G09-MouseAvatar-KD32-Stool2-m3-MidSI</t>
  </si>
  <si>
    <t>sample_16S-P6A2-G10-L0_P1-G10-MouseAvatar-KD32-Stool2-m4-MidSI</t>
  </si>
  <si>
    <t>sample_16S-P4-A1-G10-L4_P8-G10-MouseAvatar-KD32-Stool2-m4-MidSI</t>
  </si>
  <si>
    <t>sample_16S-P6A2-G11-L0_P1-G11-MouseAvatar-KD32-Stool2-m5-MidSI</t>
  </si>
  <si>
    <t>sample_16S-P4-A1-G11-L4_P8-G11-MouseAvatar-KD32-Stool2-m5-MidSI</t>
  </si>
  <si>
    <t>sample_16S-P6A2-G12-L0_P1-G12-MouseAvatar-KD32-Stool3-m1-MidSI</t>
  </si>
  <si>
    <t>sample_16S-P4-A1-G12-L4_P8-G12-MouseAvatar-KD32-Stool3-m1-MidSI</t>
  </si>
  <si>
    <t>sample_16S-P6A2-H01-L0_P1-H01-MouseAvatar-KD32-Stool3-m2-MidSI</t>
  </si>
  <si>
    <t>sample_16S-P4-A1-H01-L4_P8-H01-MouseAvatar-KD32-Stool3-m2-MidSI</t>
  </si>
  <si>
    <t>sample_16S-P6A2-H02-L0_P1-H02-MouseAvatar-KD31-Capsule-m1-MidSI</t>
  </si>
  <si>
    <t>sample_16S-P4-A1-H02-L4_P8-H02-MouseAvatar-KD31-Capsule-m1-MidSI</t>
  </si>
  <si>
    <t>sample_16S-P6A2-H03-L0_P1-H03-MouseAvatar-KD31-Capsule-m2-MidSI</t>
  </si>
  <si>
    <t>sample_16S-P4-A1-H03-L4_P8-H03-MouseAvatar-KD31-Capsule-m2-MidSI</t>
  </si>
  <si>
    <t>sample_16S-P6A2-H04-L0_P1-H04-MouseAvatar-KD31-Capsule-m3-MidSI</t>
  </si>
  <si>
    <t>sample_16S-P4-A1-H04-L4_P8-H04-MouseAvatar-KD31-Capsule-m3-MidSI</t>
  </si>
  <si>
    <t>sample_16S-P6A2-H05-L0_P1-H05-MouseAvatar-KD31-Capsule-m4-MidSI</t>
  </si>
  <si>
    <t>sample_16S-P4-A1-H05-L4_P8-H05-MouseAvatar-KD31-Capsule-m4-MidSI</t>
  </si>
  <si>
    <t>sample_16S-P6A2-H06-L0_P1-H06-MouseAvatar-KD31-Stool1-m1-MidSI</t>
  </si>
  <si>
    <t>sample_16S-P4-A1-H06-L4_P8-H06-MouseAvatar-KD31-Stool1-m1-MidSI</t>
  </si>
  <si>
    <t>sample_16S-P6A2-H07-L0_P1-H07-MouseAvatar-KD31-Stool1-m2-MidSI</t>
  </si>
  <si>
    <t>sample_16S-P4-A1-H07-L4_P8-H07-MouseAvatar-KD31-Stool1-m2-MidSI</t>
  </si>
  <si>
    <t>sample_16S-P6A2-H08-L0_P1-H08-MouseAvatar-KD31-Stool1-m3-MidSI</t>
  </si>
  <si>
    <t>sample_16S-P4-A1-H08-L4_P8-H08-MouseAvatar-KD31-Stool1-m3-MidSI</t>
  </si>
  <si>
    <t>sample_16S-P6A2-H09-L0_P1-H09-MouseAvatar-KD31-Stool1-m4-MidSI</t>
  </si>
  <si>
    <t>sample_16S-P4-A1-H09-L4_P8-H09-MouseAvatar-KD31-Stool1-m4-MidSI</t>
  </si>
  <si>
    <t>sample_16S-P6A2-H10-L0_P1-H10-MouseAvatar-KD31-Stool1-m5-MidSI</t>
  </si>
  <si>
    <t>sample_16S-P4-A1-H10-L4_P8-H10-MouseAvatar-KD31-Stool1-m5-MidSI</t>
  </si>
  <si>
    <t>sample_16S-P6A2-H11-L0_P1-H11-MouseAvatar-KD31-Stool2-m1-MidSI</t>
  </si>
  <si>
    <t>sample_16S-P4-A1-H11-L4_P8-H11-MouseAvatar-KD31-Stool2-m1-MidSI</t>
  </si>
  <si>
    <t>sample_16S-P6A2-H12-L0_P1-H12-MouseAvatar-KD31-Stool2-m2-MidSI</t>
  </si>
  <si>
    <t>sample_16S-P4-A1-H12-L4_P8-H12-MouseAvatar-KD31-Stool2-m2-MidSI</t>
  </si>
  <si>
    <t>sample_16S-NA-Unk1-L0_P1-D07-MouseAvatar-KD37-Stool2-m1-ProxSI</t>
  </si>
  <si>
    <t>sample_16S-P4-A1-D07-L4_P8-D07-MouseAvatar-KD32-Stool2-m1-ProxSI</t>
  </si>
  <si>
    <t>sample_16S-NA-Unk2-L0_P1-D07-MouseAvatar-KD37-Stool2-m1-ProxSI</t>
  </si>
  <si>
    <t>sample_16S-P6A2-A01-L1_P2-A01-MouseAvatar-KD31-Stool2-m3-MidSI</t>
  </si>
  <si>
    <t>sample_16S-P4-A1-A01-L5_P9-A01-MouseAvatar-KD31-Stool2-m3-MidSI</t>
  </si>
  <si>
    <t>sample_16S-P6A2-A02-L1_P2-A02-MouseAvatar-KD31-Stool2-m4-MidSI</t>
  </si>
  <si>
    <t>sample_16S-P4-A1-A02-L5_P9-A02-MouseAvatar-KD31-Stool2-m4-MidSI</t>
  </si>
  <si>
    <t>sample_16S-P6A2-A03-L1_P2-A03-MouseAvatar-KD31-Stool2-m5-MidSI</t>
  </si>
  <si>
    <t>sample_16S-P4-A1-A03-L5_P9-A03-MouseAvatar-KD31-Stool2-m5-MidSI</t>
  </si>
  <si>
    <t>sample_16S-P6A2-A04-L1_P2-A04-MouseAvatar-KD31-Stool3-m1-MidSI</t>
  </si>
  <si>
    <t>sample_16S-P4-A1-A04-L5_P9-A04-MouseAvatar-KD31-Stool3-m1-MidSI</t>
  </si>
  <si>
    <t>sample_16S-P6A2-A05-L1_P2-A05-MouseAvatar-KD31-Stool3-m2-MidSI</t>
  </si>
  <si>
    <t>sample_16S-P4-A1-A05-L5_P9-A05-MouseAvatar-KD31-Stool3-m2-MidSI</t>
  </si>
  <si>
    <t>sample_16S-P6A2-A06-L1_P2-A06-MouseAvatar-KD31-Stool3-m3-MidSI</t>
  </si>
  <si>
    <t>sample_16S-P4-A1-A06-L5_P9-A06-MouseAvatar-KD31-Stool3-m3-MidSI</t>
  </si>
  <si>
    <t>sample_16S-P6A2-A07-L1_P2-A07-MouseAvatar-KD31-Stool3-m4-MidSI</t>
  </si>
  <si>
    <t>sample_16S-P4-A1-A07-L5_P9-A07-MouseAvatar-KD31-Stool3-m4-MidSI</t>
  </si>
  <si>
    <t>sample_16S-P6A2-A08-L1_P2-A08-MouseAvatar-KD31-Stool3-m5-MidSI</t>
  </si>
  <si>
    <t>sample_16S-P4-A1-A08-L5_P9-A08-MouseAvatar-KD31-Stool3-m5-MidSI</t>
  </si>
  <si>
    <t>sample_16S-P6A2-A09-L1_P2-A09-MouseAvatar-KD34-Capsule-m1-DistalSI</t>
  </si>
  <si>
    <t>sample_16S-P4-A1-A09-L5_P9-A09-MouseAvatar-KD34-Capsule-m1-DistalSI</t>
  </si>
  <si>
    <t>sample_16S-P6A2-A10-L1_P2-A10-MouseAvatar-KD34-Capsule-m2-DistalSI</t>
  </si>
  <si>
    <t>sample_16S-P4-A1-A10-L5_P9-A10-MouseAvatar-KD34-Capsule-m2-DistalSI</t>
  </si>
  <si>
    <t>sample_16S-P6A2-A11-L1_P2-A11-MouseAvatar-KD34-Capsule-m3-DistalSI</t>
  </si>
  <si>
    <t>sample_16S-P4-A1-A11-L5_P9-A11-MouseAvatar-KD34-Capsule-m3-DistalSI</t>
  </si>
  <si>
    <t>sample_16S-P6A2-A12-L1_P2-A12-MouseAvatar-KD34-Capsule-m4-DistalSI</t>
  </si>
  <si>
    <t>sample_16S-P4-A1-A12-L5_P9-A12-MouseAvatar-KD34-Capsule-m4-DistalSI</t>
  </si>
  <si>
    <t>sample_16S-P6A2-B01-L1_P2-B01-MouseAvatar-KD34-CapsuleStool-m1-DistalSI</t>
  </si>
  <si>
    <t>sample_16S-P4-A1-B01-L5_P9-B01-MouseAvatar-KD34-CapsuleStool-m1-DistalSI</t>
  </si>
  <si>
    <t>sample_16S-P6A2-B02-L1_P2-B02-MouseAvatar-KD34-CapsuleStool-m2-DistalSI</t>
  </si>
  <si>
    <t>sample_16S-P4-A1-B02-L5_P9-B02-MouseAvatar-KD34-CapsuleStool-m2-DistalSI</t>
  </si>
  <si>
    <t>sample_16S-P6A2-B03-L1_P2-B03-MouseAvatar-KD34-CapsuleStool-m3-DistalSI</t>
  </si>
  <si>
    <t>sample_16S-P4-A1-B03-L5_P9-B03-MouseAvatar-KD34-CapsuleStool-m3-DistalSI</t>
  </si>
  <si>
    <t>sample_16S-P6A2-B04-L1_P2-B04-MouseAvatar-KD34-CapsuleStool-m4-DistalSI</t>
  </si>
  <si>
    <t>sample_16S-P4-A1-B04-L5_P9-B04-MouseAvatar-KD34-CapsuleStool-m4-DistalSI</t>
  </si>
  <si>
    <t>sample_16S-P6A2-B05-L1_P2-B05-MouseAvatar-KD34-Stool-m1-DistalSI</t>
  </si>
  <si>
    <t>sample_16S-P4-A1-B05-L5_P9-B05-MouseAvatar-KD34-Stool-m1-DistalSI</t>
  </si>
  <si>
    <t>sample_16S-P6A2-B06-L1_P2-B06-MouseAvatar-KD34-Stool-m2-DistalSI</t>
  </si>
  <si>
    <t>sample_16S-P4-A1-B06-L5_P9-B06-MouseAvatar-KD34-Stool-m2-DistalSI</t>
  </si>
  <si>
    <t>sample_16S-P6A2-B07-L1_P2-B07-MouseAvatar-KD34-Stool-m3-DistalSI</t>
  </si>
  <si>
    <t>sample_16S-P4-A1-B07-L5_P9-B07-MouseAvatar-KD34-Stool-m3-DistalSI</t>
  </si>
  <si>
    <t>sample_16S-P6A2-B08-L1_P2-B08-MouseAvatar-KD34-Stool-m4-DistalSI</t>
  </si>
  <si>
    <t>sample_16S-P4-A1-B08-L5_P9-B08-MouseAvatar-KD34-Stool-m4-DistalSI</t>
  </si>
  <si>
    <t>sample_16S-P6A2-B09-L1_P2-B09-MouseAvatar-KD32-Capsule-m1-DistalSI</t>
  </si>
  <si>
    <t>sample_16S-P4-A1-B09-L5_P9-B09-MouseAvatar-KD32-Capsule-m1-DistalSI</t>
  </si>
  <si>
    <t>sample_16S-P6A2-B10-L1_P2-B10-MouseAvatar-KD32-Capsule-m2-DistalSI</t>
  </si>
  <si>
    <t>sample_16S-P4-A1-B10-L5_P9-B10-MouseAvatar-KD32-Capsule-m2-DistalSI</t>
  </si>
  <si>
    <t>sample_16S-P6A2-B11-L1_P2-B11-MouseAvatar-KD32-Capsule-m3-DistalSI</t>
  </si>
  <si>
    <t>sample_16S-P4-A1-B11-L5_P9-B11-MouseAvatar-KD32-Capsule-m3-DistalSI</t>
  </si>
  <si>
    <t>sample_16S-P6A2-B12-L1_P2-B12-MouseAvatar-KD32-Capsule-m4-DistalSI</t>
  </si>
  <si>
    <t>sample_16S-P4-A1-B12-L5_P9-B12-MouseAvatar-KD32-Capsule-m4-DistalSI</t>
  </si>
  <si>
    <t>sample_16S-P6A2-C01-L1_P2-C01-MouseAvatar-KD32-Capsule-m5-DistalSI</t>
  </si>
  <si>
    <t>sample_16S-P4-A1-C01-L5_P9-C01-MouseAvatar-KD32-Capsule-m5-DistalSI</t>
  </si>
  <si>
    <t>sample_16S-P6A2-C02-L1_P2-C02-MouseAvatar-KD32-CapsuleStool-m1-DistalSI</t>
  </si>
  <si>
    <t>sample_16S-P4-A1-C02-L5_P9-C02-MouseAvatar-KD32-CapsuleStool-m1-DistalSI</t>
  </si>
  <si>
    <t>sample_16S-P6A2-C03-L1_P2-C03-MouseAvatar-KD32-CapsuleStool-m2-DistalSI</t>
  </si>
  <si>
    <t>sample_16S-P4-A1-C03-L5_P9-C03-MouseAvatar-KD32-CapsuleStool-m2-DistalSI</t>
  </si>
  <si>
    <t>sample_16S-P6A2-C04-L1_P2-C04-MouseAvatar-KD32-CapsuleStool-m3-DistalSI</t>
  </si>
  <si>
    <t>sample_16S-P4-A1-C04-L5_P9-C04-MouseAvatar-KD32-CapsuleStool-m3-DistalSI</t>
  </si>
  <si>
    <t>sample_16S-P6A2-C05-L1_P2-C05-MouseAvatar-KD32-CapsuleStool-m4-DistalSI</t>
  </si>
  <si>
    <t>sample_16S-P4-A1-C05-L5_P9-C05-MouseAvatar-KD32-CapsuleStool-m4-DistalSI</t>
  </si>
  <si>
    <t>sample_16S-P6A2-C06-L1_P2-C06-MouseAvatar-KD32-CapsuleStool-m5-DistalSI</t>
  </si>
  <si>
    <t>sample_16S-P4-A1-C06-L5_P9-C06-MouseAvatar-KD32-CapsuleStool-m5-DistalSI</t>
  </si>
  <si>
    <t>sample_16S-P6A2-C07-L1_P2-C07-MouseAvatar-KD32-Stool1-m1-DistalSI</t>
  </si>
  <si>
    <t>sample_16S-P4-A1-C07-L5_P9-C07-MouseAvatar-KD32-Stool1-m1-DistalSI</t>
  </si>
  <si>
    <t>sample_16S-P6A2-C08-L1_P2-C08-MouseAvatar-KD32-Stool1-m2-DistalSI</t>
  </si>
  <si>
    <t>sample_16S-P4-A1-C08-L5_P9-C08-MouseAvatar-KD32-Stool1-m2-DistalSI</t>
  </si>
  <si>
    <t>sample_16S-P6A2-C09-L1_P2-C09-MouseAvatar-KD32-Stool1-m3-DistalSI</t>
  </si>
  <si>
    <t>sample_16S-P4-A1-C09-L5_P9-C09-MouseAvatar-KD32-Stool1-m3-DistalSI</t>
  </si>
  <si>
    <t>sample_16S-P6A2-C10-L1_P2-C10-MouseAvatar-KD32-Stool1-m4-DistalSI</t>
  </si>
  <si>
    <t>sample_16S-P4-A1-C10-L5_P9-C10-MouseAvatar-KD32-Stool1-m4-DistalSI</t>
  </si>
  <si>
    <t>sample_16S-P6A2-C11-L1_P2-C11-MouseAvatar-KD32-Stool2-m1-DistalSI</t>
  </si>
  <si>
    <t>sample_16S-P4-A1-C11-L5_P9-C11-MouseAvatar-KD32-Stool2-m1-DistalSI</t>
  </si>
  <si>
    <t>sample_16S-P6A2-C12-L1_P2-C12-MouseAvatar-KD32-Stool2-m2-DistalSI</t>
  </si>
  <si>
    <t>sample_16S-P4-A1-C12-L5_P9-C12-MouseAvatar-KD32-Stool2-m2-DistalSI</t>
  </si>
  <si>
    <t>sample_16S-P6A2-D01-L1_P2-D01-MouseAvatar-KD32-Stool2-m3-DistalSI</t>
  </si>
  <si>
    <t>sample_16S-P4-A1-D01-L5_P9-D01-MouseAvatar-KD32-Stool2-m3-DistalSI</t>
  </si>
  <si>
    <t>sample_16S-P6A2-D02-L1_P2-D02-MouseAvatar-KD32-Stool2-m4-DistalSI</t>
  </si>
  <si>
    <t>sample_16S-P4-A1-D02-L5_P9-D02-MouseAvatar-KD32-Stool2-m4-DistalSI</t>
  </si>
  <si>
    <t>sample_16S-P6A2-D03-L1_P2-D03-MouseAvatar-KD32-Stool2-m5-DistalSI</t>
  </si>
  <si>
    <t>sample_16S-P4-A1-D03-L5_P9-D03-MouseAvatar-KD32-Stool2-m5-DistalSI</t>
  </si>
  <si>
    <t>sample_16S-P6A2-D04-L1_P2-D04-MouseAvatar-KD32-Stool3-m1-DistalSI</t>
  </si>
  <si>
    <t>sample_16S-P4-A1-D04-L5_P9-D04-MouseAvatar-KD32-Stool3-m1-DistalSI</t>
  </si>
  <si>
    <t>sample_16S-P6A2-D05-L1_P2-D05-MouseAvatar-KD32-Stool3-m2-DistalSI</t>
  </si>
  <si>
    <t>sample_16S-P4-A1-D05-L5_P9-D05-MouseAvatar-KD32-Stool3-m2-DistalSI</t>
  </si>
  <si>
    <t>sample_16S-P6A2-D06-L1_P2-D06-MouseAvatar-KD31-Capsule-m1-DistalSI</t>
  </si>
  <si>
    <t>sample_16S-P4-A1-D06-L5_P9-D06-MouseAvatar-KD31-Capsule-m1-DistalSI</t>
  </si>
  <si>
    <t>sample_16S-P6A2-D08-L1_P2-D08-MouseAvatar-KD31-Capsule-m3-DistalSI</t>
  </si>
  <si>
    <t>sample_16S-P4-A1-D08-L5_P9-D08-MouseAvatar-KD31-Capsule-m3-DistalSI</t>
  </si>
  <si>
    <t>sample_16S-P6A2-D09-L1_P2-D09-MouseAvatar-KD31-Capsule-m4-DistalSI</t>
  </si>
  <si>
    <t>sample_16S-P4-A1-D09-L5_P9-D09-MouseAvatar-KD31-Capsule-m4-DistalSI</t>
  </si>
  <si>
    <t>sample_16S-P6A2-D10-L1_P2-D10-MouseAvatar-KD31-Stool1-m1-DistalSI</t>
  </si>
  <si>
    <t>sample_16S-P4-A1-D10-L5_P9-D10-MouseAvatar-KD31-Stool1-m1-DistalSI</t>
  </si>
  <si>
    <t>sample_16S-P6A2-D11-L1_P2-D11-MouseAvatar-KD31-Stool1-m2-DistalSI</t>
  </si>
  <si>
    <t>sample_16S-P4-A1-D11-L5_P9-D11-MouseAvatar-KD31-Stool1-m2-DistalSI</t>
  </si>
  <si>
    <t>sample_16S-P6A2-D12-L1_P2-D12-MouseAvatar-KD31-Stool1-m3-DistalSI</t>
  </si>
  <si>
    <t>sample_16S-P4-A1-D12-L5_P9-D12-MouseAvatar-KD31-Stool1-m3-DistalSI</t>
  </si>
  <si>
    <t>sample_16S-P6A2-E01-L1_P2-E01-MouseAvatar-KD31-Stool1-m4-DistalSI</t>
  </si>
  <si>
    <t>sample_16S-P4-A1-E01-L5_P9-E01-MouseAvatar-KD31-Stool1-m4-DistalSI</t>
  </si>
  <si>
    <t>sample_16S-P6A2-E02-L1_P2-E02-MouseAvatar-KD31-Stool1-m5-DistalSI</t>
  </si>
  <si>
    <t>sample_16S-P4-A1-E02-L5_P9-E02-MouseAvatar-KD31-Stool1-m5-DistalSI</t>
  </si>
  <si>
    <t>sample_16S-P6A2-E03-L1_P2-E03-MouseAvatar-KD31-Stool2-m1-DistalSI</t>
  </si>
  <si>
    <t>sample_16S-P4-A1-E03-L5_P9-E03-MouseAvatar-KD31-Stool2-m1-DistalSI</t>
  </si>
  <si>
    <t>sample_16S-P6A2-E04-L1_P2-E04-MouseAvatar-KD31-Stool2-m2-DistalSI</t>
  </si>
  <si>
    <t>sample_16S-P4-A1-E04-L5_P9-E04-MouseAvatar-KD31-Stool2-m2-DistalSI</t>
  </si>
  <si>
    <t>sample_16S-P6A2-E05-L1_P2-E05-MouseAvatar-KD31-Stool2-m3-DistalSI</t>
  </si>
  <si>
    <t>sample_16S-P4-A1-E05-L5_P9-E05-MouseAvatar-KD31-Stool2-m3-DistalSI</t>
  </si>
  <si>
    <t>sample_16S-P6A2-E06-L1_P2-E06-MouseAvatar-KD31-Stool2-m4-DistalSI</t>
  </si>
  <si>
    <t>sample_16S-P4-A1-E06-L5_P9-E06-MouseAvatar-KD31-Stool2-m4-DistalSI</t>
  </si>
  <si>
    <t>sample_16S-P6A2-E07-L1_P2-E07-MouseAvatar-KD31-Stool2-m5-DistalSI</t>
  </si>
  <si>
    <t>sample_16S-P4-A1-E07-L5_P9-E07-MouseAvatar-KD31-Stool2-m5-DistalSI</t>
  </si>
  <si>
    <t>sample_16S-P6A2-E08-L1_P2-E08-MouseAvatar-KD31-Stool3-m1-DistalSI</t>
  </si>
  <si>
    <t>sample_16S-P4-A1-E08-L5_P9-E08-MouseAvatar-KD31-Stool3-m1-DistalSI</t>
  </si>
  <si>
    <t>sample_16S-P6A2-E09-L1_P2-E09-MouseAvatar-KD31-Stool3-m2-DistalSI</t>
  </si>
  <si>
    <t>sample_16S-P4-A1-E09-L5_P9-E09-MouseAvatar-KD31-Stool3-m2-DistalSI</t>
  </si>
  <si>
    <t>sample_16S-P6A2-E10-L1_P2-E10-MouseAvatar-KD31-Stool3-m3-DistalSI</t>
  </si>
  <si>
    <t>sample_16S-P4-A1-E10-L5_P9-E10-MouseAvatar-KD31-Stool3-m3-DistalSI</t>
  </si>
  <si>
    <t>sample_16S-P6A2-E11-L1_P2-E11-MouseAvatar-KD31-Stool3-m4-DistalSI</t>
  </si>
  <si>
    <t>sample_16S-P4-A1-E11-L5_P9-E11-MouseAvatar-KD31-Stool3-m4-DistalSI</t>
  </si>
  <si>
    <t>sample_16S-P6A2-E12-L1_P2-E12-MouseAvatar-KD31-Stool3-m5-DistalSI</t>
  </si>
  <si>
    <t>sample_16S-P4-A1-E12-L5_P9-E12-MouseAvatar-KD31-Stool3-m5-DistalSI</t>
  </si>
  <si>
    <t>sample_16S-P6A2-F01-L1_P2-F01-MouseAvatar-KD34-Capsule-m1-Cecum</t>
  </si>
  <si>
    <t>sample_16S-P4-A1-B01-L6_P10-B01-MouseAvatar-KD34-Capsule-m1-Cecum</t>
  </si>
  <si>
    <t>sample_16S-P6A2-F02-L1_P2-F02-MouseAvatar-KD34-Capsule-m2-Cecum</t>
  </si>
  <si>
    <t>sample_16S-P4-A1-B02-L6_P10-B02-MouseAvatar-KD34-Capsule-m2-Cecum</t>
  </si>
  <si>
    <t>sample_16S-P6A2-F03-L1_P2-F03-MouseAvatar-KD34-Capsule-m3-Cecum</t>
  </si>
  <si>
    <t>sample_16S-P4-A1-B03-L6_P10-B03-MouseAvatar-KD34-Capsule-m3-Cecum</t>
  </si>
  <si>
    <t>sample_16S-P6A2-F04-L1_P2-F04-MouseAvatar-KD34-Capsule-m4-Cecum</t>
  </si>
  <si>
    <t>sample_16S-P4-A1-B04-L6_P10-B04-MouseAvatar-KD34-Capsule-m4-Cecum</t>
  </si>
  <si>
    <t>sample_16S-P6A2-F05-L1_P2-F05-MouseAvatar-KD34-CapsuleStool-m1-Cecum</t>
  </si>
  <si>
    <t>sample_16S-P4-A1-B05-L6_P10-B05-MouseAvatar-KD34-CapsuleStool-m1-Cecum</t>
  </si>
  <si>
    <t>sample_16S-P6A2-F06-L1_P2-F06-MouseAvatar-KD34-CapsuleStool-m2-Cecum</t>
  </si>
  <si>
    <t>sample_16S-P4-A1-B06-L6_P10-B06-MouseAvatar-KD34-CapsuleStool-m2-Cecum</t>
  </si>
  <si>
    <t>sample_16S-P6A2-F07-L1_P2-F07-MouseAvatar-KD34-CapsuleStool-m3-Cecum</t>
  </si>
  <si>
    <t>sample_16S-P4-A1-B07-L6_P10-B07-MouseAvatar-KD34-CapsuleStool-m3-Cecum</t>
  </si>
  <si>
    <t>sample_16S-P6A2-F08-L1_P2-F08-MouseAvatar-KD34-CapsuleStool-m4-Cecum</t>
  </si>
  <si>
    <t>sample_16S-P4-A1-B08-L6_P10-B08-MouseAvatar-KD34-CapsuleStool-m4-Cecum</t>
  </si>
  <si>
    <t>sample_16S-P6A2-F09-L1_P2-F09-MouseAvatar-KD34-Stool-m1-Cecum</t>
  </si>
  <si>
    <t>sample_16S-P4-A1-B09-L6_P10-B09-MouseAvatar-KD34-Stool-m1-Cecum</t>
  </si>
  <si>
    <t>sample_16S-P6A2-F10-L1_P2-F10-MouseAvatar-KD34-Stool-m2-Cecum</t>
  </si>
  <si>
    <t>sample_16S-P4-A1-B10-L6_P10-B10-MouseAvatar-KD34-Stool-m2-Cecum</t>
  </si>
  <si>
    <t>sample_16S-P6A2-F11-L1_P2-F11-MouseAvatar-KD34-Stool-m3-Cecum</t>
  </si>
  <si>
    <t>sample_16S-P4-A1-B11-L6_P10-B11-MouseAvatar-KD34-Stool-m3-Cecum</t>
  </si>
  <si>
    <t>sample_16S-P6A2-F12-L1_P2-F12-MouseAvatar-KD34-Stool-m4-Cecum</t>
  </si>
  <si>
    <t>sample_16S-P4-A1-B12-L6_P10-B12-MouseAvatar-KD34-Stool-m4-Cecum</t>
  </si>
  <si>
    <t>sample_16S-P6A2-G01-L1_P2-G01-MouseAvatar-KD32-Capsule-m1-Cecum</t>
  </si>
  <si>
    <t>sample_16S-P4-A1-C01-L6_P10-C01-MouseAvatar-KD32-Capsule-m1-Cecum</t>
  </si>
  <si>
    <t>sample_16S-P6A2-G02-L1_P2-G02-MouseAvatar-KD32-Capsule-m2-Cecum</t>
  </si>
  <si>
    <t>sample_16S-P4-A1-C02-L6_P10-C02-MouseAvatar-KD32-Capsule-m2-Cecum</t>
  </si>
  <si>
    <t>sample_16S-P6A2-G03-L1_P2-G03-MouseAvatar-KD32-Capsule-m3-Cecum</t>
  </si>
  <si>
    <t>sample_16S-P4-A1-C03-L6_P10-C03-MouseAvatar-KD32-Capsule-m3-Cecum</t>
  </si>
  <si>
    <t>sample_16S-P6A2-G04-L1_P2-G04-MouseAvatar-KD32-Capsule-m4-Cecum</t>
  </si>
  <si>
    <t>sample_16S-P4-A1-C04-L6_P10-C04-MouseAvatar-KD32-Capsule-m4-Cecum</t>
  </si>
  <si>
    <t>sample_16S-P6A2-G05-L1_P2-G05-MouseAvatar-KD32-Capsule-m5-Cecum</t>
  </si>
  <si>
    <t>sample_16S-P4-A1-C05-L6_P10-C05-MouseAvatar-KD32-Capsule-m5-Cecum</t>
  </si>
  <si>
    <t>sample_16S-P6A2-G06-L1_P2-G06-MouseAvatar-KD32-CapsuleStool-m1-Cecum</t>
  </si>
  <si>
    <t>sample_16S-P4-A1-C06-L6_P10-C06-MouseAvatar-KD32-CapsuleStool-m1-Cecum</t>
  </si>
  <si>
    <t>sample_16S-P6A2-G07-L1_P2-G07-MouseAvatar-KD32-CapsuleStool-m2-Cecum</t>
  </si>
  <si>
    <t>sample_16S-P4-A1-C07-L6_P10-C07-MouseAvatar-KD32-CapsuleStool-m2-Cecum</t>
  </si>
  <si>
    <t>sample_16S-P6A2-G08-L1_P2-G08-MouseAvatar-KD32-CapsuleStool-m3-Cecum</t>
  </si>
  <si>
    <t>sample_16S-P4-A1-C08-L6_P10-C08-MouseAvatar-KD32-CapsuleStool-m3-Cecum</t>
  </si>
  <si>
    <t>sample_16S-P6A2-G09-L1_P2-G09-MouseAvatar-KD32-CapsuleStool-m4-Cecum</t>
  </si>
  <si>
    <t>sample_16S-P4-A1-C09-L6_P10-C09-MouseAvatar-KD32-CapsuleStool-m4-Cecum</t>
  </si>
  <si>
    <t>sample_16S-P6A2-G10-L1_P2-G10-MouseAvatar-KD32-CapsuleStool-m5-Cecum</t>
  </si>
  <si>
    <t>sample_16S-P4-A1-C10-L6_P10-C10-MouseAvatar-KD32-CapsuleStool-m5-Cecum</t>
  </si>
  <si>
    <t>sample_16S-P6A2-G11-L1_P2-G11-MouseAvatar-KD32-Stool1-m1-Cecum</t>
  </si>
  <si>
    <t>sample_16S-P4-A1-C11-L6_P10-C11-MouseAvatar-KD32-Stool1-m1-Cecum</t>
  </si>
  <si>
    <t>sample_16S-P6A2-G12-L1_P2-G12-MouseAvatar-KD32-Stool1-m2-Cecum</t>
  </si>
  <si>
    <t>sample_16S-P4-A1-C12-L6_P10-C12-MouseAvatar-KD32-Stool1-m2-Cecum</t>
  </si>
  <si>
    <t>sample_16S-P6A2-H01-L1_P2-H01-MouseAvatar-KD32-Stool1-m3-Cecum</t>
  </si>
  <si>
    <t>sample_16S-P4-A1-D01-L6_P10-D01-MouseAvatar-KD32-Stool1-m3-Cecum</t>
  </si>
  <si>
    <t>sample_16S-P6A2-H02-L1_P2-H02-MouseAvatar-KD32-Stool1-m4-Cecum</t>
  </si>
  <si>
    <t>sample_16S-P4-A1-D02-L6_P10-D02-MouseAvatar-KD32-Stool1-m4-Cecum</t>
  </si>
  <si>
    <t>sample_16S-P6A2-H03-L1_P2-H03-MouseAvatar-KD32-Stool2-m1-Cecum</t>
  </si>
  <si>
    <t>sample_16S-P4-A1-D03-L6_P10-D03-MouseAvatar-KD32-Stool2-m1-Cecum</t>
  </si>
  <si>
    <t>sample_16S-P6A2-H04-L1_P2-H04-MouseAvatar-KD32-Stool2-m2-Cecum</t>
  </si>
  <si>
    <t>sample_16S-P4-A1-D04-L6_P10-D04-MouseAvatar-KD32-Stool2-m2-Cecum</t>
  </si>
  <si>
    <t>sample_16S-P6A2-H05-L1_P2-H05-MouseAvatar-KD32-Stool2-m3-Cecum</t>
  </si>
  <si>
    <t>sample_16S-P4-A1-D05-L6_P10-D05-MouseAvatar-KD32-Stool2-m3-Cecum</t>
  </si>
  <si>
    <t>sample_16S-P6A2-H06-L1_P2-H06-MouseAvatar-KD32-Stool2-m4-Cecum</t>
  </si>
  <si>
    <t>sample_16S-P4-A1-D06-L6_P10-D06-MouseAvatar-KD32-Stool2-m4-Cecum</t>
  </si>
  <si>
    <t>sample_16S-P6A2-H07-L1_P2-H07-MouseAvatar-KD32-Stool2-m5-Cecum</t>
  </si>
  <si>
    <t>sample_16S-P4-A1-D07-L6_P10-D07-MouseAvatar-KD32-Stool2-m5-Cecum</t>
  </si>
  <si>
    <t>sample_16S-P6A2-H08-L1_P2-H08-MouseAvatar-KD32-Stool3-m1-Cecum</t>
  </si>
  <si>
    <t>sample_16S-P4-A1-D08-L6_P10-D08-MouseAvatar-KD32-Stool3-m1-Cecum</t>
  </si>
  <si>
    <t>sample_16S-P6A2-H09-L1_P2-H09-MouseAvatar-KD32-Stool3-m2-Cecum</t>
  </si>
  <si>
    <t>sample_16S-P4-A1-D09-L6_P10-D09-MouseAvatar-KD32-Stool3-m2-Cecum</t>
  </si>
  <si>
    <t>sample_16S-P6A2-H10-L1_P2-H10-MouseAvatar-KD31-Capsule-m1-Cecum</t>
  </si>
  <si>
    <t>sample_16S-P4-A1-D10-L6_P10-D10-MouseAvatar-KD31-Capsule-m1-Cecum</t>
  </si>
  <si>
    <t>sample_16S-P6A2-H11-L1_P2-H11-MouseAvatar-KD31-Capsule-m2-Cecum</t>
  </si>
  <si>
    <t>sample_16S-P4-A1-D11-L6_P10-D11-MouseAvatar-KD31-Capsule-m2-Cecum</t>
  </si>
  <si>
    <t>sample_16S-P6A2-H12-L1_P2-H12-MouseAvatar-KD31-Capsule-m3-Cecum</t>
  </si>
  <si>
    <t>sample_16S-P4-A1-D12-L6_P10-D12-MouseAvatar-KD31-Capsule-m3-Cecum</t>
  </si>
  <si>
    <t>sample_16S-NA-Unk1-L1_P2-D07-MouseAvatar-KD31-Capsule-m2-DistalSI</t>
  </si>
  <si>
    <t>sample_16S-P4-A1-D07-L5_P9-D07-MouseAvatar-KD31-Capsule-m2-DistalSI</t>
  </si>
  <si>
    <t>sample_16S-NA-Unk2-L1_P2-D07-MouseAvatar-KD31-Capsule-m2-DistalSI</t>
  </si>
  <si>
    <t>sample_16S-P6A2-A01-L2_P3-A01-MouseAvatar-KD31-Capsule-m4-Cecum</t>
  </si>
  <si>
    <t>sample_16S-P4-A1-E01-L6_P10-E01-MouseAvatar-KD31-Capsule-m4-Cecum</t>
  </si>
  <si>
    <t>sample_16S-P6A2-A02-L2_P3-A02-MouseAvatar-KD31-Stool1-m1-Cecum</t>
  </si>
  <si>
    <t>sample_16S-P4-A1-E02-L6_P10-E02-MouseAvatar-KD31-Stool1-m1-Cecum</t>
  </si>
  <si>
    <t>sample_16S-P6A2-A03-L2_P3-A03-MouseAvatar-KD31-Stool1-m2-Cecum</t>
  </si>
  <si>
    <t>sample_16S-P4-A1-E03-L6_P10-E03-MouseAvatar-KD31-Stool1-m2-Cecum</t>
  </si>
  <si>
    <t>sample_16S-P6A2-A04-L2_P3-A04-MouseAvatar-KD31-Stool1-m3-Cecum</t>
  </si>
  <si>
    <t>sample_16S-P4-A1-E04-L6_P10-E04-MouseAvatar-KD31-Stool1-m3-Cecum</t>
  </si>
  <si>
    <t>sample_16S-P6A2-A05-L2_P3-A05-MouseAvatar-KD31-Stool1-m4-Cecum</t>
  </si>
  <si>
    <t>sample_16S-P4-A1-E05-L6_P10-E05-MouseAvatar-KD31-Stool1-m4-Cecum</t>
  </si>
  <si>
    <t>sample_16S-P6A2-A06-L2_P3-A06-MouseAvatar-KD31-Stool1-m5-Cecum</t>
  </si>
  <si>
    <t>sample_16S-P4-A1-E06-L6_P10-E06-MouseAvatar-KD31-Stool1-m5-Cecum</t>
  </si>
  <si>
    <t>sample_16S-P6A2-A07-L2_P3-A07-MouseAvatar-KD31-Stool2-m1-Cecum</t>
  </si>
  <si>
    <t>sample_16S-P4-A1-E07-L6_P10-E07-MouseAvatar-KD31-Stool2-m1-Cecum</t>
  </si>
  <si>
    <t>sample_16S-P6A2-A08-L2_P3-A08-MouseAvatar-KD31-Stool2-m2-Cecum</t>
  </si>
  <si>
    <t>sample_16S-P4-A1-E08-L6_P10-E08-MouseAvatar-KD31-Stool2-m2-Cecum</t>
  </si>
  <si>
    <t>sample_16S-P6A2-A09-L2_P3-A09-MouseAvatar-KD31-Stool2-m3-Cecum</t>
  </si>
  <si>
    <t>sample_16S-P4-A1-E09-L6_P10-E09-MouseAvatar-KD31-Stool2-m3-Cecum</t>
  </si>
  <si>
    <t>sample_16S-P6A2-A10-L2_P3-A10-MouseAvatar-KD31-Stool2-m4-Cecum</t>
  </si>
  <si>
    <t>sample_16S-P4-A1-E10-L6_P10-E10-MouseAvatar-KD31-Stool2-m4-Cecum</t>
  </si>
  <si>
    <t>sample_16S-P6A2-A11-L2_P3-A11-MouseAvatar-KD31-Stool2-m5-Cecum</t>
  </si>
  <si>
    <t>sample_16S-P4-A1-E11-L6_P10-E11-MouseAvatar-KD31-Stool2-m5-Cecum</t>
  </si>
  <si>
    <t>sample_16S-P6A2-A12-L2_P3-A12-MouseAvatar-KD31-Stool3-m1-Cecum</t>
  </si>
  <si>
    <t>sample_16S-P4-A1-E12-L6_P10-E12-MouseAvatar-KD31-Stool3-m1-Cecum</t>
  </si>
  <si>
    <t>sample_16S-P6A2-B01-L2_P3-B01-MouseAvatar-KD31-Stool3-m2-Cecum</t>
  </si>
  <si>
    <t>sample_16S-P4-A1-F01-L6_P10-F01-MouseAvatar-KD31-Stool3-m2-Cecum</t>
  </si>
  <si>
    <t>sample_16S-P6A2-B02-L2_P3-B02-MouseAvatar-KD31-Stool3-m3-Cecum</t>
  </si>
  <si>
    <t>sample_16S-P4-A1-F02-L6_P10-F02-MouseAvatar-KD31-Stool3-m3-Cecum</t>
  </si>
  <si>
    <t>sample_16S-P6A2-B03-L2_P3-B03-MouseAvatar-KD31-Stool3-m4-Cecum</t>
  </si>
  <si>
    <t>sample_16S-P4-A1-F03-L6_P10-F03-MouseAvatar-KD31-Stool3-m4-Cecum</t>
  </si>
  <si>
    <t>sample_16S-P6A2-B04-L2_P3-B04-MouseAvatar-KD31-Stool3-m5-Cecum</t>
  </si>
  <si>
    <t>sample_16S-P4-A1-F04-L6_P10-F04-MouseAvatar-KD31-Stool3-m5-Cecum</t>
  </si>
  <si>
    <t>sample_16S-P6A2-B05-L2_P3-B05-MouseAvatar-KD34-Capsule-m1-Feces</t>
  </si>
  <si>
    <t>sample_16S-P4-A1-F05-L6_P10-F05-MouseAvatar-KD34-Capsule-m1-Feces</t>
  </si>
  <si>
    <t>sample_16S-P6A2-B06-L2_P3-B06-MouseAvatar-KD34-Capsule-m2-Feces</t>
  </si>
  <si>
    <t>sample_16S-P4-A1-F06-L6_P10-F06-MouseAvatar-KD34-Capsule-m2-Feces</t>
  </si>
  <si>
    <t>sample_16S-P6A2-B07-L2_P3-B07-MouseAvatar-KD34-Capsule-m3-Feces</t>
  </si>
  <si>
    <t>sample_16S-P4-A1-F07-L6_P10-F07-MouseAvatar-KD34-Capsule-m3-Feces</t>
  </si>
  <si>
    <t>sample_16S-P6A2-B08-L2_P3-B08-MouseAvatar-KD34-Capsule-m4-Feces</t>
  </si>
  <si>
    <t>sample_16S-P4-A1-F08-L6_P10-F08-MouseAvatar-KD34-Capsule-m4-Feces</t>
  </si>
  <si>
    <t>sample_16S-P6A2-B09-L2_P3-B09-MouseAvatar-KD34-CapsuleStool-m1-Feces</t>
  </si>
  <si>
    <t>sample_16S-P4-A1-F09-L6_P10-F09-MouseAvatar-KD34-CapsuleStool-m1-Feces</t>
  </si>
  <si>
    <t>sample_16S-P6A2-B10-L2_P3-B10-MouseAvatar-KD34-CapsuleStool-m2-Feces</t>
  </si>
  <si>
    <t>sample_16S-P4-A1-F10-L6_P10-F10-MouseAvatar-KD34-CapsuleStool-m2-Feces</t>
  </si>
  <si>
    <t>sample_16S-P6A2-B11-L2_P3-B11-MouseAvatar-KD34-CapsuleStool-m3-Feces</t>
  </si>
  <si>
    <t>sample_16S-P4-A1-F11-L6_P10-F11-MouseAvatar-KD34-CapsuleStool-m3-Feces</t>
  </si>
  <si>
    <t>sample_16S-P6A2-B12-L2_P3-B12-MouseAvatar-KD34-CapsuleStool-m4-Feces</t>
  </si>
  <si>
    <t>sample_16S-P4-A1-F12-L6_P10-F12-MouseAvatar-KD34-CapsuleStool-m4-Feces</t>
  </si>
  <si>
    <t>sample_16S-P6A2-C01-L2_P3-C01-MouseAvatar-KD34-Stool-m1-Feces</t>
  </si>
  <si>
    <t>sample_16S-P4-A1-G01-L6_P10-G01-MouseAvatar-KD34-Stool-m1-Feces</t>
  </si>
  <si>
    <t>sample_16S-P6A2-C02-L2_P3-C02-MouseAvatar-KD34-Stool-m2-Feces</t>
  </si>
  <si>
    <t>sample_16S-P4-A1-G02-L6_P10-G02-MouseAvatar-KD34-Stool-m2-Feces</t>
  </si>
  <si>
    <t>sample_16S-P6A2-C03-L2_P3-C03-MouseAvatar-KD34-Stool-m3-Feces</t>
  </si>
  <si>
    <t>sample_16S-P4-A1-G03-L6_P10-G03-MouseAvatar-KD34-Stool-m3-Feces</t>
  </si>
  <si>
    <t>sample_16S-P6A2-C04-L2_P3-C04-MouseAvatar-KD34-Stool-m4-Feces</t>
  </si>
  <si>
    <t>sample_16S-P4-A1-G04-L6_P10-G04-MouseAvatar-KD34-Stool-m4-Feces</t>
  </si>
  <si>
    <t>sample_16S-P6A2-C05-L2_P3-C05-MouseAvatar-KD32-Capsule-m1-Feces</t>
  </si>
  <si>
    <t>sample_16S-P4-A1-G05-L6_P10-G05-MouseAvatar-KD32-Capsule-m1-Feces</t>
  </si>
  <si>
    <t>sample_16S-P6A2-C06-L2_P3-C06-MouseAvatar-KD32-Capsule-m2-Feces</t>
  </si>
  <si>
    <t>sample_16S-P4-A1-G06-L6_P10-G06-MouseAvatar-KD32-Capsule-m2-Feces</t>
  </si>
  <si>
    <t>sample_16S-P6A2-C07-L2_P3-C07-MouseAvatar-KD32-Capsule-m3-Feces</t>
  </si>
  <si>
    <t>sample_16S-P4-A1-G07-L6_P10-G07-MouseAvatar-KD32-Capsule-m3-Feces</t>
  </si>
  <si>
    <t>sample_16S-P6A2-C08-L2_P3-C08-MouseAvatar-KD32-Capsule-m4-Feces</t>
  </si>
  <si>
    <t>sample_16S-P4-A1-G08-L6_P10-G08-MouseAvatar-KD32-Capsule-m4-Feces</t>
  </si>
  <si>
    <t>sample_16S-P6A2-C09-L2_P3-C09-MouseAvatar-KD32-Capsule-m5-Feces</t>
  </si>
  <si>
    <t>sample_16S-P4-A1-G09-L6_P10-G09-MouseAvatar-KD32-Capsule-m5-Feces</t>
  </si>
  <si>
    <t>sample_16S-P6A2-C10-L2_P3-C10-MouseAvatar-KD32-CapsuleStool-m1-Feces</t>
  </si>
  <si>
    <t>sample_16S-P4-A1-G10-L6_P10-G10-MouseAvatar-KD32-CapsuleStool-m1-Feces</t>
  </si>
  <si>
    <t>sample_16S-P6A2-C11-L2_P3-C11-MouseAvatar-KD32-CapsuleStool-m2-Feces</t>
  </si>
  <si>
    <t>sample_16S-P4-A1-G11-L6_P10-G11-MouseAvatar-KD32-CapsuleStool-m2-Feces</t>
  </si>
  <si>
    <t>sample_16S-P6A2-C12-L2_P3-C12-MouseAvatar-KD32-CapsuleStool-m3-Feces</t>
  </si>
  <si>
    <t>sample_16S-P4-A1-G12-L6_P10-G12-MouseAvatar-KD32-CapsuleStool-m3-Feces</t>
  </si>
  <si>
    <t>sample_16S-P6A2-D01-L2_P3-D01-MouseAvatar-KD32-CapsuleStool-m4-Feces</t>
  </si>
  <si>
    <t>sample_16S-P4-A1-H01-L6_P10-H01-MouseAvatar-KD32-CapsuleStool-m4-Feces</t>
  </si>
  <si>
    <t>sample_16S-P6A2-D02-L2_P3-D02-MouseAvatar-KD32-CapsuleStool-m5-Feces</t>
  </si>
  <si>
    <t>sample_16S-P4-A1-H02-L6_P10-H02-MouseAvatar-KD32-CapsuleStool-m5-Feces</t>
  </si>
  <si>
    <t>sample_16S-P6A2-D03-L2_P3-D03-MouseAvatar-KD32-Stool1-m1-Feces</t>
  </si>
  <si>
    <t>sample_16S-P4-A1-H03-L6_P10-H03-MouseAvatar-KD32-Stool1-m1-Feces</t>
  </si>
  <si>
    <t>sample_16S-P6A2-D04-L2_P3-D04-MouseAvatar-KD32-Stool1-m2-Feces</t>
  </si>
  <si>
    <t>sample_16S-P4-A1-H04-L6_P10-H04-MouseAvatar-KD32-Stool1-m2-Feces</t>
  </si>
  <si>
    <t>sample_16S-P6A2-D05-L2_P3-D05-MouseAvatar-KD32-Stool1-m3-Feces</t>
  </si>
  <si>
    <t>sample_16S-P4-A1-H05-L6_P10-H05-MouseAvatar-KD32-Stool1-m3-Feces</t>
  </si>
  <si>
    <t>sample_16S-P6A2-D06-L2_P3-D06-MouseAvatar-KD32-Stool1-m4-Feces</t>
  </si>
  <si>
    <t>sample_16S-P4-A1-H06-L6_P10-H06-MouseAvatar-KD32-Stool1-m4-Feces</t>
  </si>
  <si>
    <t>sample_16S-P6A2-D08-L2_P3-D08-MouseAvatar-KD32-Stool2-m2-Feces</t>
  </si>
  <si>
    <t>sample_16S-P4-A1-H08-L6_P10-H08-MouseAvatar-KD32-Stool2-m2-Feces</t>
  </si>
  <si>
    <t>sample_16S-P6A2-D09-L2_P3-D09-MouseAvatar-KD32-Stool2-m3-Feces</t>
  </si>
  <si>
    <t>sample_16S-P4-A1-H09-L6_P10-H09-MouseAvatar-KD32-Stool2-m3-Feces</t>
  </si>
  <si>
    <t>sample_16S-P6A2-D10-L2_P3-D10-MouseAvatar-KD32-Stool2-m4-Feces</t>
  </si>
  <si>
    <t>sample_16S-P4-A1-H10-L6_P10-H10-MouseAvatar-KD32-Stool2-m4-Feces</t>
  </si>
  <si>
    <t>sample_16S-P6A2-D11-L2_P3-D11-MouseAvatar-KD32-Stool2-m5-Feces</t>
  </si>
  <si>
    <t>sample_16S-P4-A1-H11-L6_P10-H11-MouseAvatar-KD32-Stool2-m5-Feces</t>
  </si>
  <si>
    <t>sample_16S-P6A2-D12-L2_P3-D12-MouseAvatar-KD32-Stool3-m1-Feces</t>
  </si>
  <si>
    <t>sample_16S-P4-A1-H12-L6_P10-H12-MouseAvatar-KD32-Stool3-m1-Feces</t>
  </si>
  <si>
    <t>sample_16S-P6A2-E01-L2_P3-E01-MouseAvatar-KD32-Stool3-m2-Feces</t>
  </si>
  <si>
    <t>sample_16S-P4-A1-A01-L7_P11-A01-MouseAvatar-KD32-Stool3-m2-Feces</t>
  </si>
  <si>
    <t>sample_16S-P6A2-E02-L2_P3-E02-MouseAvatar-KD31-Capsule-m1-Feces</t>
  </si>
  <si>
    <t>sample_16S-P4-A1-A02-L7_P11-A02-MouseAvatar-KD31-Capsule-m1-Feces</t>
  </si>
  <si>
    <t>sample_16S-P6A2-E03-L2_P3-E03-MouseAvatar-KD31-Capsule-m2-Feces</t>
  </si>
  <si>
    <t>sample_16S-P4-A1-A03-L7_P11-A03-MouseAvatar-KD31-Capsule-m2-Feces</t>
  </si>
  <si>
    <t>sample_16S-P6A2-E04-L2_P3-E04-MouseAvatar-KD31-Capsule-m3-Feces</t>
  </si>
  <si>
    <t>sample_16S-P4-A1-A04-L7_P11-A04-MouseAvatar-KD31-Capsule-m3-Feces</t>
  </si>
  <si>
    <t>sample_16S-P6A2-E05-L2_P3-E05-MouseAvatar-KD31-Capsule-m4-Feces</t>
  </si>
  <si>
    <t>sample_16S-P4-A1-A05-L7_P11-A05-MouseAvatar-KD31-Capsule-m4-Feces</t>
  </si>
  <si>
    <t>sample_16S-P6A2-E06-L2_P3-E06-MouseAvatar-KD31-Stool1-m1-Feces</t>
  </si>
  <si>
    <t>sample_16S-P4-A1-A06-L7_P11-A06-MouseAvatar-KD31-Stool1-m1-Feces</t>
  </si>
  <si>
    <t>sample_16S-P6A2-E07-L2_P3-E07-MouseAvatar-KD31-Stool1-m2-Feces</t>
  </si>
  <si>
    <t>sample_16S-P4-A1-A07-L7_P11-A07-MouseAvatar-KD31-Stool1-m2-Feces</t>
  </si>
  <si>
    <t>sample_16S-P6A2-E08-L2_P3-E08-MouseAvatar-KD31-Stool1-m3-Feces</t>
  </si>
  <si>
    <t>sample_16S-P4-A1-A08-L7_P11-A08-MouseAvatar-KD31-Stool1-m3-Feces</t>
  </si>
  <si>
    <t>sample_16S-P6A2-E09-L2_P3-E09-MouseAvatar-KD31-Stool1-m4-Feces</t>
  </si>
  <si>
    <t>sample_16S-P4-A1-A09-L7_P11-A09-MouseAvatar-KD31-Stool1-m4-Feces</t>
  </si>
  <si>
    <t>sample_16S-P6A2-E10-L2_P3-E10-MouseAvatar-KD31-Stool1-m5-Feces</t>
  </si>
  <si>
    <t>sample_16S-P4-A1-A10-L7_P11-A10-MouseAvatar-KD31-Stool1-m5-Feces</t>
  </si>
  <si>
    <t>sample_16S-P6A2-E11-L2_P3-E11-MouseAvatar-KD31-Stool2-m1-Feces</t>
  </si>
  <si>
    <t>sample_16S-P4-A1-A11-L7_P11-A11-MouseAvatar-KD31-Stool2-m1-Feces</t>
  </si>
  <si>
    <t>sample_16S-P6A2-E12-L2_P3-E12-MouseAvatar-KD31-Stool2-m2-Feces</t>
  </si>
  <si>
    <t>sample_16S-P4-A1-A12-L7_P11-A12-MouseAvatar-KD31-Stool2-m2-Feces</t>
  </si>
  <si>
    <t>sample_16S-P6A2-F01-L2_P3-F01-MouseAvatar-KD31-Stool2-m3-Feces</t>
  </si>
  <si>
    <t>sample_16S-P4-A1-B01-L7_P11-B01-MouseAvatar-KD31-Stool2-m3-Feces</t>
  </si>
  <si>
    <t>sample_16S-P6A2-F02-L2_P3-F02-MouseAvatar-KD31-Stool2-m4-Feces</t>
  </si>
  <si>
    <t>sample_16S-P4-A1-B02-L7_P11-B02-MouseAvatar-KD31-Stool2-m4-Feces</t>
  </si>
  <si>
    <t>sample_16S-P6A2-F03-L2_P3-F03-MouseAvatar-KD31-Stool2-m5-Feces</t>
  </si>
  <si>
    <t>sample_16S-P4-A1-B03-L7_P11-B03-MouseAvatar-KD31-Stool2-m5-Feces</t>
  </si>
  <si>
    <t>sample_16S-P6A2-F04-L2_P3-F04-MouseAvatar-KD31-Stool3-m1-Feces</t>
  </si>
  <si>
    <t>sample_16S-P4-A1-B04-L7_P11-B04-MouseAvatar-KD31-Stool3-m1-Feces</t>
  </si>
  <si>
    <t>sample_16S-P6A2-F05-L2_P3-F05-MouseAvatar-KD31-Stool3-m2-Feces</t>
  </si>
  <si>
    <t>sample_16S-P4-A1-B05-L7_P11-B05-MouseAvatar-KD31-Stool3-m2-Feces</t>
  </si>
  <si>
    <t>sample_16S-P6A2-F06-L2_P3-F06-MouseAvatar-KD31-Stool3-m3-Feces</t>
  </si>
  <si>
    <t>sample_16S-P4-A1-B06-L7_P11-B06-MouseAvatar-KD31-Stool3-m3-Feces</t>
  </si>
  <si>
    <t>sample_16S-P6A2-F07-L2_P3-F07-MouseAvatar-KD31-Stool3-m4-Feces</t>
  </si>
  <si>
    <t>sample_16S-P4-A1-B07-L7_P11-B07-MouseAvatar-KD31-Stool3-m4-Feces</t>
  </si>
  <si>
    <t>sample_16S-P6A2-F08-L2_P3-F08-MouseAvatar-KD31-Stool3-m5-Feces</t>
  </si>
  <si>
    <t>sample_16S-P4-A1-B08-L7_P11-B08-MouseAvatar-KD31-Stool3-m5-Feces</t>
  </si>
  <si>
    <t>sample_16S-P6A2-F09-L2_P3-F09-MouseAvatar-KD30-HumanSaliva</t>
  </si>
  <si>
    <t>sample_16S-P4-A1-A05-L6_P10-A05-MouseAvatar-KD30-HumanSaliva</t>
  </si>
  <si>
    <t>sample_16S-P6A2-F10-L2_P3-F10-MouseAvatar-KD30-CapsuleSI</t>
  </si>
  <si>
    <t>sample_16S-P4-A1-A06-L6_P10-A06-MouseAvatar-KD30-CapsuleSI</t>
  </si>
  <si>
    <t>sample_16S-P6A2-F11-L2_P3-F11-MouseAvatar-KD30-HumanStool1</t>
  </si>
  <si>
    <t>sample_16S-P4-A1-B09-L7_P11-B09-MouseAvatar-KD30--m-HumanStool1</t>
  </si>
  <si>
    <t>sample_16S-P6A2-F12-L2_P3-F12-MouseAvatar-KD30-HumanStool2</t>
  </si>
  <si>
    <t>sample_16S-P4-A1-B10-L7_P11-B10-MouseAvatar-KD30--m-HumanStool2</t>
  </si>
  <si>
    <t>sample_16S-P6A2-G01-L2_P3-G01-MouseAvatar-KD31-HumanSaliva</t>
  </si>
  <si>
    <t>sample_16S-P4-A1-A08-L6_P10-A08-MouseAvatar-KD32-HumanSaliva</t>
  </si>
  <si>
    <t>sample_16S-P6A2-G02-L2_P3-G02-MouseAvatar-KD31-CapsuleSI</t>
  </si>
  <si>
    <t>sample_16S-P4-A1-A07-L6_P10-A07-MouseAvatar-KD31-CapsuleSI</t>
  </si>
  <si>
    <t>sample_16S-P6A2-G03-L2_P3-G03-MouseAvatar-KD31-CapsuleAC</t>
  </si>
  <si>
    <t>sample_16S-P4-A1-A09-L6_P10-A09-MouseAvatar-KD32-CapsuleSI</t>
  </si>
  <si>
    <t>sample_16S-P6A2-G04-L2_P3-G04-MouseAvatar-KD31-HumanStool1</t>
  </si>
  <si>
    <t>sample_16S-P4-A1-C01-L7_P11-C01-MouseAvatar-KD31--m-HumanStool1</t>
  </si>
  <si>
    <t>sample_16S-P6A2-G05-L2_P3-G05-MouseAvatar-KD31-HumanStool2</t>
  </si>
  <si>
    <t>sample_16S-P4-A1-C02-L7_P11-C02-MouseAvatar-KD31--m-HumanStool2</t>
  </si>
  <si>
    <t>sample_16S-P6A2-G06-L2_P3-G06-MouseAvatar-KD32-HumanSaliva</t>
  </si>
  <si>
    <t>sample_16S-P4-A1-A10-L6_P10-A10-MouseAvatar-KD34-HumanSaliva</t>
  </si>
  <si>
    <t>sample_16S-P6A2-G07-L2_P3-G07-MouseAvatar-KD32-CapsuleSI</t>
  </si>
  <si>
    <t>sample_16S-P4-A1-A11-L6_P10-A11-MouseAvatar-KD34-CapsuleSI</t>
  </si>
  <si>
    <t>sample_16S-P6A2-G08-L2_P3-G08-MouseAvatar-KD32-HumanStool1</t>
  </si>
  <si>
    <t>sample_16S-P4-A1-C03-L7_P11-C03-MouseAvatar-KD32--m-HumanStool1</t>
  </si>
  <si>
    <t>sample_16S-P6A2-G09-L2_P3-G09-MouseAvatar-KD32-HumanStool2</t>
  </si>
  <si>
    <t>sample_16S-P4-A1-C04-L7_P11-C04-MouseAvatar-KD32--m-HumanStool2</t>
  </si>
  <si>
    <t>sample_16S-P6A2-G10-L2_P3-G10-MouseAvatar-KD34-HumanSaliva</t>
  </si>
  <si>
    <t>sample_16S-P4-A1-B11-L7_P11-B11-MouseAvatar-KD31--m-HumanSaliva</t>
  </si>
  <si>
    <t>sample_16S-P6A2-G11-L2_P3-G11-MouseAvatar-KD34-CapsuleSI</t>
  </si>
  <si>
    <t>sample_16S-P4-A1-B12-L7_P11-B12-MouseAvatar-KD31--m-CapsuleAC</t>
  </si>
  <si>
    <t>sample_16S-P6A2-G12-L2_P3-G12-MouseAvatar-KD34-CapsuleAC</t>
  </si>
  <si>
    <t>sample_16S-P4-A1-C05-L7_P11-C05-MouseAvatar-KD34--m-CapsuleAC</t>
  </si>
  <si>
    <t>sample_16S-P6A2-H01-L2_P3-H01-MouseAvatar-KD34-HumanStool1</t>
  </si>
  <si>
    <t>sample_16S-P4-A1-C06-L7_P11-C06-MouseAvatar-KD34--m-HumanStool1</t>
  </si>
  <si>
    <t>sample_16S-P6A2-H02-L2_P3-H02-MouseAvatar-KD34-HumanStool2</t>
  </si>
  <si>
    <t>sample_16S-P4-A1-C07-L7_P11-C07-MouseAvatar-KD34--m-HumanStool2</t>
  </si>
  <si>
    <t>sample_16S-NA-Unk1-L2_P3-D07-MouseAvatar-KD32-Stool2-m1-Feces</t>
  </si>
  <si>
    <t>sample_16S-P4-A1-H07-L6_P10-H07-MouseAvatar-KD32-Stool2-m1-Feces</t>
  </si>
  <si>
    <t>sample_16S-NA-Unk2-L2_P3-D07-MouseAvatar-KD32-Stool2-m1-Feces</t>
  </si>
  <si>
    <t>PCR</t>
  </si>
  <si>
    <t>EMP</t>
  </si>
  <si>
    <t>SampleNum</t>
  </si>
  <si>
    <t>Study</t>
  </si>
  <si>
    <t>EnvivoNIH</t>
  </si>
  <si>
    <t>IBD</t>
  </si>
  <si>
    <t>D0113A</t>
  </si>
  <si>
    <t>SIBO</t>
  </si>
  <si>
    <t>Other</t>
  </si>
  <si>
    <t>11G</t>
  </si>
  <si>
    <t>13G</t>
  </si>
  <si>
    <t>15G</t>
  </si>
  <si>
    <t>17G</t>
  </si>
  <si>
    <t>19G</t>
  </si>
  <si>
    <t>23G</t>
  </si>
  <si>
    <t>25G</t>
  </si>
  <si>
    <t>27G</t>
  </si>
  <si>
    <t>240501_Blood_kc2</t>
  </si>
  <si>
    <t>31G</t>
  </si>
  <si>
    <t>240501_Saliva_kc2</t>
  </si>
  <si>
    <t>32G</t>
  </si>
  <si>
    <t>A0144A</t>
  </si>
  <si>
    <t>A0144C</t>
  </si>
  <si>
    <t>A0144F</t>
  </si>
  <si>
    <t>C0101A</t>
  </si>
  <si>
    <t>C0102A</t>
  </si>
  <si>
    <t>C0103A</t>
  </si>
  <si>
    <t>C0104A</t>
  </si>
  <si>
    <t>C0105A</t>
  </si>
  <si>
    <t>240517_Blood_kc21</t>
  </si>
  <si>
    <t>C0106A</t>
  </si>
  <si>
    <t>240517_Saliva_kc21</t>
  </si>
  <si>
    <t>C0107A</t>
  </si>
  <si>
    <t>C0108A</t>
  </si>
  <si>
    <t>C0109A</t>
  </si>
  <si>
    <t>C0110A</t>
  </si>
  <si>
    <t>C0111A</t>
  </si>
  <si>
    <t>C0112A</t>
  </si>
  <si>
    <t>C0113A</t>
  </si>
  <si>
    <t>C0114A</t>
  </si>
  <si>
    <t>C0115A</t>
  </si>
  <si>
    <t>C0116A</t>
  </si>
  <si>
    <t>C0117A</t>
  </si>
  <si>
    <t>C0118A</t>
  </si>
  <si>
    <t>C0119A</t>
  </si>
  <si>
    <t>D0102A</t>
  </si>
  <si>
    <t>D0103A</t>
  </si>
  <si>
    <t>D0104A</t>
  </si>
  <si>
    <t>D0105A</t>
  </si>
  <si>
    <t>D0106A</t>
  </si>
  <si>
    <t>D0107A</t>
  </si>
  <si>
    <t>D0108A</t>
  </si>
  <si>
    <t>D0110A</t>
  </si>
  <si>
    <t>D0111A</t>
  </si>
  <si>
    <t>D0112A</t>
  </si>
  <si>
    <t>D0114A</t>
  </si>
  <si>
    <t>D0115A</t>
  </si>
  <si>
    <t>D0116A</t>
  </si>
  <si>
    <t>D0117A</t>
  </si>
  <si>
    <t>D0118A</t>
  </si>
  <si>
    <t>D0119A</t>
  </si>
  <si>
    <t>D0120A</t>
  </si>
  <si>
    <t>D0121A</t>
  </si>
  <si>
    <t>D0129A</t>
  </si>
  <si>
    <t>D0130A</t>
  </si>
  <si>
    <t>D0131A</t>
  </si>
  <si>
    <t>39G</t>
  </si>
  <si>
    <t>A0160A</t>
  </si>
  <si>
    <t>C0120A</t>
  </si>
  <si>
    <t>C0121A</t>
  </si>
  <si>
    <t>C0122A</t>
  </si>
  <si>
    <t>C0123A</t>
  </si>
  <si>
    <t>LONGIT</t>
  </si>
  <si>
    <t>D0122A</t>
  </si>
  <si>
    <t>D0123A</t>
  </si>
  <si>
    <t>D0124A</t>
  </si>
  <si>
    <t>D0125A</t>
  </si>
  <si>
    <t>D0126A</t>
  </si>
  <si>
    <t>D0127A</t>
  </si>
  <si>
    <t>D0128A</t>
  </si>
  <si>
    <t>D0132A</t>
  </si>
  <si>
    <t>D0133A</t>
  </si>
  <si>
    <t>D0150A</t>
  </si>
  <si>
    <t>C0124A</t>
  </si>
  <si>
    <t>C0125A</t>
  </si>
  <si>
    <t>C0126A</t>
  </si>
  <si>
    <t>C0127A</t>
  </si>
  <si>
    <t>D0134A</t>
  </si>
  <si>
    <t>D0144A</t>
  </si>
  <si>
    <t>D0145A</t>
  </si>
  <si>
    <t>D0146A</t>
  </si>
  <si>
    <t>D0147A</t>
  </si>
  <si>
    <t>D0148A</t>
  </si>
  <si>
    <t>D0149A</t>
  </si>
  <si>
    <t>D0151A</t>
  </si>
  <si>
    <t>A0160B</t>
  </si>
  <si>
    <t>C0001_240501_Cap_C0001R1</t>
  </si>
  <si>
    <t>C0002_240501_Cap_C0001R2</t>
  </si>
  <si>
    <t>C0003_240501_Cap_C0001R3</t>
  </si>
  <si>
    <t>C0004_240501_Stool_C0001R4</t>
  </si>
  <si>
    <t>C0005_240501_Cap_C0002R1</t>
  </si>
  <si>
    <t>C0006_240501_Cap_C0002R2</t>
  </si>
  <si>
    <t>C0007_240501_Cap_C0002R3</t>
  </si>
  <si>
    <t>C0008_240501_Stool_C0002R4</t>
  </si>
  <si>
    <t>C0009_240516_Cap_C0003R1</t>
  </si>
  <si>
    <t>C0010_240516_Cap_C0003R2</t>
  </si>
  <si>
    <t>C0011_240516_Cap_C0003R3</t>
  </si>
  <si>
    <t>C0012_240516_Stool_C0003R4</t>
  </si>
  <si>
    <t>C0013_240516_Cap_C0004R1</t>
  </si>
  <si>
    <t>C0014_240516_Cap_C0004R2</t>
  </si>
  <si>
    <t>C0015_240516_Cap_C0004R3</t>
  </si>
  <si>
    <t>C0016_240516_Stool_C0004R4</t>
  </si>
  <si>
    <t>D0001_240419_Cap_C001R1</t>
  </si>
  <si>
    <t>D0004_240419_Stool_C001R4</t>
  </si>
  <si>
    <t>D0005_240419_Cap_C002R1</t>
  </si>
  <si>
    <t>D0006_240419_Cap_C002R2</t>
  </si>
  <si>
    <t>D0007_240419_Cap_C002R3</t>
  </si>
  <si>
    <t>D0008_240419_Stool_C002R4</t>
  </si>
  <si>
    <t>D0009_240423_Cap_C003R1</t>
  </si>
  <si>
    <t>D0010_240423_Cap_C003R2</t>
  </si>
  <si>
    <t>D0011_240423_Cap_C003R3</t>
  </si>
  <si>
    <t>D0012_240423_Stool_C003R4</t>
  </si>
  <si>
    <t>D0013_240509_Cap_C004R1</t>
  </si>
  <si>
    <t>D0016_240509_Stool_C004R4</t>
  </si>
  <si>
    <t>LS0001_240311_Cap_C001R1</t>
  </si>
  <si>
    <t>LS0002_240311_Cap_C001R2</t>
  </si>
  <si>
    <t>LS0003_240311_Cap_C001R3</t>
  </si>
  <si>
    <t>LS0004_240313_Cap_C002R1</t>
  </si>
  <si>
    <t>LS0005_240313_Cap_C002R2</t>
  </si>
  <si>
    <t>LS0006_240313_Cap_C002R3</t>
  </si>
  <si>
    <t>LS0007_240313_Cap_C003R1</t>
  </si>
  <si>
    <t>LS0008_240313_Cap_C003R2</t>
  </si>
  <si>
    <t>LS0009_240313_Cap_C003R3</t>
  </si>
  <si>
    <t>LS0010_240315_Cap_C004R1</t>
  </si>
  <si>
    <t>LS0011_240315_Cap_C004R2</t>
  </si>
  <si>
    <t>LS0012_240315_Cap_C004R3</t>
  </si>
  <si>
    <t>LS0013_240315_Cap_C005R1</t>
  </si>
  <si>
    <t>LS0016_240316_Cap_C006R1</t>
  </si>
  <si>
    <t>LS0017_240316_Cap_C006R2</t>
  </si>
  <si>
    <t>LS0018_240316_Cap_C006R3</t>
  </si>
  <si>
    <t>LS0019_240316_Cap_C007R1</t>
  </si>
  <si>
    <t>LS0020_240316_Cap_C007R2</t>
  </si>
  <si>
    <t>LS0021_240316_Cap_C007R3</t>
  </si>
  <si>
    <t>LS0021-2_240316_Cap_C007R4</t>
  </si>
  <si>
    <t>LS0022_240313_Cap_C008R1</t>
  </si>
  <si>
    <t>LS0023_240313_Cap_C008R2</t>
  </si>
  <si>
    <t>LS0024_240313_Cap_C008R3</t>
  </si>
  <si>
    <t>LS0025_240313_Cap_C009R1</t>
  </si>
  <si>
    <t>LS0026_240313_Cap_C009R2</t>
  </si>
  <si>
    <t>LS0028_240315_Cap_C010R1</t>
  </si>
  <si>
    <t>LS0029_240315_Cap_C010R2</t>
  </si>
  <si>
    <t>LS0030_240315_Cap_C010R3</t>
  </si>
  <si>
    <t>LS0031_240315_Cap_C011R1</t>
  </si>
  <si>
    <t>LS0032_240315_Cap_C011R2</t>
  </si>
  <si>
    <t>LS0033_240315_Cap_C011R3</t>
  </si>
  <si>
    <t>Alias</t>
  </si>
  <si>
    <t>4_UIUC-20240528</t>
  </si>
  <si>
    <t>DIP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</si>
</sst>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0"/>
      <color rgb="FF000000"/>
      <name val="Helvetica"/>
      <family val="2"/>
    </font>
    <font>
      <sz val="10"/>
      <color rgb="FF000000"/>
      <name val="Helvetica"/>
      <family val="2"/>
    </font>
    <font>
      <sz val="10"/>
      <name val="Helvetica"/>
      <family val="2"/>
    </font>
    <font>
      <b/>
      <sz val="12"/>
      <color theme="1"/>
      <name val="Arial"/>
      <family val="2"/>
    </font>
    <font>
      <b/>
      <i/>
      <sz val="12"/>
      <name val="Arial"/>
      <family val="2"/>
    </font>
    <font>
      <b/>
      <i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A02B9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86DCD"/>
        <bgColor rgb="FF000000"/>
      </patternFill>
    </fill>
    <fill>
      <patternFill patternType="solid">
        <fgColor theme="8" tint="0.39997558519241921"/>
        <bgColor rgb="FF000000"/>
      </patternFill>
    </fill>
    <fill>
      <patternFill patternType="solid">
        <fgColor rgb="FF8ED973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theme="9" tint="0.79998168889431442"/>
        <bgColor rgb="FF000000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0" fillId="0" borderId="0" xfId="0" quotePrefix="1"/>
    <xf numFmtId="0" fontId="18" fillId="0" borderId="0" xfId="0" applyFont="1"/>
    <xf numFmtId="0" fontId="20" fillId="0" borderId="0" xfId="0" applyFont="1"/>
    <xf numFmtId="0" fontId="21" fillId="0" borderId="10" xfId="0" applyFont="1" applyBorder="1" applyAlignment="1">
      <alignment horizontal="left"/>
    </xf>
    <xf numFmtId="0" fontId="21" fillId="33" borderId="10" xfId="0" applyFont="1" applyFill="1" applyBorder="1" applyAlignment="1">
      <alignment horizontal="left"/>
    </xf>
    <xf numFmtId="0" fontId="22" fillId="34" borderId="10" xfId="0" applyFont="1" applyFill="1" applyBorder="1" applyAlignment="1">
      <alignment horizontal="left"/>
    </xf>
    <xf numFmtId="0" fontId="22" fillId="34" borderId="10" xfId="0" quotePrefix="1" applyFont="1" applyFill="1" applyBorder="1" applyAlignment="1">
      <alignment horizontal="left"/>
    </xf>
    <xf numFmtId="0" fontId="22" fillId="35" borderId="10" xfId="0" applyFont="1" applyFill="1" applyBorder="1" applyAlignment="1">
      <alignment horizontal="left"/>
    </xf>
    <xf numFmtId="0" fontId="22" fillId="36" borderId="10" xfId="0" applyFont="1" applyFill="1" applyBorder="1" applyAlignment="1">
      <alignment horizontal="left"/>
    </xf>
    <xf numFmtId="0" fontId="23" fillId="36" borderId="10" xfId="0" applyFont="1" applyFill="1" applyBorder="1" applyAlignment="1">
      <alignment horizontal="left"/>
    </xf>
    <xf numFmtId="0" fontId="23" fillId="37" borderId="10" xfId="0" applyFont="1" applyFill="1" applyBorder="1" applyAlignment="1">
      <alignment horizontal="left"/>
    </xf>
    <xf numFmtId="0" fontId="22" fillId="38" borderId="10" xfId="0" applyFont="1" applyFill="1" applyBorder="1" applyAlignment="1">
      <alignment horizontal="left"/>
    </xf>
    <xf numFmtId="0" fontId="22" fillId="39" borderId="10" xfId="0" applyFont="1" applyFill="1" applyBorder="1" applyAlignment="1">
      <alignment horizontal="left"/>
    </xf>
    <xf numFmtId="0" fontId="22" fillId="40" borderId="10" xfId="0" applyFont="1" applyFill="1" applyBorder="1" applyAlignment="1">
      <alignment horizontal="left"/>
    </xf>
    <xf numFmtId="0" fontId="23" fillId="40" borderId="10" xfId="0" applyFont="1" applyFill="1" applyBorder="1" applyAlignment="1">
      <alignment horizontal="left"/>
    </xf>
    <xf numFmtId="0" fontId="22" fillId="41" borderId="10" xfId="0" applyFont="1" applyFill="1" applyBorder="1" applyAlignment="1">
      <alignment horizontal="left"/>
    </xf>
    <xf numFmtId="0" fontId="22" fillId="35" borderId="11" xfId="0" applyFont="1" applyFill="1" applyBorder="1" applyAlignment="1">
      <alignment horizontal="left"/>
    </xf>
    <xf numFmtId="0" fontId="24" fillId="0" borderId="0" xfId="0" applyFont="1" applyFill="1"/>
    <xf numFmtId="0" fontId="25" fillId="0" borderId="10" xfId="0" applyFont="1" applyFill="1" applyBorder="1" applyAlignment="1">
      <alignment horizontal="left"/>
    </xf>
    <xf numFmtId="0" fontId="26" fillId="0" borderId="10" xfId="0" applyFont="1" applyFill="1" applyBorder="1"/>
    <xf numFmtId="0" fontId="27" fillId="0" borderId="0" xfId="0" applyFont="1" applyFill="1"/>
    <xf numFmtId="0" fontId="28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C2E1D-31EC-044A-9E54-0421612A5CFB}">
  <dimension ref="A1:X1153"/>
  <sheetViews>
    <sheetView tabSelected="1" workbookViewId="0">
      <selection activeCell="A21" sqref="A21"/>
    </sheetView>
  </sheetViews>
  <sheetFormatPr baseColWidth="10" defaultRowHeight="16" x14ac:dyDescent="0.2"/>
  <cols>
    <col min="1" max="1" width="75.6640625" customWidth="1"/>
    <col min="2" max="2" width="5.1640625" bestFit="1" customWidth="1"/>
    <col min="3" max="3" width="83.5" bestFit="1" customWidth="1"/>
    <col min="4" max="4" width="18" customWidth="1"/>
    <col min="15" max="15" width="13" bestFit="1" customWidth="1"/>
  </cols>
  <sheetData>
    <row r="1" spans="1:24" x14ac:dyDescent="0.2">
      <c r="A1" s="2" t="s">
        <v>173</v>
      </c>
      <c r="B1" s="2" t="s">
        <v>0</v>
      </c>
      <c r="C1" s="2" t="s">
        <v>1</v>
      </c>
      <c r="D1" s="2" t="s">
        <v>1326</v>
      </c>
      <c r="E1" s="2" t="s">
        <v>2</v>
      </c>
      <c r="F1" s="2" t="s">
        <v>3</v>
      </c>
      <c r="G1" s="2" t="s">
        <v>4</v>
      </c>
      <c r="H1" s="2" t="s">
        <v>1330</v>
      </c>
      <c r="I1" s="2" t="s">
        <v>1329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</row>
    <row r="2" spans="1:24" ht="15" customHeight="1" x14ac:dyDescent="0.2">
      <c r="A2" t="str">
        <f>_xlfn.CONCAT("sample_miseq-",C2)</f>
        <v>sample_miseq-16S-A-A01-L0_SICap-P1-A1-P1D2-M9-C1R1-noBile-rep1-day2</v>
      </c>
      <c r="B2" s="1" t="s">
        <v>174</v>
      </c>
      <c r="C2" s="3" t="s">
        <v>750</v>
      </c>
      <c r="D2" s="3" t="s">
        <v>1327</v>
      </c>
      <c r="E2" t="s">
        <v>20</v>
      </c>
      <c r="F2" t="s">
        <v>21</v>
      </c>
      <c r="G2" t="s">
        <v>22</v>
      </c>
      <c r="H2" t="str">
        <f>RIGHT(G2,2)</f>
        <v>01</v>
      </c>
      <c r="I2" t="str">
        <f>LEFT(G2)</f>
        <v>A</v>
      </c>
      <c r="J2" t="s">
        <v>23</v>
      </c>
      <c r="K2" t="s">
        <v>24</v>
      </c>
      <c r="L2" t="s">
        <v>25</v>
      </c>
      <c r="M2" t="s">
        <v>26</v>
      </c>
      <c r="N2">
        <v>1</v>
      </c>
      <c r="O2">
        <v>2</v>
      </c>
      <c r="P2" t="s">
        <v>27</v>
      </c>
      <c r="Q2" t="s">
        <v>28</v>
      </c>
      <c r="R2" t="s">
        <v>28</v>
      </c>
      <c r="S2" t="s">
        <v>28</v>
      </c>
      <c r="T2" t="s">
        <v>28</v>
      </c>
      <c r="U2" t="s">
        <v>28</v>
      </c>
      <c r="V2" t="s">
        <v>28</v>
      </c>
      <c r="W2">
        <v>0</v>
      </c>
      <c r="X2" t="s">
        <v>29</v>
      </c>
    </row>
    <row r="3" spans="1:24" x14ac:dyDescent="0.2">
      <c r="A3" t="str">
        <f t="shared" ref="A3:A66" si="0">_xlfn.CONCAT("sample_miseq-",C3)</f>
        <v>sample_miseq-16S-A-A02-L0_SICap-P1-A2-P1D2-M9-C1R2-noBile-rep1-day2</v>
      </c>
      <c r="B3" s="1" t="s">
        <v>175</v>
      </c>
      <c r="C3" s="3" t="s">
        <v>751</v>
      </c>
      <c r="D3" s="3" t="s">
        <v>1327</v>
      </c>
      <c r="E3" t="s">
        <v>20</v>
      </c>
      <c r="F3" t="s">
        <v>21</v>
      </c>
      <c r="G3" t="s">
        <v>30</v>
      </c>
      <c r="H3" t="str">
        <f t="shared" ref="H3:H66" si="1">RIGHT(G3,2)</f>
        <v>02</v>
      </c>
      <c r="I3" t="str">
        <f t="shared" ref="I3:I66" si="2">LEFT(G3)</f>
        <v>A</v>
      </c>
      <c r="J3" t="s">
        <v>23</v>
      </c>
      <c r="K3" t="s">
        <v>24</v>
      </c>
      <c r="L3" t="s">
        <v>25</v>
      </c>
      <c r="M3" t="s">
        <v>31</v>
      </c>
      <c r="N3">
        <v>1</v>
      </c>
      <c r="O3">
        <v>2</v>
      </c>
      <c r="P3" t="s">
        <v>27</v>
      </c>
      <c r="Q3" t="s">
        <v>28</v>
      </c>
      <c r="R3" t="s">
        <v>28</v>
      </c>
      <c r="S3" t="s">
        <v>28</v>
      </c>
      <c r="T3" t="s">
        <v>28</v>
      </c>
      <c r="U3" t="s">
        <v>28</v>
      </c>
      <c r="V3" t="s">
        <v>28</v>
      </c>
      <c r="W3">
        <v>0</v>
      </c>
      <c r="X3" t="s">
        <v>29</v>
      </c>
    </row>
    <row r="4" spans="1:24" x14ac:dyDescent="0.2">
      <c r="A4" t="str">
        <f t="shared" si="0"/>
        <v>sample_miseq-16S-A-A03-L0_SICap-P1-A3-P1D2-M9-C2R1-noBile-rep1-day2</v>
      </c>
      <c r="B4" s="1" t="s">
        <v>176</v>
      </c>
      <c r="C4" s="3" t="s">
        <v>752</v>
      </c>
      <c r="D4" s="3" t="s">
        <v>1327</v>
      </c>
      <c r="E4" t="s">
        <v>20</v>
      </c>
      <c r="F4" t="s">
        <v>21</v>
      </c>
      <c r="G4" t="s">
        <v>32</v>
      </c>
      <c r="H4" t="str">
        <f t="shared" si="1"/>
        <v>03</v>
      </c>
      <c r="I4" t="str">
        <f t="shared" si="2"/>
        <v>A</v>
      </c>
      <c r="J4" t="s">
        <v>23</v>
      </c>
      <c r="K4" t="s">
        <v>24</v>
      </c>
      <c r="L4" t="s">
        <v>25</v>
      </c>
      <c r="M4" t="s">
        <v>33</v>
      </c>
      <c r="N4">
        <v>1</v>
      </c>
      <c r="O4">
        <v>2</v>
      </c>
      <c r="P4" t="s">
        <v>27</v>
      </c>
      <c r="Q4" t="s">
        <v>28</v>
      </c>
      <c r="R4" t="s">
        <v>28</v>
      </c>
      <c r="S4" t="s">
        <v>28</v>
      </c>
      <c r="T4" t="s">
        <v>28</v>
      </c>
      <c r="U4" t="s">
        <v>28</v>
      </c>
      <c r="V4" t="s">
        <v>28</v>
      </c>
      <c r="W4">
        <v>0</v>
      </c>
      <c r="X4" t="s">
        <v>29</v>
      </c>
    </row>
    <row r="5" spans="1:24" x14ac:dyDescent="0.2">
      <c r="A5" t="str">
        <f t="shared" si="0"/>
        <v>sample_miseq-16S-A-A04-L0_SICap-P1-A4-P1D2-M9-C2R2-noBile-rep1-day2</v>
      </c>
      <c r="B5" s="1" t="s">
        <v>177</v>
      </c>
      <c r="C5" s="3" t="s">
        <v>753</v>
      </c>
      <c r="D5" s="3" t="s">
        <v>1327</v>
      </c>
      <c r="E5" t="s">
        <v>20</v>
      </c>
      <c r="F5" t="s">
        <v>21</v>
      </c>
      <c r="G5" t="s">
        <v>34</v>
      </c>
      <c r="H5" t="str">
        <f t="shared" si="1"/>
        <v>04</v>
      </c>
      <c r="I5" t="str">
        <f t="shared" si="2"/>
        <v>A</v>
      </c>
      <c r="J5" t="s">
        <v>23</v>
      </c>
      <c r="K5" t="s">
        <v>24</v>
      </c>
      <c r="L5" t="s">
        <v>25</v>
      </c>
      <c r="M5" t="s">
        <v>35</v>
      </c>
      <c r="N5">
        <v>1</v>
      </c>
      <c r="O5">
        <v>2</v>
      </c>
      <c r="P5" t="s">
        <v>27</v>
      </c>
      <c r="Q5" t="s">
        <v>28</v>
      </c>
      <c r="R5" t="s">
        <v>28</v>
      </c>
      <c r="S5" t="s">
        <v>28</v>
      </c>
      <c r="T5" t="s">
        <v>28</v>
      </c>
      <c r="U5" t="s">
        <v>28</v>
      </c>
      <c r="V5" t="s">
        <v>28</v>
      </c>
      <c r="W5">
        <v>0</v>
      </c>
      <c r="X5" t="s">
        <v>29</v>
      </c>
    </row>
    <row r="6" spans="1:24" x14ac:dyDescent="0.2">
      <c r="A6" t="str">
        <f t="shared" si="0"/>
        <v>sample_miseq-16S-A-A05-L0_SICap-P1-A5-P1D2-M9-C3R1-noBile-rep1-day2</v>
      </c>
      <c r="B6" s="1" t="s">
        <v>178</v>
      </c>
      <c r="C6" s="3" t="s">
        <v>754</v>
      </c>
      <c r="D6" s="3" t="s">
        <v>1327</v>
      </c>
      <c r="E6" t="s">
        <v>20</v>
      </c>
      <c r="F6" t="s">
        <v>21</v>
      </c>
      <c r="G6" t="s">
        <v>36</v>
      </c>
      <c r="H6" t="str">
        <f t="shared" si="1"/>
        <v>05</v>
      </c>
      <c r="I6" t="str">
        <f t="shared" si="2"/>
        <v>A</v>
      </c>
      <c r="J6" t="s">
        <v>23</v>
      </c>
      <c r="K6" t="s">
        <v>24</v>
      </c>
      <c r="L6" t="s">
        <v>25</v>
      </c>
      <c r="M6" t="s">
        <v>37</v>
      </c>
      <c r="N6">
        <v>1</v>
      </c>
      <c r="O6">
        <v>2</v>
      </c>
      <c r="P6" t="s">
        <v>27</v>
      </c>
      <c r="Q6" t="s">
        <v>28</v>
      </c>
      <c r="R6" t="s">
        <v>28</v>
      </c>
      <c r="S6" t="s">
        <v>28</v>
      </c>
      <c r="T6" t="s">
        <v>28</v>
      </c>
      <c r="U6" t="s">
        <v>28</v>
      </c>
      <c r="V6" t="s">
        <v>28</v>
      </c>
      <c r="W6">
        <v>0</v>
      </c>
      <c r="X6" t="s">
        <v>29</v>
      </c>
    </row>
    <row r="7" spans="1:24" x14ac:dyDescent="0.2">
      <c r="A7" t="str">
        <f t="shared" si="0"/>
        <v>sample_miseq-16S-A-A06-L0_SICap-P1-A6-P1D2-M9-C3R2-noBile-rep1-day2</v>
      </c>
      <c r="B7" s="1" t="s">
        <v>179</v>
      </c>
      <c r="C7" s="3" t="s">
        <v>755</v>
      </c>
      <c r="D7" s="3" t="s">
        <v>1327</v>
      </c>
      <c r="E7" t="s">
        <v>20</v>
      </c>
      <c r="F7" t="s">
        <v>21</v>
      </c>
      <c r="G7" t="s">
        <v>38</v>
      </c>
      <c r="H7" t="str">
        <f t="shared" si="1"/>
        <v>06</v>
      </c>
      <c r="I7" t="str">
        <f t="shared" si="2"/>
        <v>A</v>
      </c>
      <c r="J7" t="s">
        <v>23</v>
      </c>
      <c r="K7" t="s">
        <v>24</v>
      </c>
      <c r="L7" t="s">
        <v>25</v>
      </c>
      <c r="M7" t="s">
        <v>39</v>
      </c>
      <c r="N7">
        <v>1</v>
      </c>
      <c r="O7">
        <v>2</v>
      </c>
      <c r="P7" t="s">
        <v>27</v>
      </c>
      <c r="Q7" t="s">
        <v>28</v>
      </c>
      <c r="R7" t="s">
        <v>28</v>
      </c>
      <c r="S7" t="s">
        <v>28</v>
      </c>
      <c r="T7" t="s">
        <v>28</v>
      </c>
      <c r="U7" t="s">
        <v>28</v>
      </c>
      <c r="V7" t="s">
        <v>28</v>
      </c>
      <c r="W7">
        <v>0</v>
      </c>
      <c r="X7" t="s">
        <v>29</v>
      </c>
    </row>
    <row r="8" spans="1:24" x14ac:dyDescent="0.2">
      <c r="A8" t="str">
        <f t="shared" si="0"/>
        <v>sample_miseq-16S-A-A07-L0_SICap-P1-A7-P1D2-M9-C4R1-noBile-rep1-day2</v>
      </c>
      <c r="B8" s="1" t="s">
        <v>180</v>
      </c>
      <c r="C8" s="3" t="s">
        <v>756</v>
      </c>
      <c r="D8" s="3" t="s">
        <v>1327</v>
      </c>
      <c r="E8" t="s">
        <v>20</v>
      </c>
      <c r="F8" t="s">
        <v>21</v>
      </c>
      <c r="G8" t="s">
        <v>40</v>
      </c>
      <c r="H8" t="str">
        <f t="shared" si="1"/>
        <v>07</v>
      </c>
      <c r="I8" t="str">
        <f t="shared" si="2"/>
        <v>A</v>
      </c>
      <c r="J8" t="s">
        <v>23</v>
      </c>
      <c r="K8" t="s">
        <v>24</v>
      </c>
      <c r="L8" t="s">
        <v>25</v>
      </c>
      <c r="M8" t="s">
        <v>41</v>
      </c>
      <c r="N8">
        <v>1</v>
      </c>
      <c r="O8">
        <v>2</v>
      </c>
      <c r="P8" t="s">
        <v>27</v>
      </c>
      <c r="Q8" t="s">
        <v>28</v>
      </c>
      <c r="R8" t="s">
        <v>28</v>
      </c>
      <c r="S8" t="s">
        <v>28</v>
      </c>
      <c r="T8" t="s">
        <v>28</v>
      </c>
      <c r="U8" t="s">
        <v>28</v>
      </c>
      <c r="V8" t="s">
        <v>28</v>
      </c>
      <c r="W8">
        <v>0</v>
      </c>
      <c r="X8" t="s">
        <v>29</v>
      </c>
    </row>
    <row r="9" spans="1:24" x14ac:dyDescent="0.2">
      <c r="A9" t="str">
        <f t="shared" si="0"/>
        <v>sample_miseq-16S-A-A08-L0_SICap-P1-A8-P1D2-M9-C4R2-noBile-rep1-day2</v>
      </c>
      <c r="B9" s="1" t="s">
        <v>181</v>
      </c>
      <c r="C9" s="3" t="s">
        <v>757</v>
      </c>
      <c r="D9" s="3" t="s">
        <v>1327</v>
      </c>
      <c r="E9" t="s">
        <v>20</v>
      </c>
      <c r="F9" t="s">
        <v>21</v>
      </c>
      <c r="G9" t="s">
        <v>42</v>
      </c>
      <c r="H9" t="str">
        <f t="shared" si="1"/>
        <v>08</v>
      </c>
      <c r="I9" t="str">
        <f t="shared" si="2"/>
        <v>A</v>
      </c>
      <c r="J9" t="s">
        <v>23</v>
      </c>
      <c r="K9" t="s">
        <v>24</v>
      </c>
      <c r="L9" t="s">
        <v>25</v>
      </c>
      <c r="M9" t="s">
        <v>43</v>
      </c>
      <c r="N9">
        <v>1</v>
      </c>
      <c r="O9">
        <v>2</v>
      </c>
      <c r="P9" t="s">
        <v>27</v>
      </c>
      <c r="Q9" t="s">
        <v>28</v>
      </c>
      <c r="R9" t="s">
        <v>28</v>
      </c>
      <c r="S9" t="s">
        <v>28</v>
      </c>
      <c r="T9" t="s">
        <v>28</v>
      </c>
      <c r="U9" t="s">
        <v>28</v>
      </c>
      <c r="V9" t="s">
        <v>28</v>
      </c>
      <c r="W9">
        <v>0</v>
      </c>
      <c r="X9" t="s">
        <v>29</v>
      </c>
    </row>
    <row r="10" spans="1:24" x14ac:dyDescent="0.2">
      <c r="A10" t="str">
        <f t="shared" si="0"/>
        <v>sample_miseq-16S-A-A09-L0_SICap-P1-A9-P1D2-M9-S1R2-noBile-rep1-day2</v>
      </c>
      <c r="B10" s="1" t="s">
        <v>182</v>
      </c>
      <c r="C10" s="3" t="s">
        <v>758</v>
      </c>
      <c r="D10" s="3" t="s">
        <v>1327</v>
      </c>
      <c r="E10" t="s">
        <v>20</v>
      </c>
      <c r="F10" t="s">
        <v>21</v>
      </c>
      <c r="G10" t="s">
        <v>44</v>
      </c>
      <c r="H10" t="str">
        <f t="shared" si="1"/>
        <v>09</v>
      </c>
      <c r="I10" t="str">
        <f t="shared" si="2"/>
        <v>A</v>
      </c>
      <c r="J10" t="s">
        <v>23</v>
      </c>
      <c r="K10" t="s">
        <v>24</v>
      </c>
      <c r="L10" t="s">
        <v>25</v>
      </c>
      <c r="M10" t="s">
        <v>45</v>
      </c>
      <c r="N10">
        <v>1</v>
      </c>
      <c r="O10">
        <v>2</v>
      </c>
      <c r="P10" t="s">
        <v>27</v>
      </c>
      <c r="Q10" t="s">
        <v>28</v>
      </c>
      <c r="R10" t="s">
        <v>28</v>
      </c>
      <c r="S10" t="s">
        <v>28</v>
      </c>
      <c r="T10" t="s">
        <v>28</v>
      </c>
      <c r="U10" t="s">
        <v>28</v>
      </c>
      <c r="V10" t="s">
        <v>28</v>
      </c>
      <c r="W10">
        <v>0</v>
      </c>
      <c r="X10" t="s">
        <v>29</v>
      </c>
    </row>
    <row r="11" spans="1:24" x14ac:dyDescent="0.2">
      <c r="A11" t="str">
        <f t="shared" si="0"/>
        <v>sample_miseq-16S-A-A10-L0_SICap-P1-A10-P1D2-M9-StoolPool-noBile-rep1-day2</v>
      </c>
      <c r="B11" s="1" t="s">
        <v>183</v>
      </c>
      <c r="C11" s="3" t="s">
        <v>759</v>
      </c>
      <c r="D11" s="3" t="s">
        <v>1327</v>
      </c>
      <c r="E11" t="s">
        <v>20</v>
      </c>
      <c r="F11" t="s">
        <v>21</v>
      </c>
      <c r="G11" t="s">
        <v>46</v>
      </c>
      <c r="H11" t="str">
        <f t="shared" si="1"/>
        <v>10</v>
      </c>
      <c r="I11" t="str">
        <f t="shared" si="2"/>
        <v>A</v>
      </c>
      <c r="J11" t="s">
        <v>23</v>
      </c>
      <c r="K11" t="s">
        <v>24</v>
      </c>
      <c r="L11" t="s">
        <v>25</v>
      </c>
      <c r="M11" t="s">
        <v>47</v>
      </c>
      <c r="N11">
        <v>1</v>
      </c>
      <c r="O11">
        <v>2</v>
      </c>
      <c r="P11" t="s">
        <v>27</v>
      </c>
      <c r="Q11" t="s">
        <v>28</v>
      </c>
      <c r="R11" t="s">
        <v>28</v>
      </c>
      <c r="S11" t="s">
        <v>28</v>
      </c>
      <c r="T11" t="s">
        <v>28</v>
      </c>
      <c r="U11" t="s">
        <v>28</v>
      </c>
      <c r="V11" t="s">
        <v>28</v>
      </c>
      <c r="W11">
        <v>0</v>
      </c>
      <c r="X11" t="s">
        <v>29</v>
      </c>
    </row>
    <row r="12" spans="1:24" x14ac:dyDescent="0.2">
      <c r="A12" t="str">
        <f t="shared" si="0"/>
        <v>sample_miseq-16S-A-A11-L0_SICap-P1-A11-P1D2-M9-SIPool-noBile-rep1-day2</v>
      </c>
      <c r="B12" s="1" t="s">
        <v>184</v>
      </c>
      <c r="C12" s="3" t="s">
        <v>760</v>
      </c>
      <c r="D12" s="3" t="s">
        <v>1327</v>
      </c>
      <c r="E12" t="s">
        <v>20</v>
      </c>
      <c r="F12" t="s">
        <v>21</v>
      </c>
      <c r="G12" t="s">
        <v>48</v>
      </c>
      <c r="H12" t="str">
        <f t="shared" si="1"/>
        <v>11</v>
      </c>
      <c r="I12" t="str">
        <f t="shared" si="2"/>
        <v>A</v>
      </c>
      <c r="J12" t="s">
        <v>23</v>
      </c>
      <c r="K12" t="s">
        <v>24</v>
      </c>
      <c r="L12" t="s">
        <v>25</v>
      </c>
      <c r="M12" t="s">
        <v>49</v>
      </c>
      <c r="N12">
        <v>1</v>
      </c>
      <c r="O12">
        <v>2</v>
      </c>
      <c r="P12" t="s">
        <v>27</v>
      </c>
      <c r="Q12" t="s">
        <v>28</v>
      </c>
      <c r="R12" t="s">
        <v>28</v>
      </c>
      <c r="S12" t="s">
        <v>28</v>
      </c>
      <c r="T12" t="s">
        <v>28</v>
      </c>
      <c r="U12" t="s">
        <v>28</v>
      </c>
      <c r="V12" t="s">
        <v>28</v>
      </c>
      <c r="W12">
        <v>0</v>
      </c>
      <c r="X12" t="s">
        <v>29</v>
      </c>
    </row>
    <row r="13" spans="1:24" x14ac:dyDescent="0.2">
      <c r="A13" t="str">
        <f t="shared" si="0"/>
        <v>sample_miseq-16S-A-A12-L0_SICap-P1-A12-P1D2-M9-Media-noBile-rep1-day2</v>
      </c>
      <c r="B13" s="1" t="s">
        <v>185</v>
      </c>
      <c r="C13" s="3" t="s">
        <v>761</v>
      </c>
      <c r="D13" s="3" t="s">
        <v>1327</v>
      </c>
      <c r="E13" t="s">
        <v>20</v>
      </c>
      <c r="F13" t="s">
        <v>21</v>
      </c>
      <c r="G13" t="s">
        <v>50</v>
      </c>
      <c r="H13" t="str">
        <f t="shared" si="1"/>
        <v>12</v>
      </c>
      <c r="I13" t="str">
        <f t="shared" si="2"/>
        <v>A</v>
      </c>
      <c r="J13" t="s">
        <v>23</v>
      </c>
      <c r="K13" t="s">
        <v>24</v>
      </c>
      <c r="L13" t="s">
        <v>25</v>
      </c>
      <c r="M13" t="s">
        <v>6</v>
      </c>
      <c r="N13">
        <v>1</v>
      </c>
      <c r="O13">
        <v>2</v>
      </c>
      <c r="P13" t="s">
        <v>27</v>
      </c>
      <c r="Q13" t="s">
        <v>28</v>
      </c>
      <c r="R13" t="s">
        <v>28</v>
      </c>
      <c r="S13" t="s">
        <v>28</v>
      </c>
      <c r="T13" t="s">
        <v>28</v>
      </c>
      <c r="U13" t="s">
        <v>28</v>
      </c>
      <c r="V13" t="s">
        <v>28</v>
      </c>
      <c r="W13">
        <v>0</v>
      </c>
      <c r="X13" t="s">
        <v>29</v>
      </c>
    </row>
    <row r="14" spans="1:24" x14ac:dyDescent="0.2">
      <c r="A14" t="str">
        <f t="shared" si="0"/>
        <v>sample_miseq-16S-A-B01-L0_SICap-P1-B1-P1D2-EZ-RDM-C1R1-noBile-rep1-day2</v>
      </c>
      <c r="B14" s="1" t="s">
        <v>186</v>
      </c>
      <c r="C14" s="3" t="s">
        <v>762</v>
      </c>
      <c r="D14" s="3" t="s">
        <v>1327</v>
      </c>
      <c r="E14" t="s">
        <v>20</v>
      </c>
      <c r="F14" t="s">
        <v>21</v>
      </c>
      <c r="G14" t="s">
        <v>51</v>
      </c>
      <c r="H14" t="str">
        <f t="shared" si="1"/>
        <v>01</v>
      </c>
      <c r="I14" t="str">
        <f t="shared" si="2"/>
        <v>B</v>
      </c>
      <c r="J14" t="s">
        <v>23</v>
      </c>
      <c r="K14" t="s">
        <v>52</v>
      </c>
      <c r="L14" t="s">
        <v>25</v>
      </c>
      <c r="M14" t="s">
        <v>26</v>
      </c>
      <c r="N14">
        <v>1</v>
      </c>
      <c r="O14">
        <v>2</v>
      </c>
      <c r="P14" t="s">
        <v>27</v>
      </c>
      <c r="Q14" t="s">
        <v>28</v>
      </c>
      <c r="R14" t="s">
        <v>28</v>
      </c>
      <c r="S14" t="s">
        <v>28</v>
      </c>
      <c r="T14" t="s">
        <v>28</v>
      </c>
      <c r="U14" t="s">
        <v>28</v>
      </c>
      <c r="V14" t="s">
        <v>28</v>
      </c>
      <c r="W14">
        <v>0</v>
      </c>
      <c r="X14" t="s">
        <v>29</v>
      </c>
    </row>
    <row r="15" spans="1:24" x14ac:dyDescent="0.2">
      <c r="A15" t="str">
        <f t="shared" si="0"/>
        <v>sample_miseq-16S-A-B02-L0_SICap-P1-B2-P1D2-EZ-RDM-C1R2-noBile-rep1-day2</v>
      </c>
      <c r="B15" s="1" t="s">
        <v>187</v>
      </c>
      <c r="C15" s="3" t="s">
        <v>763</v>
      </c>
      <c r="D15" s="3" t="s">
        <v>1327</v>
      </c>
      <c r="E15" t="s">
        <v>20</v>
      </c>
      <c r="F15" t="s">
        <v>21</v>
      </c>
      <c r="G15" t="s">
        <v>53</v>
      </c>
      <c r="H15" t="str">
        <f t="shared" si="1"/>
        <v>02</v>
      </c>
      <c r="I15" t="str">
        <f t="shared" si="2"/>
        <v>B</v>
      </c>
      <c r="J15" t="s">
        <v>23</v>
      </c>
      <c r="K15" t="s">
        <v>52</v>
      </c>
      <c r="L15" t="s">
        <v>25</v>
      </c>
      <c r="M15" t="s">
        <v>31</v>
      </c>
      <c r="N15">
        <v>1</v>
      </c>
      <c r="O15">
        <v>2</v>
      </c>
      <c r="P15" t="s">
        <v>27</v>
      </c>
      <c r="Q15" t="s">
        <v>28</v>
      </c>
      <c r="R15" t="s">
        <v>28</v>
      </c>
      <c r="S15" t="s">
        <v>28</v>
      </c>
      <c r="T15" t="s">
        <v>28</v>
      </c>
      <c r="U15" t="s">
        <v>28</v>
      </c>
      <c r="V15" t="s">
        <v>28</v>
      </c>
      <c r="W15">
        <v>0</v>
      </c>
      <c r="X15" t="s">
        <v>29</v>
      </c>
    </row>
    <row r="16" spans="1:24" x14ac:dyDescent="0.2">
      <c r="A16" t="str">
        <f t="shared" si="0"/>
        <v>sample_miseq-16S-A-B03-L0_SICap-P1-B3-P1D2-EZ-RDM-C2R1-noBile-rep1-day2</v>
      </c>
      <c r="B16" s="1" t="s">
        <v>188</v>
      </c>
      <c r="C16" s="3" t="s">
        <v>764</v>
      </c>
      <c r="D16" s="3" t="s">
        <v>1327</v>
      </c>
      <c r="E16" t="s">
        <v>20</v>
      </c>
      <c r="F16" t="s">
        <v>21</v>
      </c>
      <c r="G16" t="s">
        <v>54</v>
      </c>
      <c r="H16" t="str">
        <f t="shared" si="1"/>
        <v>03</v>
      </c>
      <c r="I16" t="str">
        <f t="shared" si="2"/>
        <v>B</v>
      </c>
      <c r="J16" t="s">
        <v>23</v>
      </c>
      <c r="K16" t="s">
        <v>52</v>
      </c>
      <c r="L16" t="s">
        <v>25</v>
      </c>
      <c r="M16" t="s">
        <v>33</v>
      </c>
      <c r="N16">
        <v>1</v>
      </c>
      <c r="O16">
        <v>2</v>
      </c>
      <c r="P16" t="s">
        <v>27</v>
      </c>
      <c r="Q16" t="s">
        <v>28</v>
      </c>
      <c r="R16" t="s">
        <v>28</v>
      </c>
      <c r="S16" t="s">
        <v>28</v>
      </c>
      <c r="T16" t="s">
        <v>28</v>
      </c>
      <c r="U16" t="s">
        <v>28</v>
      </c>
      <c r="V16" t="s">
        <v>28</v>
      </c>
      <c r="W16">
        <v>0</v>
      </c>
      <c r="X16" t="s">
        <v>29</v>
      </c>
    </row>
    <row r="17" spans="1:24" x14ac:dyDescent="0.2">
      <c r="A17" t="str">
        <f t="shared" si="0"/>
        <v>sample_miseq-16S-A-B04-L0_SICap-P1-B4-P1D2-EZ-RDM-C2R2-noBile-rep1-day2</v>
      </c>
      <c r="B17" s="1" t="s">
        <v>189</v>
      </c>
      <c r="C17" s="3" t="s">
        <v>765</v>
      </c>
      <c r="D17" s="3" t="s">
        <v>1327</v>
      </c>
      <c r="E17" t="s">
        <v>20</v>
      </c>
      <c r="F17" t="s">
        <v>21</v>
      </c>
      <c r="G17" t="s">
        <v>55</v>
      </c>
      <c r="H17" t="str">
        <f t="shared" si="1"/>
        <v>04</v>
      </c>
      <c r="I17" t="str">
        <f t="shared" si="2"/>
        <v>B</v>
      </c>
      <c r="J17" t="s">
        <v>23</v>
      </c>
      <c r="K17" t="s">
        <v>52</v>
      </c>
      <c r="L17" t="s">
        <v>25</v>
      </c>
      <c r="M17" t="s">
        <v>35</v>
      </c>
      <c r="N17">
        <v>1</v>
      </c>
      <c r="O17">
        <v>2</v>
      </c>
      <c r="P17" t="s">
        <v>27</v>
      </c>
      <c r="Q17" t="s">
        <v>28</v>
      </c>
      <c r="R17" t="s">
        <v>28</v>
      </c>
      <c r="S17" t="s">
        <v>28</v>
      </c>
      <c r="T17" t="s">
        <v>28</v>
      </c>
      <c r="U17" t="s">
        <v>28</v>
      </c>
      <c r="V17" t="s">
        <v>28</v>
      </c>
      <c r="W17">
        <v>0</v>
      </c>
      <c r="X17" t="s">
        <v>29</v>
      </c>
    </row>
    <row r="18" spans="1:24" x14ac:dyDescent="0.2">
      <c r="A18" t="str">
        <f t="shared" si="0"/>
        <v>sample_miseq-16S-A-B05-L0_SICap-P1-B5-P1D2-EZ-RDM-C3R1-noBile-rep1-day2</v>
      </c>
      <c r="B18" s="1" t="s">
        <v>190</v>
      </c>
      <c r="C18" s="3" t="s">
        <v>766</v>
      </c>
      <c r="D18" s="3" t="s">
        <v>1327</v>
      </c>
      <c r="E18" t="s">
        <v>20</v>
      </c>
      <c r="F18" t="s">
        <v>21</v>
      </c>
      <c r="G18" t="s">
        <v>56</v>
      </c>
      <c r="H18" t="str">
        <f t="shared" si="1"/>
        <v>05</v>
      </c>
      <c r="I18" t="str">
        <f t="shared" si="2"/>
        <v>B</v>
      </c>
      <c r="J18" t="s">
        <v>23</v>
      </c>
      <c r="K18" t="s">
        <v>52</v>
      </c>
      <c r="L18" t="s">
        <v>25</v>
      </c>
      <c r="M18" t="s">
        <v>37</v>
      </c>
      <c r="N18">
        <v>1</v>
      </c>
      <c r="O18">
        <v>2</v>
      </c>
      <c r="P18" t="s">
        <v>27</v>
      </c>
      <c r="Q18" t="s">
        <v>28</v>
      </c>
      <c r="R18" t="s">
        <v>28</v>
      </c>
      <c r="S18" t="s">
        <v>28</v>
      </c>
      <c r="T18" t="s">
        <v>28</v>
      </c>
      <c r="U18" t="s">
        <v>28</v>
      </c>
      <c r="V18" t="s">
        <v>28</v>
      </c>
      <c r="W18">
        <v>0</v>
      </c>
      <c r="X18" t="s">
        <v>29</v>
      </c>
    </row>
    <row r="19" spans="1:24" x14ac:dyDescent="0.2">
      <c r="A19" t="str">
        <f t="shared" si="0"/>
        <v>sample_miseq-16S-A-B06-L0_SICap-P1-B6-P1D2-EZ-RDM-C3R2-noBile-rep1-day2</v>
      </c>
      <c r="B19" s="1" t="s">
        <v>191</v>
      </c>
      <c r="C19" s="3" t="s">
        <v>767</v>
      </c>
      <c r="D19" s="3" t="s">
        <v>1327</v>
      </c>
      <c r="E19" t="s">
        <v>20</v>
      </c>
      <c r="F19" t="s">
        <v>21</v>
      </c>
      <c r="G19" t="s">
        <v>57</v>
      </c>
      <c r="H19" t="str">
        <f t="shared" si="1"/>
        <v>06</v>
      </c>
      <c r="I19" t="str">
        <f t="shared" si="2"/>
        <v>B</v>
      </c>
      <c r="J19" t="s">
        <v>23</v>
      </c>
      <c r="K19" t="s">
        <v>52</v>
      </c>
      <c r="L19" t="s">
        <v>25</v>
      </c>
      <c r="M19" t="s">
        <v>39</v>
      </c>
      <c r="N19">
        <v>1</v>
      </c>
      <c r="O19">
        <v>2</v>
      </c>
      <c r="P19" t="s">
        <v>27</v>
      </c>
      <c r="Q19" t="s">
        <v>28</v>
      </c>
      <c r="R19" t="s">
        <v>28</v>
      </c>
      <c r="S19" t="s">
        <v>28</v>
      </c>
      <c r="T19" t="s">
        <v>28</v>
      </c>
      <c r="U19" t="s">
        <v>28</v>
      </c>
      <c r="V19" t="s">
        <v>28</v>
      </c>
      <c r="W19">
        <v>0</v>
      </c>
      <c r="X19" t="s">
        <v>29</v>
      </c>
    </row>
    <row r="20" spans="1:24" x14ac:dyDescent="0.2">
      <c r="A20" t="str">
        <f t="shared" si="0"/>
        <v>sample_miseq-16S-A-B07-L0_SICap-P1-B7-P1D2-EZ-RDM-C4R1-noBile-rep1-day2</v>
      </c>
      <c r="B20" s="1" t="s">
        <v>192</v>
      </c>
      <c r="C20" s="3" t="s">
        <v>768</v>
      </c>
      <c r="D20" s="3" t="s">
        <v>1327</v>
      </c>
      <c r="E20" t="s">
        <v>20</v>
      </c>
      <c r="F20" t="s">
        <v>21</v>
      </c>
      <c r="G20" t="s">
        <v>58</v>
      </c>
      <c r="H20" t="str">
        <f t="shared" si="1"/>
        <v>07</v>
      </c>
      <c r="I20" t="str">
        <f t="shared" si="2"/>
        <v>B</v>
      </c>
      <c r="J20" t="s">
        <v>23</v>
      </c>
      <c r="K20" t="s">
        <v>52</v>
      </c>
      <c r="L20" t="s">
        <v>25</v>
      </c>
      <c r="M20" t="s">
        <v>41</v>
      </c>
      <c r="N20">
        <v>1</v>
      </c>
      <c r="O20">
        <v>2</v>
      </c>
      <c r="P20" t="s">
        <v>27</v>
      </c>
      <c r="Q20" t="s">
        <v>28</v>
      </c>
      <c r="R20" t="s">
        <v>28</v>
      </c>
      <c r="S20" t="s">
        <v>28</v>
      </c>
      <c r="T20" t="s">
        <v>28</v>
      </c>
      <c r="U20" t="s">
        <v>28</v>
      </c>
      <c r="V20" t="s">
        <v>28</v>
      </c>
      <c r="W20">
        <v>0</v>
      </c>
      <c r="X20" t="s">
        <v>29</v>
      </c>
    </row>
    <row r="21" spans="1:24" x14ac:dyDescent="0.2">
      <c r="A21" t="str">
        <f t="shared" si="0"/>
        <v>sample_miseq-16S-A-B08-L0_SICap-P1-B8-P1D2-EZ-RDM-C4R2-noBile-rep1-day2</v>
      </c>
      <c r="B21" s="1" t="s">
        <v>193</v>
      </c>
      <c r="C21" s="3" t="s">
        <v>769</v>
      </c>
      <c r="D21" s="3" t="s">
        <v>1327</v>
      </c>
      <c r="E21" t="s">
        <v>20</v>
      </c>
      <c r="F21" t="s">
        <v>21</v>
      </c>
      <c r="G21" t="s">
        <v>59</v>
      </c>
      <c r="H21" t="str">
        <f t="shared" si="1"/>
        <v>08</v>
      </c>
      <c r="I21" t="str">
        <f t="shared" si="2"/>
        <v>B</v>
      </c>
      <c r="J21" t="s">
        <v>23</v>
      </c>
      <c r="K21" t="s">
        <v>52</v>
      </c>
      <c r="L21" t="s">
        <v>25</v>
      </c>
      <c r="M21" t="s">
        <v>43</v>
      </c>
      <c r="N21">
        <v>1</v>
      </c>
      <c r="O21">
        <v>2</v>
      </c>
      <c r="P21" t="s">
        <v>27</v>
      </c>
      <c r="Q21" t="s">
        <v>28</v>
      </c>
      <c r="R21" t="s">
        <v>28</v>
      </c>
      <c r="S21" t="s">
        <v>28</v>
      </c>
      <c r="T21" t="s">
        <v>28</v>
      </c>
      <c r="U21" t="s">
        <v>28</v>
      </c>
      <c r="V21" t="s">
        <v>28</v>
      </c>
      <c r="W21">
        <v>0</v>
      </c>
      <c r="X21" t="s">
        <v>29</v>
      </c>
    </row>
    <row r="22" spans="1:24" x14ac:dyDescent="0.2">
      <c r="A22" t="str">
        <f t="shared" si="0"/>
        <v>sample_miseq-16S-A-B09-L0_SICap-P1-B9-P1D2-EZ-RDM-S1R2-noBile-rep1-day2</v>
      </c>
      <c r="B22" s="1" t="s">
        <v>194</v>
      </c>
      <c r="C22" s="3" t="s">
        <v>770</v>
      </c>
      <c r="D22" s="3" t="s">
        <v>1327</v>
      </c>
      <c r="E22" t="s">
        <v>20</v>
      </c>
      <c r="F22" t="s">
        <v>21</v>
      </c>
      <c r="G22" t="s">
        <v>60</v>
      </c>
      <c r="H22" t="str">
        <f t="shared" si="1"/>
        <v>09</v>
      </c>
      <c r="I22" t="str">
        <f t="shared" si="2"/>
        <v>B</v>
      </c>
      <c r="J22" t="s">
        <v>23</v>
      </c>
      <c r="K22" t="s">
        <v>52</v>
      </c>
      <c r="L22" t="s">
        <v>25</v>
      </c>
      <c r="M22" t="s">
        <v>45</v>
      </c>
      <c r="N22">
        <v>1</v>
      </c>
      <c r="O22">
        <v>2</v>
      </c>
      <c r="P22" t="s">
        <v>27</v>
      </c>
      <c r="Q22" t="s">
        <v>28</v>
      </c>
      <c r="R22" t="s">
        <v>28</v>
      </c>
      <c r="S22" t="s">
        <v>28</v>
      </c>
      <c r="T22" t="s">
        <v>28</v>
      </c>
      <c r="U22" t="s">
        <v>28</v>
      </c>
      <c r="V22" t="s">
        <v>28</v>
      </c>
      <c r="W22">
        <v>0</v>
      </c>
      <c r="X22" t="s">
        <v>29</v>
      </c>
    </row>
    <row r="23" spans="1:24" x14ac:dyDescent="0.2">
      <c r="A23" t="str">
        <f t="shared" si="0"/>
        <v>sample_miseq-16S-A-B10-L0_SICap-P1-B10-P1D2-EZ-RDM-StoolPool-noBile-rep1-day2</v>
      </c>
      <c r="B23" s="1" t="s">
        <v>195</v>
      </c>
      <c r="C23" s="3" t="s">
        <v>771</v>
      </c>
      <c r="D23" s="3" t="s">
        <v>1327</v>
      </c>
      <c r="E23" t="s">
        <v>20</v>
      </c>
      <c r="F23" t="s">
        <v>21</v>
      </c>
      <c r="G23" t="s">
        <v>61</v>
      </c>
      <c r="H23" t="str">
        <f t="shared" si="1"/>
        <v>10</v>
      </c>
      <c r="I23" t="str">
        <f t="shared" si="2"/>
        <v>B</v>
      </c>
      <c r="J23" t="s">
        <v>23</v>
      </c>
      <c r="K23" t="s">
        <v>52</v>
      </c>
      <c r="L23" t="s">
        <v>25</v>
      </c>
      <c r="M23" t="s">
        <v>47</v>
      </c>
      <c r="N23">
        <v>1</v>
      </c>
      <c r="O23">
        <v>2</v>
      </c>
      <c r="P23" t="s">
        <v>27</v>
      </c>
      <c r="Q23" t="s">
        <v>28</v>
      </c>
      <c r="R23" t="s">
        <v>28</v>
      </c>
      <c r="S23" t="s">
        <v>28</v>
      </c>
      <c r="T23" t="s">
        <v>28</v>
      </c>
      <c r="U23" t="s">
        <v>28</v>
      </c>
      <c r="V23" t="s">
        <v>28</v>
      </c>
      <c r="W23">
        <v>0</v>
      </c>
      <c r="X23" t="s">
        <v>29</v>
      </c>
    </row>
    <row r="24" spans="1:24" x14ac:dyDescent="0.2">
      <c r="A24" t="str">
        <f t="shared" si="0"/>
        <v>sample_miseq-16S-A-B11-L0_SICap-P1-B11-P1D2-EZ-RDM-SIPool-noBile-rep1-day2</v>
      </c>
      <c r="B24" s="1" t="s">
        <v>196</v>
      </c>
      <c r="C24" s="3" t="s">
        <v>772</v>
      </c>
      <c r="D24" s="3" t="s">
        <v>1327</v>
      </c>
      <c r="E24" t="s">
        <v>20</v>
      </c>
      <c r="F24" t="s">
        <v>21</v>
      </c>
      <c r="G24" t="s">
        <v>62</v>
      </c>
      <c r="H24" t="str">
        <f t="shared" si="1"/>
        <v>11</v>
      </c>
      <c r="I24" t="str">
        <f t="shared" si="2"/>
        <v>B</v>
      </c>
      <c r="J24" t="s">
        <v>23</v>
      </c>
      <c r="K24" t="s">
        <v>52</v>
      </c>
      <c r="L24" t="s">
        <v>25</v>
      </c>
      <c r="M24" t="s">
        <v>49</v>
      </c>
      <c r="N24">
        <v>1</v>
      </c>
      <c r="O24">
        <v>2</v>
      </c>
      <c r="P24" t="s">
        <v>27</v>
      </c>
      <c r="Q24" t="s">
        <v>28</v>
      </c>
      <c r="R24" t="s">
        <v>28</v>
      </c>
      <c r="S24" t="s">
        <v>28</v>
      </c>
      <c r="T24" t="s">
        <v>28</v>
      </c>
      <c r="U24" t="s">
        <v>28</v>
      </c>
      <c r="V24" t="s">
        <v>28</v>
      </c>
      <c r="W24">
        <v>0</v>
      </c>
      <c r="X24" t="s">
        <v>29</v>
      </c>
    </row>
    <row r="25" spans="1:24" x14ac:dyDescent="0.2">
      <c r="A25" t="str">
        <f t="shared" si="0"/>
        <v>sample_miseq-16S-A-B12-L0_SICap-P1-B12-P1D2-EZ-RDM-Media-noBile-rep1-day2</v>
      </c>
      <c r="B25" s="1" t="s">
        <v>197</v>
      </c>
      <c r="C25" s="3" t="s">
        <v>773</v>
      </c>
      <c r="D25" s="3" t="s">
        <v>1327</v>
      </c>
      <c r="E25" t="s">
        <v>20</v>
      </c>
      <c r="F25" t="s">
        <v>21</v>
      </c>
      <c r="G25" t="s">
        <v>63</v>
      </c>
      <c r="H25" t="str">
        <f t="shared" si="1"/>
        <v>12</v>
      </c>
      <c r="I25" t="str">
        <f t="shared" si="2"/>
        <v>B</v>
      </c>
      <c r="J25" t="s">
        <v>23</v>
      </c>
      <c r="K25" t="s">
        <v>52</v>
      </c>
      <c r="L25" t="s">
        <v>25</v>
      </c>
      <c r="M25" t="s">
        <v>6</v>
      </c>
      <c r="N25">
        <v>1</v>
      </c>
      <c r="O25">
        <v>2</v>
      </c>
      <c r="P25" t="s">
        <v>27</v>
      </c>
      <c r="Q25" t="s">
        <v>28</v>
      </c>
      <c r="R25" t="s">
        <v>28</v>
      </c>
      <c r="S25" t="s">
        <v>28</v>
      </c>
      <c r="T25" t="s">
        <v>28</v>
      </c>
      <c r="U25" t="s">
        <v>28</v>
      </c>
      <c r="V25" t="s">
        <v>28</v>
      </c>
      <c r="W25">
        <v>0</v>
      </c>
      <c r="X25" t="s">
        <v>29</v>
      </c>
    </row>
    <row r="26" spans="1:24" x14ac:dyDescent="0.2">
      <c r="A26" t="str">
        <f t="shared" si="0"/>
        <v>sample_miseq-16S-A-C01-L0_SICap-P1-C1-P1D2-BHI-C1R1-noBile-rep1-day2</v>
      </c>
      <c r="B26" s="1" t="s">
        <v>198</v>
      </c>
      <c r="C26" s="3" t="s">
        <v>774</v>
      </c>
      <c r="D26" s="3" t="s">
        <v>1327</v>
      </c>
      <c r="E26" t="s">
        <v>20</v>
      </c>
      <c r="F26" t="s">
        <v>21</v>
      </c>
      <c r="G26" t="s">
        <v>64</v>
      </c>
      <c r="H26" t="str">
        <f t="shared" si="1"/>
        <v>01</v>
      </c>
      <c r="I26" t="str">
        <f t="shared" si="2"/>
        <v>C</v>
      </c>
      <c r="J26" t="s">
        <v>23</v>
      </c>
      <c r="K26" t="s">
        <v>65</v>
      </c>
      <c r="L26" t="s">
        <v>25</v>
      </c>
      <c r="M26" t="s">
        <v>26</v>
      </c>
      <c r="N26">
        <v>1</v>
      </c>
      <c r="O26">
        <v>2</v>
      </c>
      <c r="P26" t="s">
        <v>27</v>
      </c>
      <c r="Q26" t="s">
        <v>28</v>
      </c>
      <c r="R26" t="s">
        <v>28</v>
      </c>
      <c r="S26" t="s">
        <v>28</v>
      </c>
      <c r="T26" t="s">
        <v>28</v>
      </c>
      <c r="U26" t="s">
        <v>28</v>
      </c>
      <c r="V26" t="s">
        <v>28</v>
      </c>
      <c r="W26">
        <v>0</v>
      </c>
      <c r="X26" t="s">
        <v>29</v>
      </c>
    </row>
    <row r="27" spans="1:24" x14ac:dyDescent="0.2">
      <c r="A27" t="str">
        <f t="shared" si="0"/>
        <v>sample_miseq-16S-A-C02-L0_SICap-P1-C2-P1D2-BHI-C1R2-noBile-rep1-day2</v>
      </c>
      <c r="B27" s="1" t="s">
        <v>199</v>
      </c>
      <c r="C27" s="3" t="s">
        <v>775</v>
      </c>
      <c r="D27" s="3" t="s">
        <v>1327</v>
      </c>
      <c r="E27" t="s">
        <v>20</v>
      </c>
      <c r="F27" t="s">
        <v>21</v>
      </c>
      <c r="G27" t="s">
        <v>66</v>
      </c>
      <c r="H27" t="str">
        <f t="shared" si="1"/>
        <v>02</v>
      </c>
      <c r="I27" t="str">
        <f t="shared" si="2"/>
        <v>C</v>
      </c>
      <c r="J27" t="s">
        <v>23</v>
      </c>
      <c r="K27" t="s">
        <v>65</v>
      </c>
      <c r="L27" t="s">
        <v>25</v>
      </c>
      <c r="M27" t="s">
        <v>31</v>
      </c>
      <c r="N27">
        <v>1</v>
      </c>
      <c r="O27">
        <v>2</v>
      </c>
      <c r="P27" t="s">
        <v>27</v>
      </c>
      <c r="Q27" t="s">
        <v>28</v>
      </c>
      <c r="R27" t="s">
        <v>28</v>
      </c>
      <c r="S27" t="s">
        <v>28</v>
      </c>
      <c r="T27" t="s">
        <v>28</v>
      </c>
      <c r="U27" t="s">
        <v>28</v>
      </c>
      <c r="V27" t="s">
        <v>28</v>
      </c>
      <c r="W27">
        <v>0</v>
      </c>
      <c r="X27" t="s">
        <v>29</v>
      </c>
    </row>
    <row r="28" spans="1:24" x14ac:dyDescent="0.2">
      <c r="A28" t="str">
        <f t="shared" si="0"/>
        <v>sample_miseq-16S-A-C03-L0_SICap-P1-C3-P1D2-BHI-C2R1-noBile-rep1-day2</v>
      </c>
      <c r="B28" s="1" t="s">
        <v>200</v>
      </c>
      <c r="C28" s="3" t="s">
        <v>776</v>
      </c>
      <c r="D28" s="3" t="s">
        <v>1327</v>
      </c>
      <c r="E28" t="s">
        <v>20</v>
      </c>
      <c r="F28" t="s">
        <v>21</v>
      </c>
      <c r="G28" t="s">
        <v>67</v>
      </c>
      <c r="H28" t="str">
        <f t="shared" si="1"/>
        <v>03</v>
      </c>
      <c r="I28" t="str">
        <f t="shared" si="2"/>
        <v>C</v>
      </c>
      <c r="J28" t="s">
        <v>23</v>
      </c>
      <c r="K28" t="s">
        <v>65</v>
      </c>
      <c r="L28" t="s">
        <v>25</v>
      </c>
      <c r="M28" t="s">
        <v>33</v>
      </c>
      <c r="N28">
        <v>1</v>
      </c>
      <c r="O28">
        <v>2</v>
      </c>
      <c r="P28" t="s">
        <v>27</v>
      </c>
      <c r="Q28" t="s">
        <v>28</v>
      </c>
      <c r="R28" t="s">
        <v>28</v>
      </c>
      <c r="S28" t="s">
        <v>28</v>
      </c>
      <c r="T28" t="s">
        <v>28</v>
      </c>
      <c r="U28" t="s">
        <v>28</v>
      </c>
      <c r="V28" t="s">
        <v>28</v>
      </c>
      <c r="W28">
        <v>0</v>
      </c>
      <c r="X28" t="s">
        <v>29</v>
      </c>
    </row>
    <row r="29" spans="1:24" x14ac:dyDescent="0.2">
      <c r="A29" t="str">
        <f t="shared" si="0"/>
        <v>sample_miseq-16S-A-C04-L0_SICap-P1-C4-P1D2-BHI-C2R2-noBile-rep1-day2</v>
      </c>
      <c r="B29" s="1" t="s">
        <v>201</v>
      </c>
      <c r="C29" s="3" t="s">
        <v>777</v>
      </c>
      <c r="D29" s="3" t="s">
        <v>1327</v>
      </c>
      <c r="E29" t="s">
        <v>20</v>
      </c>
      <c r="F29" t="s">
        <v>21</v>
      </c>
      <c r="G29" t="s">
        <v>68</v>
      </c>
      <c r="H29" t="str">
        <f t="shared" si="1"/>
        <v>04</v>
      </c>
      <c r="I29" t="str">
        <f t="shared" si="2"/>
        <v>C</v>
      </c>
      <c r="J29" t="s">
        <v>23</v>
      </c>
      <c r="K29" t="s">
        <v>65</v>
      </c>
      <c r="L29" t="s">
        <v>25</v>
      </c>
      <c r="M29" t="s">
        <v>35</v>
      </c>
      <c r="N29">
        <v>1</v>
      </c>
      <c r="O29">
        <v>2</v>
      </c>
      <c r="P29" t="s">
        <v>27</v>
      </c>
      <c r="Q29" t="s">
        <v>28</v>
      </c>
      <c r="R29" t="s">
        <v>28</v>
      </c>
      <c r="S29" t="s">
        <v>28</v>
      </c>
      <c r="T29" t="s">
        <v>28</v>
      </c>
      <c r="U29" t="s">
        <v>28</v>
      </c>
      <c r="V29" t="s">
        <v>28</v>
      </c>
      <c r="W29">
        <v>0</v>
      </c>
      <c r="X29" t="s">
        <v>29</v>
      </c>
    </row>
    <row r="30" spans="1:24" x14ac:dyDescent="0.2">
      <c r="A30" t="str">
        <f t="shared" si="0"/>
        <v>sample_miseq-16S-A-C05-L0_SICap-P1-C5-P1D2-BHI-C3R1-noBile-rep1-day2</v>
      </c>
      <c r="B30" s="1" t="s">
        <v>202</v>
      </c>
      <c r="C30" s="3" t="s">
        <v>778</v>
      </c>
      <c r="D30" s="3" t="s">
        <v>1327</v>
      </c>
      <c r="E30" t="s">
        <v>20</v>
      </c>
      <c r="F30" t="s">
        <v>21</v>
      </c>
      <c r="G30" t="s">
        <v>69</v>
      </c>
      <c r="H30" t="str">
        <f t="shared" si="1"/>
        <v>05</v>
      </c>
      <c r="I30" t="str">
        <f t="shared" si="2"/>
        <v>C</v>
      </c>
      <c r="J30" t="s">
        <v>23</v>
      </c>
      <c r="K30" t="s">
        <v>65</v>
      </c>
      <c r="L30" t="s">
        <v>25</v>
      </c>
      <c r="M30" t="s">
        <v>37</v>
      </c>
      <c r="N30">
        <v>1</v>
      </c>
      <c r="O30">
        <v>2</v>
      </c>
      <c r="P30" t="s">
        <v>27</v>
      </c>
      <c r="Q30" t="s">
        <v>28</v>
      </c>
      <c r="R30" t="s">
        <v>28</v>
      </c>
      <c r="S30" t="s">
        <v>28</v>
      </c>
      <c r="T30" t="s">
        <v>28</v>
      </c>
      <c r="U30" t="s">
        <v>28</v>
      </c>
      <c r="V30" t="s">
        <v>28</v>
      </c>
      <c r="W30">
        <v>0</v>
      </c>
      <c r="X30" t="s">
        <v>29</v>
      </c>
    </row>
    <row r="31" spans="1:24" x14ac:dyDescent="0.2">
      <c r="A31" t="str">
        <f t="shared" si="0"/>
        <v>sample_miseq-16S-A-C06-L0_SICap-P1-C6-P1D2-BHI-C3R2-noBile-rep1-day2</v>
      </c>
      <c r="B31" s="1" t="s">
        <v>203</v>
      </c>
      <c r="C31" s="3" t="s">
        <v>779</v>
      </c>
      <c r="D31" s="3" t="s">
        <v>1327</v>
      </c>
      <c r="E31" t="s">
        <v>20</v>
      </c>
      <c r="F31" t="s">
        <v>21</v>
      </c>
      <c r="G31" t="s">
        <v>70</v>
      </c>
      <c r="H31" t="str">
        <f t="shared" si="1"/>
        <v>06</v>
      </c>
      <c r="I31" t="str">
        <f t="shared" si="2"/>
        <v>C</v>
      </c>
      <c r="J31" t="s">
        <v>23</v>
      </c>
      <c r="K31" t="s">
        <v>65</v>
      </c>
      <c r="L31" t="s">
        <v>25</v>
      </c>
      <c r="M31" t="s">
        <v>39</v>
      </c>
      <c r="N31">
        <v>1</v>
      </c>
      <c r="O31">
        <v>2</v>
      </c>
      <c r="P31" t="s">
        <v>27</v>
      </c>
      <c r="Q31" t="s">
        <v>28</v>
      </c>
      <c r="R31" t="s">
        <v>28</v>
      </c>
      <c r="S31" t="s">
        <v>28</v>
      </c>
      <c r="T31" t="s">
        <v>28</v>
      </c>
      <c r="U31" t="s">
        <v>28</v>
      </c>
      <c r="V31" t="s">
        <v>28</v>
      </c>
      <c r="W31">
        <v>0</v>
      </c>
      <c r="X31" t="s">
        <v>29</v>
      </c>
    </row>
    <row r="32" spans="1:24" x14ac:dyDescent="0.2">
      <c r="A32" t="str">
        <f t="shared" si="0"/>
        <v>sample_miseq-16S-A-C07-L0_SICap-P1-C7-P1D2-BHI-C4R1-noBile-rep1-day2</v>
      </c>
      <c r="B32" s="1" t="s">
        <v>204</v>
      </c>
      <c r="C32" s="3" t="s">
        <v>780</v>
      </c>
      <c r="D32" s="3" t="s">
        <v>1327</v>
      </c>
      <c r="E32" t="s">
        <v>20</v>
      </c>
      <c r="F32" t="s">
        <v>21</v>
      </c>
      <c r="G32" t="s">
        <v>71</v>
      </c>
      <c r="H32" t="str">
        <f t="shared" si="1"/>
        <v>07</v>
      </c>
      <c r="I32" t="str">
        <f t="shared" si="2"/>
        <v>C</v>
      </c>
      <c r="J32" t="s">
        <v>23</v>
      </c>
      <c r="K32" t="s">
        <v>65</v>
      </c>
      <c r="L32" t="s">
        <v>25</v>
      </c>
      <c r="M32" t="s">
        <v>41</v>
      </c>
      <c r="N32">
        <v>1</v>
      </c>
      <c r="O32">
        <v>2</v>
      </c>
      <c r="P32" t="s">
        <v>27</v>
      </c>
      <c r="Q32" t="s">
        <v>28</v>
      </c>
      <c r="R32" t="s">
        <v>28</v>
      </c>
      <c r="S32" t="s">
        <v>28</v>
      </c>
      <c r="T32" t="s">
        <v>28</v>
      </c>
      <c r="U32" t="s">
        <v>28</v>
      </c>
      <c r="V32" t="s">
        <v>28</v>
      </c>
      <c r="W32">
        <v>0</v>
      </c>
      <c r="X32" t="s">
        <v>29</v>
      </c>
    </row>
    <row r="33" spans="1:24" x14ac:dyDescent="0.2">
      <c r="A33" t="str">
        <f t="shared" si="0"/>
        <v>sample_miseq-16S-A-C08-L0_SICap-P1-C8-P1D2-BHI-C4R2-noBile-rep1-day2</v>
      </c>
      <c r="B33" s="1" t="s">
        <v>205</v>
      </c>
      <c r="C33" s="3" t="s">
        <v>781</v>
      </c>
      <c r="D33" s="3" t="s">
        <v>1327</v>
      </c>
      <c r="E33" t="s">
        <v>20</v>
      </c>
      <c r="F33" t="s">
        <v>21</v>
      </c>
      <c r="G33" t="s">
        <v>72</v>
      </c>
      <c r="H33" t="str">
        <f t="shared" si="1"/>
        <v>08</v>
      </c>
      <c r="I33" t="str">
        <f t="shared" si="2"/>
        <v>C</v>
      </c>
      <c r="J33" t="s">
        <v>23</v>
      </c>
      <c r="K33" t="s">
        <v>65</v>
      </c>
      <c r="L33" t="s">
        <v>25</v>
      </c>
      <c r="M33" t="s">
        <v>43</v>
      </c>
      <c r="N33">
        <v>1</v>
      </c>
      <c r="O33">
        <v>2</v>
      </c>
      <c r="P33" t="s">
        <v>27</v>
      </c>
      <c r="Q33" t="s">
        <v>28</v>
      </c>
      <c r="R33" t="s">
        <v>28</v>
      </c>
      <c r="S33" t="s">
        <v>28</v>
      </c>
      <c r="T33" t="s">
        <v>28</v>
      </c>
      <c r="U33" t="s">
        <v>28</v>
      </c>
      <c r="V33" t="s">
        <v>28</v>
      </c>
      <c r="W33">
        <v>0</v>
      </c>
      <c r="X33" t="s">
        <v>29</v>
      </c>
    </row>
    <row r="34" spans="1:24" x14ac:dyDescent="0.2">
      <c r="A34" t="str">
        <f t="shared" si="0"/>
        <v>sample_miseq-16S-A-C09-L0_SICap-P1-C9-P1D2-BHI-S1R2-noBile-rep1-day2</v>
      </c>
      <c r="B34" s="1" t="s">
        <v>206</v>
      </c>
      <c r="C34" s="3" t="s">
        <v>782</v>
      </c>
      <c r="D34" s="3" t="s">
        <v>1327</v>
      </c>
      <c r="E34" t="s">
        <v>20</v>
      </c>
      <c r="F34" t="s">
        <v>21</v>
      </c>
      <c r="G34" t="s">
        <v>73</v>
      </c>
      <c r="H34" t="str">
        <f t="shared" si="1"/>
        <v>09</v>
      </c>
      <c r="I34" t="str">
        <f t="shared" si="2"/>
        <v>C</v>
      </c>
      <c r="J34" t="s">
        <v>23</v>
      </c>
      <c r="K34" t="s">
        <v>65</v>
      </c>
      <c r="L34" t="s">
        <v>25</v>
      </c>
      <c r="M34" t="s">
        <v>45</v>
      </c>
      <c r="N34">
        <v>1</v>
      </c>
      <c r="O34">
        <v>2</v>
      </c>
      <c r="P34" t="s">
        <v>27</v>
      </c>
      <c r="Q34" t="s">
        <v>28</v>
      </c>
      <c r="R34" t="s">
        <v>28</v>
      </c>
      <c r="S34" t="s">
        <v>28</v>
      </c>
      <c r="T34" t="s">
        <v>28</v>
      </c>
      <c r="U34" t="s">
        <v>28</v>
      </c>
      <c r="V34" t="s">
        <v>28</v>
      </c>
      <c r="W34">
        <v>0</v>
      </c>
      <c r="X34" t="s">
        <v>29</v>
      </c>
    </row>
    <row r="35" spans="1:24" x14ac:dyDescent="0.2">
      <c r="A35" t="str">
        <f t="shared" si="0"/>
        <v>sample_miseq-16S-A-C10-L0_SICap-P1-C10-P1D2-BHI-StoolPool-noBile-rep1-day2</v>
      </c>
      <c r="B35" s="1" t="s">
        <v>207</v>
      </c>
      <c r="C35" s="3" t="s">
        <v>783</v>
      </c>
      <c r="D35" s="3" t="s">
        <v>1327</v>
      </c>
      <c r="E35" t="s">
        <v>20</v>
      </c>
      <c r="F35" t="s">
        <v>21</v>
      </c>
      <c r="G35" t="s">
        <v>74</v>
      </c>
      <c r="H35" t="str">
        <f t="shared" si="1"/>
        <v>10</v>
      </c>
      <c r="I35" t="str">
        <f t="shared" si="2"/>
        <v>C</v>
      </c>
      <c r="J35" t="s">
        <v>23</v>
      </c>
      <c r="K35" t="s">
        <v>65</v>
      </c>
      <c r="L35" t="s">
        <v>25</v>
      </c>
      <c r="M35" t="s">
        <v>47</v>
      </c>
      <c r="N35">
        <v>1</v>
      </c>
      <c r="O35">
        <v>2</v>
      </c>
      <c r="P35" t="s">
        <v>27</v>
      </c>
      <c r="Q35" t="s">
        <v>28</v>
      </c>
      <c r="R35" t="s">
        <v>28</v>
      </c>
      <c r="S35" t="s">
        <v>28</v>
      </c>
      <c r="T35" t="s">
        <v>28</v>
      </c>
      <c r="U35" t="s">
        <v>28</v>
      </c>
      <c r="V35" t="s">
        <v>28</v>
      </c>
      <c r="W35">
        <v>0</v>
      </c>
      <c r="X35" t="s">
        <v>29</v>
      </c>
    </row>
    <row r="36" spans="1:24" x14ac:dyDescent="0.2">
      <c r="A36" t="str">
        <f t="shared" si="0"/>
        <v>sample_miseq-16S-A-C11-L0_SICap-P1-C11-P1D2-BHI-SIPool-noBile-rep1-day2</v>
      </c>
      <c r="B36" s="1" t="s">
        <v>208</v>
      </c>
      <c r="C36" s="3" t="s">
        <v>784</v>
      </c>
      <c r="D36" s="3" t="s">
        <v>1327</v>
      </c>
      <c r="E36" t="s">
        <v>20</v>
      </c>
      <c r="F36" t="s">
        <v>21</v>
      </c>
      <c r="G36" t="s">
        <v>75</v>
      </c>
      <c r="H36" t="str">
        <f t="shared" si="1"/>
        <v>11</v>
      </c>
      <c r="I36" t="str">
        <f t="shared" si="2"/>
        <v>C</v>
      </c>
      <c r="J36" t="s">
        <v>23</v>
      </c>
      <c r="K36" t="s">
        <v>65</v>
      </c>
      <c r="L36" t="s">
        <v>25</v>
      </c>
      <c r="M36" t="s">
        <v>49</v>
      </c>
      <c r="N36">
        <v>1</v>
      </c>
      <c r="O36">
        <v>2</v>
      </c>
      <c r="P36" t="s">
        <v>27</v>
      </c>
      <c r="Q36" t="s">
        <v>28</v>
      </c>
      <c r="R36" t="s">
        <v>28</v>
      </c>
      <c r="S36" t="s">
        <v>28</v>
      </c>
      <c r="T36" t="s">
        <v>28</v>
      </c>
      <c r="U36" t="s">
        <v>28</v>
      </c>
      <c r="V36" t="s">
        <v>28</v>
      </c>
      <c r="W36">
        <v>0</v>
      </c>
      <c r="X36" t="s">
        <v>29</v>
      </c>
    </row>
    <row r="37" spans="1:24" x14ac:dyDescent="0.2">
      <c r="A37" t="str">
        <f t="shared" si="0"/>
        <v>sample_miseq-16S-A-C12-L0_SICap-P1-C12-P1D2-BHI-Media-noBile-rep1-day2</v>
      </c>
      <c r="B37" s="1" t="s">
        <v>209</v>
      </c>
      <c r="C37" s="3" t="s">
        <v>785</v>
      </c>
      <c r="D37" s="3" t="s">
        <v>1327</v>
      </c>
      <c r="E37" t="s">
        <v>20</v>
      </c>
      <c r="F37" t="s">
        <v>21</v>
      </c>
      <c r="G37" t="s">
        <v>76</v>
      </c>
      <c r="H37" t="str">
        <f t="shared" si="1"/>
        <v>12</v>
      </c>
      <c r="I37" t="str">
        <f t="shared" si="2"/>
        <v>C</v>
      </c>
      <c r="J37" t="s">
        <v>23</v>
      </c>
      <c r="K37" t="s">
        <v>65</v>
      </c>
      <c r="L37" t="s">
        <v>25</v>
      </c>
      <c r="M37" t="s">
        <v>6</v>
      </c>
      <c r="N37">
        <v>1</v>
      </c>
      <c r="O37">
        <v>2</v>
      </c>
      <c r="P37" t="s">
        <v>27</v>
      </c>
      <c r="Q37" t="s">
        <v>28</v>
      </c>
      <c r="R37" t="s">
        <v>28</v>
      </c>
      <c r="S37" t="s">
        <v>28</v>
      </c>
      <c r="T37" t="s">
        <v>28</v>
      </c>
      <c r="U37" t="s">
        <v>28</v>
      </c>
      <c r="V37" t="s">
        <v>28</v>
      </c>
      <c r="W37">
        <v>0</v>
      </c>
      <c r="X37" t="s">
        <v>29</v>
      </c>
    </row>
    <row r="38" spans="1:24" x14ac:dyDescent="0.2">
      <c r="A38" t="str">
        <f t="shared" si="0"/>
        <v>sample_miseq-16S-A-D01-L0_SICap-P1-D1-P1D2-GAM-C1R1-noBile-rep1-day2</v>
      </c>
      <c r="B38" s="1" t="s">
        <v>210</v>
      </c>
      <c r="C38" s="3" t="s">
        <v>786</v>
      </c>
      <c r="D38" s="3" t="s">
        <v>1327</v>
      </c>
      <c r="E38" t="s">
        <v>20</v>
      </c>
      <c r="F38" t="s">
        <v>21</v>
      </c>
      <c r="G38" t="s">
        <v>77</v>
      </c>
      <c r="H38" t="str">
        <f t="shared" si="1"/>
        <v>01</v>
      </c>
      <c r="I38" t="str">
        <f t="shared" si="2"/>
        <v>D</v>
      </c>
      <c r="J38" t="s">
        <v>23</v>
      </c>
      <c r="K38" t="s">
        <v>78</v>
      </c>
      <c r="L38" t="s">
        <v>25</v>
      </c>
      <c r="M38" t="s">
        <v>26</v>
      </c>
      <c r="N38">
        <v>1</v>
      </c>
      <c r="O38">
        <v>2</v>
      </c>
      <c r="P38" t="s">
        <v>27</v>
      </c>
      <c r="Q38" t="s">
        <v>28</v>
      </c>
      <c r="R38" t="s">
        <v>28</v>
      </c>
      <c r="S38" t="s">
        <v>28</v>
      </c>
      <c r="T38" t="s">
        <v>28</v>
      </c>
      <c r="U38" t="s">
        <v>28</v>
      </c>
      <c r="V38" t="s">
        <v>28</v>
      </c>
      <c r="W38">
        <v>0</v>
      </c>
      <c r="X38" t="s">
        <v>29</v>
      </c>
    </row>
    <row r="39" spans="1:24" x14ac:dyDescent="0.2">
      <c r="A39" t="str">
        <f t="shared" si="0"/>
        <v>sample_miseq-16S-A-D02-L0_SICap-P1-D2-P1D2-GAM-C1R2-noBile-rep1-day2</v>
      </c>
      <c r="B39" s="1" t="s">
        <v>211</v>
      </c>
      <c r="C39" s="3" t="s">
        <v>787</v>
      </c>
      <c r="D39" s="3" t="s">
        <v>1327</v>
      </c>
      <c r="E39" t="s">
        <v>20</v>
      </c>
      <c r="F39" t="s">
        <v>21</v>
      </c>
      <c r="G39" t="s">
        <v>79</v>
      </c>
      <c r="H39" t="str">
        <f t="shared" si="1"/>
        <v>02</v>
      </c>
      <c r="I39" t="str">
        <f t="shared" si="2"/>
        <v>D</v>
      </c>
      <c r="J39" t="s">
        <v>23</v>
      </c>
      <c r="K39" t="s">
        <v>78</v>
      </c>
      <c r="L39" t="s">
        <v>25</v>
      </c>
      <c r="M39" t="s">
        <v>31</v>
      </c>
      <c r="N39">
        <v>1</v>
      </c>
      <c r="O39">
        <v>2</v>
      </c>
      <c r="P39" t="s">
        <v>27</v>
      </c>
      <c r="Q39" t="s">
        <v>28</v>
      </c>
      <c r="R39" t="s">
        <v>28</v>
      </c>
      <c r="S39" t="s">
        <v>28</v>
      </c>
      <c r="T39" t="s">
        <v>28</v>
      </c>
      <c r="U39" t="s">
        <v>28</v>
      </c>
      <c r="V39" t="s">
        <v>28</v>
      </c>
      <c r="W39">
        <v>0</v>
      </c>
      <c r="X39" t="s">
        <v>29</v>
      </c>
    </row>
    <row r="40" spans="1:24" x14ac:dyDescent="0.2">
      <c r="A40" t="str">
        <f t="shared" si="0"/>
        <v>sample_miseq-16S-A-D03-L0_SICap-P1-D3-P1D2-GAM-C2R1-noBile-rep1-day2</v>
      </c>
      <c r="B40" s="1" t="s">
        <v>212</v>
      </c>
      <c r="C40" s="3" t="s">
        <v>788</v>
      </c>
      <c r="D40" s="3" t="s">
        <v>1327</v>
      </c>
      <c r="E40" t="s">
        <v>20</v>
      </c>
      <c r="F40" t="s">
        <v>21</v>
      </c>
      <c r="G40" t="s">
        <v>80</v>
      </c>
      <c r="H40" t="str">
        <f t="shared" si="1"/>
        <v>03</v>
      </c>
      <c r="I40" t="str">
        <f t="shared" si="2"/>
        <v>D</v>
      </c>
      <c r="J40" t="s">
        <v>23</v>
      </c>
      <c r="K40" t="s">
        <v>78</v>
      </c>
      <c r="L40" t="s">
        <v>25</v>
      </c>
      <c r="M40" t="s">
        <v>33</v>
      </c>
      <c r="N40">
        <v>1</v>
      </c>
      <c r="O40">
        <v>2</v>
      </c>
      <c r="P40" t="s">
        <v>27</v>
      </c>
      <c r="Q40" t="s">
        <v>28</v>
      </c>
      <c r="R40" t="s">
        <v>28</v>
      </c>
      <c r="S40" t="s">
        <v>28</v>
      </c>
      <c r="T40" t="s">
        <v>28</v>
      </c>
      <c r="U40" t="s">
        <v>28</v>
      </c>
      <c r="V40" t="s">
        <v>28</v>
      </c>
      <c r="W40">
        <v>0</v>
      </c>
      <c r="X40" t="s">
        <v>29</v>
      </c>
    </row>
    <row r="41" spans="1:24" x14ac:dyDescent="0.2">
      <c r="A41" t="str">
        <f t="shared" si="0"/>
        <v>sample_miseq-16S-A-D04-L0_SICap-P1-D4-P1D2-GAM-C2R2-noBile-rep1-day2</v>
      </c>
      <c r="B41" s="1" t="s">
        <v>213</v>
      </c>
      <c r="C41" s="3" t="s">
        <v>789</v>
      </c>
      <c r="D41" s="3" t="s">
        <v>1327</v>
      </c>
      <c r="E41" t="s">
        <v>20</v>
      </c>
      <c r="F41" t="s">
        <v>21</v>
      </c>
      <c r="G41" t="s">
        <v>81</v>
      </c>
      <c r="H41" t="str">
        <f t="shared" si="1"/>
        <v>04</v>
      </c>
      <c r="I41" t="str">
        <f t="shared" si="2"/>
        <v>D</v>
      </c>
      <c r="J41" t="s">
        <v>23</v>
      </c>
      <c r="K41" t="s">
        <v>78</v>
      </c>
      <c r="L41" t="s">
        <v>25</v>
      </c>
      <c r="M41" t="s">
        <v>35</v>
      </c>
      <c r="N41">
        <v>1</v>
      </c>
      <c r="O41">
        <v>2</v>
      </c>
      <c r="P41" t="s">
        <v>27</v>
      </c>
      <c r="Q41" t="s">
        <v>28</v>
      </c>
      <c r="R41" t="s">
        <v>28</v>
      </c>
      <c r="S41" t="s">
        <v>28</v>
      </c>
      <c r="T41" t="s">
        <v>28</v>
      </c>
      <c r="U41" t="s">
        <v>28</v>
      </c>
      <c r="V41" t="s">
        <v>28</v>
      </c>
      <c r="W41">
        <v>0</v>
      </c>
      <c r="X41" t="s">
        <v>29</v>
      </c>
    </row>
    <row r="42" spans="1:24" x14ac:dyDescent="0.2">
      <c r="A42" t="str">
        <f t="shared" si="0"/>
        <v>sample_miseq-16S-A-D05-L0_SICap-P1-D5-P1D2-GAM-C3R1-noBile-rep1-day2</v>
      </c>
      <c r="B42" s="1" t="s">
        <v>214</v>
      </c>
      <c r="C42" s="3" t="s">
        <v>790</v>
      </c>
      <c r="D42" s="3" t="s">
        <v>1327</v>
      </c>
      <c r="E42" t="s">
        <v>20</v>
      </c>
      <c r="F42" t="s">
        <v>21</v>
      </c>
      <c r="G42" t="s">
        <v>82</v>
      </c>
      <c r="H42" t="str">
        <f t="shared" si="1"/>
        <v>05</v>
      </c>
      <c r="I42" t="str">
        <f t="shared" si="2"/>
        <v>D</v>
      </c>
      <c r="J42" t="s">
        <v>23</v>
      </c>
      <c r="K42" t="s">
        <v>78</v>
      </c>
      <c r="L42" t="s">
        <v>25</v>
      </c>
      <c r="M42" t="s">
        <v>37</v>
      </c>
      <c r="N42">
        <v>1</v>
      </c>
      <c r="O42">
        <v>2</v>
      </c>
      <c r="P42" t="s">
        <v>27</v>
      </c>
      <c r="Q42" t="s">
        <v>28</v>
      </c>
      <c r="R42" t="s">
        <v>28</v>
      </c>
      <c r="S42" t="s">
        <v>28</v>
      </c>
      <c r="T42" t="s">
        <v>28</v>
      </c>
      <c r="U42" t="s">
        <v>28</v>
      </c>
      <c r="V42" t="s">
        <v>28</v>
      </c>
      <c r="W42">
        <v>0</v>
      </c>
      <c r="X42" t="s">
        <v>29</v>
      </c>
    </row>
    <row r="43" spans="1:24" x14ac:dyDescent="0.2">
      <c r="A43" t="str">
        <f t="shared" si="0"/>
        <v>sample_miseq-16S-A-D06-L0_SICap-P1-D6-P1D2-GAM-C3R2-noBile-rep1-day2</v>
      </c>
      <c r="B43" s="1" t="s">
        <v>215</v>
      </c>
      <c r="C43" s="3" t="s">
        <v>791</v>
      </c>
      <c r="D43" s="3" t="s">
        <v>1327</v>
      </c>
      <c r="E43" t="s">
        <v>20</v>
      </c>
      <c r="F43" t="s">
        <v>21</v>
      </c>
      <c r="G43" t="s">
        <v>83</v>
      </c>
      <c r="H43" t="str">
        <f t="shared" si="1"/>
        <v>06</v>
      </c>
      <c r="I43" t="str">
        <f t="shared" si="2"/>
        <v>D</v>
      </c>
      <c r="J43" t="s">
        <v>23</v>
      </c>
      <c r="K43" t="s">
        <v>78</v>
      </c>
      <c r="L43" t="s">
        <v>25</v>
      </c>
      <c r="M43" t="s">
        <v>39</v>
      </c>
      <c r="N43">
        <v>1</v>
      </c>
      <c r="O43">
        <v>2</v>
      </c>
      <c r="P43" t="s">
        <v>27</v>
      </c>
      <c r="Q43" t="s">
        <v>28</v>
      </c>
      <c r="R43" t="s">
        <v>28</v>
      </c>
      <c r="S43" t="s">
        <v>28</v>
      </c>
      <c r="T43" t="s">
        <v>28</v>
      </c>
      <c r="U43" t="s">
        <v>28</v>
      </c>
      <c r="V43" t="s">
        <v>28</v>
      </c>
      <c r="W43">
        <v>0</v>
      </c>
      <c r="X43" t="s">
        <v>29</v>
      </c>
    </row>
    <row r="44" spans="1:24" x14ac:dyDescent="0.2">
      <c r="A44" t="str">
        <f t="shared" si="0"/>
        <v>sample_miseq-16S-A-D07-L0_SICap-P1-D7-P1D2-GAM-C4R1-noBile-rep1-day2</v>
      </c>
      <c r="B44" s="1" t="s">
        <v>216</v>
      </c>
      <c r="C44" s="3" t="s">
        <v>792</v>
      </c>
      <c r="D44" s="3" t="s">
        <v>1327</v>
      </c>
      <c r="E44" t="s">
        <v>20</v>
      </c>
      <c r="F44" t="s">
        <v>21</v>
      </c>
      <c r="G44" t="s">
        <v>84</v>
      </c>
      <c r="H44" t="str">
        <f t="shared" si="1"/>
        <v>07</v>
      </c>
      <c r="I44" t="str">
        <f t="shared" si="2"/>
        <v>D</v>
      </c>
      <c r="J44" t="s">
        <v>23</v>
      </c>
      <c r="K44" t="s">
        <v>78</v>
      </c>
      <c r="L44" t="s">
        <v>25</v>
      </c>
      <c r="M44" t="s">
        <v>41</v>
      </c>
      <c r="N44">
        <v>1</v>
      </c>
      <c r="O44">
        <v>2</v>
      </c>
      <c r="P44" t="s">
        <v>27</v>
      </c>
      <c r="Q44" t="s">
        <v>28</v>
      </c>
      <c r="R44" t="s">
        <v>28</v>
      </c>
      <c r="S44" t="s">
        <v>28</v>
      </c>
      <c r="T44" t="s">
        <v>28</v>
      </c>
      <c r="U44" t="s">
        <v>28</v>
      </c>
      <c r="V44" t="s">
        <v>28</v>
      </c>
      <c r="W44">
        <v>0</v>
      </c>
      <c r="X44" t="s">
        <v>29</v>
      </c>
    </row>
    <row r="45" spans="1:24" x14ac:dyDescent="0.2">
      <c r="A45" t="str">
        <f t="shared" si="0"/>
        <v>sample_miseq-16S-A-D08-L0_SICap-P1-D8-P1D2-GAM-C4R2-noBile-rep1-day2</v>
      </c>
      <c r="B45" s="1" t="s">
        <v>217</v>
      </c>
      <c r="C45" s="3" t="s">
        <v>793</v>
      </c>
      <c r="D45" s="3" t="s">
        <v>1327</v>
      </c>
      <c r="E45" t="s">
        <v>20</v>
      </c>
      <c r="F45" t="s">
        <v>21</v>
      </c>
      <c r="G45" t="s">
        <v>85</v>
      </c>
      <c r="H45" t="str">
        <f t="shared" si="1"/>
        <v>08</v>
      </c>
      <c r="I45" t="str">
        <f t="shared" si="2"/>
        <v>D</v>
      </c>
      <c r="J45" t="s">
        <v>23</v>
      </c>
      <c r="K45" t="s">
        <v>78</v>
      </c>
      <c r="L45" t="s">
        <v>25</v>
      </c>
      <c r="M45" t="s">
        <v>43</v>
      </c>
      <c r="N45">
        <v>1</v>
      </c>
      <c r="O45">
        <v>2</v>
      </c>
      <c r="P45" t="s">
        <v>27</v>
      </c>
      <c r="Q45" t="s">
        <v>28</v>
      </c>
      <c r="R45" t="s">
        <v>28</v>
      </c>
      <c r="S45" t="s">
        <v>28</v>
      </c>
      <c r="T45" t="s">
        <v>28</v>
      </c>
      <c r="U45" t="s">
        <v>28</v>
      </c>
      <c r="V45" t="s">
        <v>28</v>
      </c>
      <c r="W45">
        <v>0</v>
      </c>
      <c r="X45" t="s">
        <v>29</v>
      </c>
    </row>
    <row r="46" spans="1:24" x14ac:dyDescent="0.2">
      <c r="A46" t="str">
        <f t="shared" si="0"/>
        <v>sample_miseq-16S-A-D09-L0_SICap-P1-D9-P1D2-GAM-S1R2-noBile-rep1-day2</v>
      </c>
      <c r="B46" s="1" t="s">
        <v>218</v>
      </c>
      <c r="C46" s="3" t="s">
        <v>794</v>
      </c>
      <c r="D46" s="3" t="s">
        <v>1327</v>
      </c>
      <c r="E46" t="s">
        <v>20</v>
      </c>
      <c r="F46" t="s">
        <v>21</v>
      </c>
      <c r="G46" t="s">
        <v>86</v>
      </c>
      <c r="H46" t="str">
        <f t="shared" si="1"/>
        <v>09</v>
      </c>
      <c r="I46" t="str">
        <f t="shared" si="2"/>
        <v>D</v>
      </c>
      <c r="J46" t="s">
        <v>23</v>
      </c>
      <c r="K46" t="s">
        <v>78</v>
      </c>
      <c r="L46" t="s">
        <v>25</v>
      </c>
      <c r="M46" t="s">
        <v>45</v>
      </c>
      <c r="N46">
        <v>1</v>
      </c>
      <c r="O46">
        <v>2</v>
      </c>
      <c r="P46" t="s">
        <v>27</v>
      </c>
      <c r="Q46" t="s">
        <v>28</v>
      </c>
      <c r="R46" t="s">
        <v>28</v>
      </c>
      <c r="S46" t="s">
        <v>28</v>
      </c>
      <c r="T46" t="s">
        <v>28</v>
      </c>
      <c r="U46" t="s">
        <v>28</v>
      </c>
      <c r="V46" t="s">
        <v>28</v>
      </c>
      <c r="W46">
        <v>0</v>
      </c>
      <c r="X46" t="s">
        <v>29</v>
      </c>
    </row>
    <row r="47" spans="1:24" x14ac:dyDescent="0.2">
      <c r="A47" t="str">
        <f t="shared" si="0"/>
        <v>sample_miseq-16S-A-D10-L0_SICap-P1-D10-P1D2-GAM-StoolPool-noBile-rep1-day2</v>
      </c>
      <c r="B47" s="1" t="s">
        <v>219</v>
      </c>
      <c r="C47" s="3" t="s">
        <v>795</v>
      </c>
      <c r="D47" s="3" t="s">
        <v>1327</v>
      </c>
      <c r="E47" t="s">
        <v>20</v>
      </c>
      <c r="F47" t="s">
        <v>21</v>
      </c>
      <c r="G47" t="s">
        <v>87</v>
      </c>
      <c r="H47" t="str">
        <f t="shared" si="1"/>
        <v>10</v>
      </c>
      <c r="I47" t="str">
        <f t="shared" si="2"/>
        <v>D</v>
      </c>
      <c r="J47" t="s">
        <v>23</v>
      </c>
      <c r="K47" t="s">
        <v>78</v>
      </c>
      <c r="L47" t="s">
        <v>25</v>
      </c>
      <c r="M47" t="s">
        <v>47</v>
      </c>
      <c r="N47">
        <v>1</v>
      </c>
      <c r="O47">
        <v>2</v>
      </c>
      <c r="P47" t="s">
        <v>27</v>
      </c>
      <c r="Q47" t="s">
        <v>28</v>
      </c>
      <c r="R47" t="s">
        <v>28</v>
      </c>
      <c r="S47" t="s">
        <v>28</v>
      </c>
      <c r="T47" t="s">
        <v>28</v>
      </c>
      <c r="U47" t="s">
        <v>28</v>
      </c>
      <c r="V47" t="s">
        <v>28</v>
      </c>
      <c r="W47">
        <v>0</v>
      </c>
      <c r="X47" t="s">
        <v>29</v>
      </c>
    </row>
    <row r="48" spans="1:24" x14ac:dyDescent="0.2">
      <c r="A48" t="str">
        <f t="shared" si="0"/>
        <v>sample_miseq-16S-A-D11-L0_SICap-P1-D11-P1D2-GAM-SIPool-noBile-rep1-day2</v>
      </c>
      <c r="B48" s="1" t="s">
        <v>220</v>
      </c>
      <c r="C48" s="3" t="s">
        <v>796</v>
      </c>
      <c r="D48" s="3" t="s">
        <v>1327</v>
      </c>
      <c r="E48" t="s">
        <v>20</v>
      </c>
      <c r="F48" t="s">
        <v>21</v>
      </c>
      <c r="G48" t="s">
        <v>88</v>
      </c>
      <c r="H48" t="str">
        <f t="shared" si="1"/>
        <v>11</v>
      </c>
      <c r="I48" t="str">
        <f t="shared" si="2"/>
        <v>D</v>
      </c>
      <c r="J48" t="s">
        <v>23</v>
      </c>
      <c r="K48" t="s">
        <v>78</v>
      </c>
      <c r="L48" t="s">
        <v>25</v>
      </c>
      <c r="M48" t="s">
        <v>49</v>
      </c>
      <c r="N48">
        <v>1</v>
      </c>
      <c r="O48">
        <v>2</v>
      </c>
      <c r="P48" t="s">
        <v>27</v>
      </c>
      <c r="Q48" t="s">
        <v>28</v>
      </c>
      <c r="R48" t="s">
        <v>28</v>
      </c>
      <c r="S48" t="s">
        <v>28</v>
      </c>
      <c r="T48" t="s">
        <v>28</v>
      </c>
      <c r="U48" t="s">
        <v>28</v>
      </c>
      <c r="V48" t="s">
        <v>28</v>
      </c>
      <c r="W48">
        <v>0</v>
      </c>
      <c r="X48" t="s">
        <v>29</v>
      </c>
    </row>
    <row r="49" spans="1:24" x14ac:dyDescent="0.2">
      <c r="A49" t="str">
        <f t="shared" si="0"/>
        <v>sample_miseq-16S-A-D12-L0_SICap-P1-D12-P1D2-GAM-Media-noBile-rep1-day2</v>
      </c>
      <c r="B49" s="1" t="s">
        <v>221</v>
      </c>
      <c r="C49" s="3" t="s">
        <v>797</v>
      </c>
      <c r="D49" s="3" t="s">
        <v>1327</v>
      </c>
      <c r="E49" t="s">
        <v>20</v>
      </c>
      <c r="F49" t="s">
        <v>21</v>
      </c>
      <c r="G49" t="s">
        <v>89</v>
      </c>
      <c r="H49" t="str">
        <f t="shared" si="1"/>
        <v>12</v>
      </c>
      <c r="I49" t="str">
        <f t="shared" si="2"/>
        <v>D</v>
      </c>
      <c r="J49" t="s">
        <v>23</v>
      </c>
      <c r="K49" t="s">
        <v>78</v>
      </c>
      <c r="L49" t="s">
        <v>25</v>
      </c>
      <c r="M49" t="s">
        <v>6</v>
      </c>
      <c r="N49">
        <v>1</v>
      </c>
      <c r="O49">
        <v>2</v>
      </c>
      <c r="P49" t="s">
        <v>27</v>
      </c>
      <c r="Q49" t="s">
        <v>28</v>
      </c>
      <c r="R49" t="s">
        <v>28</v>
      </c>
      <c r="S49" t="s">
        <v>28</v>
      </c>
      <c r="T49" t="s">
        <v>28</v>
      </c>
      <c r="U49" t="s">
        <v>28</v>
      </c>
      <c r="V49" t="s">
        <v>28</v>
      </c>
      <c r="W49">
        <v>0</v>
      </c>
      <c r="X49" t="s">
        <v>29</v>
      </c>
    </row>
    <row r="50" spans="1:24" x14ac:dyDescent="0.2">
      <c r="A50" t="str">
        <f t="shared" si="0"/>
        <v>sample_miseq-16S-A-E01-L0_SICap-P1-E1-P1D2-BB-C1R1-noBile-rep1-day2</v>
      </c>
      <c r="B50" s="1" t="s">
        <v>222</v>
      </c>
      <c r="C50" s="3" t="s">
        <v>798</v>
      </c>
      <c r="D50" s="3" t="s">
        <v>1327</v>
      </c>
      <c r="E50" t="s">
        <v>20</v>
      </c>
      <c r="F50" t="s">
        <v>21</v>
      </c>
      <c r="G50" t="s">
        <v>90</v>
      </c>
      <c r="H50" t="str">
        <f t="shared" si="1"/>
        <v>01</v>
      </c>
      <c r="I50" t="str">
        <f t="shared" si="2"/>
        <v>E</v>
      </c>
      <c r="J50" t="s">
        <v>23</v>
      </c>
      <c r="K50" t="s">
        <v>91</v>
      </c>
      <c r="L50" t="s">
        <v>25</v>
      </c>
      <c r="M50" t="s">
        <v>26</v>
      </c>
      <c r="N50">
        <v>1</v>
      </c>
      <c r="O50">
        <v>2</v>
      </c>
      <c r="P50" t="s">
        <v>27</v>
      </c>
      <c r="Q50" t="s">
        <v>28</v>
      </c>
      <c r="R50" t="s">
        <v>28</v>
      </c>
      <c r="S50" t="s">
        <v>28</v>
      </c>
      <c r="T50" t="s">
        <v>28</v>
      </c>
      <c r="U50" t="s">
        <v>28</v>
      </c>
      <c r="V50" t="s">
        <v>28</v>
      </c>
      <c r="W50">
        <v>0</v>
      </c>
      <c r="X50" t="s">
        <v>29</v>
      </c>
    </row>
    <row r="51" spans="1:24" x14ac:dyDescent="0.2">
      <c r="A51" t="str">
        <f t="shared" si="0"/>
        <v>sample_miseq-16S-A-E02-L0_SICap-P1-E2-P1D2-BB-C1R2-noBile-rep1-day2</v>
      </c>
      <c r="B51" s="1" t="s">
        <v>223</v>
      </c>
      <c r="C51" s="3" t="s">
        <v>799</v>
      </c>
      <c r="D51" s="3" t="s">
        <v>1327</v>
      </c>
      <c r="E51" t="s">
        <v>20</v>
      </c>
      <c r="F51" t="s">
        <v>21</v>
      </c>
      <c r="G51" t="s">
        <v>92</v>
      </c>
      <c r="H51" t="str">
        <f t="shared" si="1"/>
        <v>02</v>
      </c>
      <c r="I51" t="str">
        <f t="shared" si="2"/>
        <v>E</v>
      </c>
      <c r="J51" t="s">
        <v>23</v>
      </c>
      <c r="K51" t="s">
        <v>91</v>
      </c>
      <c r="L51" t="s">
        <v>25</v>
      </c>
      <c r="M51" t="s">
        <v>31</v>
      </c>
      <c r="N51">
        <v>1</v>
      </c>
      <c r="O51">
        <v>2</v>
      </c>
      <c r="P51" t="s">
        <v>27</v>
      </c>
      <c r="Q51" t="s">
        <v>28</v>
      </c>
      <c r="R51" t="s">
        <v>28</v>
      </c>
      <c r="S51" t="s">
        <v>28</v>
      </c>
      <c r="T51" t="s">
        <v>28</v>
      </c>
      <c r="U51" t="s">
        <v>28</v>
      </c>
      <c r="V51" t="s">
        <v>28</v>
      </c>
      <c r="W51">
        <v>0</v>
      </c>
      <c r="X51" t="s">
        <v>29</v>
      </c>
    </row>
    <row r="52" spans="1:24" x14ac:dyDescent="0.2">
      <c r="A52" t="str">
        <f t="shared" si="0"/>
        <v>sample_miseq-16S-A-E03-L0_SICap-P1-E3-P1D2-BB-C2R1-noBile-rep1-day2</v>
      </c>
      <c r="B52" s="1" t="s">
        <v>224</v>
      </c>
      <c r="C52" s="3" t="s">
        <v>800</v>
      </c>
      <c r="D52" s="3" t="s">
        <v>1327</v>
      </c>
      <c r="E52" t="s">
        <v>20</v>
      </c>
      <c r="F52" t="s">
        <v>21</v>
      </c>
      <c r="G52" t="s">
        <v>93</v>
      </c>
      <c r="H52" t="str">
        <f t="shared" si="1"/>
        <v>03</v>
      </c>
      <c r="I52" t="str">
        <f t="shared" si="2"/>
        <v>E</v>
      </c>
      <c r="J52" t="s">
        <v>23</v>
      </c>
      <c r="K52" t="s">
        <v>91</v>
      </c>
      <c r="L52" t="s">
        <v>25</v>
      </c>
      <c r="M52" t="s">
        <v>33</v>
      </c>
      <c r="N52">
        <v>1</v>
      </c>
      <c r="O52">
        <v>2</v>
      </c>
      <c r="P52" t="s">
        <v>27</v>
      </c>
      <c r="Q52" t="s">
        <v>28</v>
      </c>
      <c r="R52" t="s">
        <v>28</v>
      </c>
      <c r="S52" t="s">
        <v>28</v>
      </c>
      <c r="T52" t="s">
        <v>28</v>
      </c>
      <c r="U52" t="s">
        <v>28</v>
      </c>
      <c r="V52" t="s">
        <v>28</v>
      </c>
      <c r="W52">
        <v>0</v>
      </c>
      <c r="X52" t="s">
        <v>29</v>
      </c>
    </row>
    <row r="53" spans="1:24" x14ac:dyDescent="0.2">
      <c r="A53" t="str">
        <f t="shared" si="0"/>
        <v>sample_miseq-16S-A-E04-L0_SICap-P1-E4-P1D2-BB-C2R2-noBile-rep1-day2</v>
      </c>
      <c r="B53" s="1" t="s">
        <v>225</v>
      </c>
      <c r="C53" s="3" t="s">
        <v>801</v>
      </c>
      <c r="D53" s="3" t="s">
        <v>1327</v>
      </c>
      <c r="E53" t="s">
        <v>20</v>
      </c>
      <c r="F53" t="s">
        <v>21</v>
      </c>
      <c r="G53" t="s">
        <v>94</v>
      </c>
      <c r="H53" t="str">
        <f t="shared" si="1"/>
        <v>04</v>
      </c>
      <c r="I53" t="str">
        <f t="shared" si="2"/>
        <v>E</v>
      </c>
      <c r="J53" t="s">
        <v>23</v>
      </c>
      <c r="K53" t="s">
        <v>91</v>
      </c>
      <c r="L53" t="s">
        <v>25</v>
      </c>
      <c r="M53" t="s">
        <v>35</v>
      </c>
      <c r="N53">
        <v>1</v>
      </c>
      <c r="O53">
        <v>2</v>
      </c>
      <c r="P53" t="s">
        <v>27</v>
      </c>
      <c r="Q53" t="s">
        <v>28</v>
      </c>
      <c r="R53" t="s">
        <v>28</v>
      </c>
      <c r="S53" t="s">
        <v>28</v>
      </c>
      <c r="T53" t="s">
        <v>28</v>
      </c>
      <c r="U53" t="s">
        <v>28</v>
      </c>
      <c r="V53" t="s">
        <v>28</v>
      </c>
      <c r="W53">
        <v>0</v>
      </c>
      <c r="X53" t="s">
        <v>29</v>
      </c>
    </row>
    <row r="54" spans="1:24" x14ac:dyDescent="0.2">
      <c r="A54" t="str">
        <f t="shared" si="0"/>
        <v>sample_miseq-16S-A-E05-L0_SICap-P1-E5-P1D2-BB-C3R1-noBile-rep1-day2</v>
      </c>
      <c r="B54" s="1" t="s">
        <v>226</v>
      </c>
      <c r="C54" s="3" t="s">
        <v>802</v>
      </c>
      <c r="D54" s="3" t="s">
        <v>1327</v>
      </c>
      <c r="E54" t="s">
        <v>20</v>
      </c>
      <c r="F54" t="s">
        <v>21</v>
      </c>
      <c r="G54" t="s">
        <v>95</v>
      </c>
      <c r="H54" t="str">
        <f t="shared" si="1"/>
        <v>05</v>
      </c>
      <c r="I54" t="str">
        <f t="shared" si="2"/>
        <v>E</v>
      </c>
      <c r="J54" t="s">
        <v>23</v>
      </c>
      <c r="K54" t="s">
        <v>91</v>
      </c>
      <c r="L54" t="s">
        <v>25</v>
      </c>
      <c r="M54" t="s">
        <v>37</v>
      </c>
      <c r="N54">
        <v>1</v>
      </c>
      <c r="O54">
        <v>2</v>
      </c>
      <c r="P54" t="s">
        <v>27</v>
      </c>
      <c r="Q54" t="s">
        <v>28</v>
      </c>
      <c r="R54" t="s">
        <v>28</v>
      </c>
      <c r="S54" t="s">
        <v>28</v>
      </c>
      <c r="T54" t="s">
        <v>28</v>
      </c>
      <c r="U54" t="s">
        <v>28</v>
      </c>
      <c r="V54" t="s">
        <v>28</v>
      </c>
      <c r="W54">
        <v>0</v>
      </c>
      <c r="X54" t="s">
        <v>29</v>
      </c>
    </row>
    <row r="55" spans="1:24" x14ac:dyDescent="0.2">
      <c r="A55" t="str">
        <f t="shared" si="0"/>
        <v>sample_miseq-16S-A-E06-L0_SICap-P1-E6-P1D2-BB-C3R2-noBile-rep1-day2</v>
      </c>
      <c r="B55" s="1" t="s">
        <v>227</v>
      </c>
      <c r="C55" s="3" t="s">
        <v>803</v>
      </c>
      <c r="D55" s="3" t="s">
        <v>1327</v>
      </c>
      <c r="E55" t="s">
        <v>20</v>
      </c>
      <c r="F55" t="s">
        <v>21</v>
      </c>
      <c r="G55" t="s">
        <v>96</v>
      </c>
      <c r="H55" t="str">
        <f t="shared" si="1"/>
        <v>06</v>
      </c>
      <c r="I55" t="str">
        <f t="shared" si="2"/>
        <v>E</v>
      </c>
      <c r="J55" t="s">
        <v>23</v>
      </c>
      <c r="K55" t="s">
        <v>91</v>
      </c>
      <c r="L55" t="s">
        <v>25</v>
      </c>
      <c r="M55" t="s">
        <v>39</v>
      </c>
      <c r="N55">
        <v>1</v>
      </c>
      <c r="O55">
        <v>2</v>
      </c>
      <c r="P55" t="s">
        <v>27</v>
      </c>
      <c r="Q55" t="s">
        <v>28</v>
      </c>
      <c r="R55" t="s">
        <v>28</v>
      </c>
      <c r="S55" t="s">
        <v>28</v>
      </c>
      <c r="T55" t="s">
        <v>28</v>
      </c>
      <c r="U55" t="s">
        <v>28</v>
      </c>
      <c r="V55" t="s">
        <v>28</v>
      </c>
      <c r="W55">
        <v>0</v>
      </c>
      <c r="X55" t="s">
        <v>29</v>
      </c>
    </row>
    <row r="56" spans="1:24" x14ac:dyDescent="0.2">
      <c r="A56" t="str">
        <f t="shared" si="0"/>
        <v>sample_miseq-16S-A-E07-L0_SICap-P1-E7-P1D2-BB-C4R1-noBile-rep1-day2</v>
      </c>
      <c r="B56" s="1" t="s">
        <v>228</v>
      </c>
      <c r="C56" s="3" t="s">
        <v>804</v>
      </c>
      <c r="D56" s="3" t="s">
        <v>1327</v>
      </c>
      <c r="E56" t="s">
        <v>20</v>
      </c>
      <c r="F56" t="s">
        <v>21</v>
      </c>
      <c r="G56" t="s">
        <v>97</v>
      </c>
      <c r="H56" t="str">
        <f t="shared" si="1"/>
        <v>07</v>
      </c>
      <c r="I56" t="str">
        <f t="shared" si="2"/>
        <v>E</v>
      </c>
      <c r="J56" t="s">
        <v>23</v>
      </c>
      <c r="K56" t="s">
        <v>91</v>
      </c>
      <c r="L56" t="s">
        <v>25</v>
      </c>
      <c r="M56" t="s">
        <v>41</v>
      </c>
      <c r="N56">
        <v>1</v>
      </c>
      <c r="O56">
        <v>2</v>
      </c>
      <c r="P56" t="s">
        <v>27</v>
      </c>
      <c r="Q56" t="s">
        <v>28</v>
      </c>
      <c r="R56" t="s">
        <v>28</v>
      </c>
      <c r="S56" t="s">
        <v>28</v>
      </c>
      <c r="T56" t="s">
        <v>28</v>
      </c>
      <c r="U56" t="s">
        <v>28</v>
      </c>
      <c r="V56" t="s">
        <v>28</v>
      </c>
      <c r="W56">
        <v>0</v>
      </c>
      <c r="X56" t="s">
        <v>29</v>
      </c>
    </row>
    <row r="57" spans="1:24" x14ac:dyDescent="0.2">
      <c r="A57" t="str">
        <f t="shared" si="0"/>
        <v>sample_miseq-16S-A-E08-L0_SICap-P1-E8-P1D2-BB-C4R2-noBile-rep1-day2</v>
      </c>
      <c r="B57" s="1" t="s">
        <v>229</v>
      </c>
      <c r="C57" s="3" t="s">
        <v>805</v>
      </c>
      <c r="D57" s="3" t="s">
        <v>1327</v>
      </c>
      <c r="E57" t="s">
        <v>20</v>
      </c>
      <c r="F57" t="s">
        <v>21</v>
      </c>
      <c r="G57" t="s">
        <v>98</v>
      </c>
      <c r="H57" t="str">
        <f t="shared" si="1"/>
        <v>08</v>
      </c>
      <c r="I57" t="str">
        <f t="shared" si="2"/>
        <v>E</v>
      </c>
      <c r="J57" t="s">
        <v>23</v>
      </c>
      <c r="K57" t="s">
        <v>91</v>
      </c>
      <c r="L57" t="s">
        <v>25</v>
      </c>
      <c r="M57" t="s">
        <v>43</v>
      </c>
      <c r="N57">
        <v>1</v>
      </c>
      <c r="O57">
        <v>2</v>
      </c>
      <c r="P57" t="s">
        <v>27</v>
      </c>
      <c r="Q57" t="s">
        <v>28</v>
      </c>
      <c r="R57" t="s">
        <v>28</v>
      </c>
      <c r="S57" t="s">
        <v>28</v>
      </c>
      <c r="T57" t="s">
        <v>28</v>
      </c>
      <c r="U57" t="s">
        <v>28</v>
      </c>
      <c r="V57" t="s">
        <v>28</v>
      </c>
      <c r="W57">
        <v>0</v>
      </c>
      <c r="X57" t="s">
        <v>29</v>
      </c>
    </row>
    <row r="58" spans="1:24" x14ac:dyDescent="0.2">
      <c r="A58" t="str">
        <f t="shared" si="0"/>
        <v>sample_miseq-16S-A-E09-L0_SICap-P1-E9-P1D2-BB-S1R2-noBile-rep1-day2</v>
      </c>
      <c r="B58" s="1" t="s">
        <v>230</v>
      </c>
      <c r="C58" s="3" t="s">
        <v>806</v>
      </c>
      <c r="D58" s="3" t="s">
        <v>1327</v>
      </c>
      <c r="E58" t="s">
        <v>20</v>
      </c>
      <c r="F58" t="s">
        <v>21</v>
      </c>
      <c r="G58" t="s">
        <v>99</v>
      </c>
      <c r="H58" t="str">
        <f t="shared" si="1"/>
        <v>09</v>
      </c>
      <c r="I58" t="str">
        <f t="shared" si="2"/>
        <v>E</v>
      </c>
      <c r="J58" t="s">
        <v>23</v>
      </c>
      <c r="K58" t="s">
        <v>91</v>
      </c>
      <c r="L58" t="s">
        <v>25</v>
      </c>
      <c r="M58" t="s">
        <v>45</v>
      </c>
      <c r="N58">
        <v>1</v>
      </c>
      <c r="O58">
        <v>2</v>
      </c>
      <c r="P58" t="s">
        <v>27</v>
      </c>
      <c r="Q58" t="s">
        <v>28</v>
      </c>
      <c r="R58" t="s">
        <v>28</v>
      </c>
      <c r="S58" t="s">
        <v>28</v>
      </c>
      <c r="T58" t="s">
        <v>28</v>
      </c>
      <c r="U58" t="s">
        <v>28</v>
      </c>
      <c r="V58" t="s">
        <v>28</v>
      </c>
      <c r="W58">
        <v>0</v>
      </c>
      <c r="X58" t="s">
        <v>29</v>
      </c>
    </row>
    <row r="59" spans="1:24" x14ac:dyDescent="0.2">
      <c r="A59" t="str">
        <f t="shared" si="0"/>
        <v>sample_miseq-16S-A-E10-L0_SICap-P1-E10-P1D2-BB-StoolPool-noBile-rep1-day2</v>
      </c>
      <c r="B59" s="1" t="s">
        <v>231</v>
      </c>
      <c r="C59" s="3" t="s">
        <v>807</v>
      </c>
      <c r="D59" s="3" t="s">
        <v>1327</v>
      </c>
      <c r="E59" t="s">
        <v>20</v>
      </c>
      <c r="F59" t="s">
        <v>21</v>
      </c>
      <c r="G59" t="s">
        <v>100</v>
      </c>
      <c r="H59" t="str">
        <f t="shared" si="1"/>
        <v>10</v>
      </c>
      <c r="I59" t="str">
        <f t="shared" si="2"/>
        <v>E</v>
      </c>
      <c r="J59" t="s">
        <v>23</v>
      </c>
      <c r="K59" t="s">
        <v>91</v>
      </c>
      <c r="L59" t="s">
        <v>25</v>
      </c>
      <c r="M59" t="s">
        <v>47</v>
      </c>
      <c r="N59">
        <v>1</v>
      </c>
      <c r="O59">
        <v>2</v>
      </c>
      <c r="P59" t="s">
        <v>27</v>
      </c>
      <c r="Q59" t="s">
        <v>28</v>
      </c>
      <c r="R59" t="s">
        <v>28</v>
      </c>
      <c r="S59" t="s">
        <v>28</v>
      </c>
      <c r="T59" t="s">
        <v>28</v>
      </c>
      <c r="U59" t="s">
        <v>28</v>
      </c>
      <c r="V59" t="s">
        <v>28</v>
      </c>
      <c r="W59">
        <v>0</v>
      </c>
      <c r="X59" t="s">
        <v>29</v>
      </c>
    </row>
    <row r="60" spans="1:24" x14ac:dyDescent="0.2">
      <c r="A60" t="str">
        <f t="shared" si="0"/>
        <v>sample_miseq-16S-A-E11-L0_SICap-P1-E11-P1D2-BB-SIPool-noBile-rep1-day2</v>
      </c>
      <c r="B60" s="1" t="s">
        <v>232</v>
      </c>
      <c r="C60" s="3" t="s">
        <v>808</v>
      </c>
      <c r="D60" s="3" t="s">
        <v>1327</v>
      </c>
      <c r="E60" t="s">
        <v>20</v>
      </c>
      <c r="F60" t="s">
        <v>21</v>
      </c>
      <c r="G60" t="s">
        <v>101</v>
      </c>
      <c r="H60" t="str">
        <f t="shared" si="1"/>
        <v>11</v>
      </c>
      <c r="I60" t="str">
        <f t="shared" si="2"/>
        <v>E</v>
      </c>
      <c r="J60" t="s">
        <v>23</v>
      </c>
      <c r="K60" t="s">
        <v>91</v>
      </c>
      <c r="L60" t="s">
        <v>25</v>
      </c>
      <c r="M60" t="s">
        <v>49</v>
      </c>
      <c r="N60">
        <v>1</v>
      </c>
      <c r="O60">
        <v>2</v>
      </c>
      <c r="P60" t="s">
        <v>27</v>
      </c>
      <c r="Q60" t="s">
        <v>28</v>
      </c>
      <c r="R60" t="s">
        <v>28</v>
      </c>
      <c r="S60" t="s">
        <v>28</v>
      </c>
      <c r="T60" t="s">
        <v>28</v>
      </c>
      <c r="U60" t="s">
        <v>28</v>
      </c>
      <c r="V60" t="s">
        <v>28</v>
      </c>
      <c r="W60">
        <v>0</v>
      </c>
      <c r="X60" t="s">
        <v>29</v>
      </c>
    </row>
    <row r="61" spans="1:24" x14ac:dyDescent="0.2">
      <c r="A61" t="str">
        <f t="shared" si="0"/>
        <v>sample_miseq-16S-A-E12-L0_SICap-P1-E12-P1D2-BB-Media-noBile-rep1-day2</v>
      </c>
      <c r="B61" s="1" t="s">
        <v>233</v>
      </c>
      <c r="C61" s="3" t="s">
        <v>809</v>
      </c>
      <c r="D61" s="3" t="s">
        <v>1327</v>
      </c>
      <c r="E61" t="s">
        <v>20</v>
      </c>
      <c r="F61" t="s">
        <v>21</v>
      </c>
      <c r="G61" t="s">
        <v>102</v>
      </c>
      <c r="H61" t="str">
        <f t="shared" si="1"/>
        <v>12</v>
      </c>
      <c r="I61" t="str">
        <f t="shared" si="2"/>
        <v>E</v>
      </c>
      <c r="J61" t="s">
        <v>23</v>
      </c>
      <c r="K61" t="s">
        <v>91</v>
      </c>
      <c r="L61" t="s">
        <v>25</v>
      </c>
      <c r="M61" t="s">
        <v>6</v>
      </c>
      <c r="N61">
        <v>1</v>
      </c>
      <c r="O61">
        <v>2</v>
      </c>
      <c r="P61" t="s">
        <v>27</v>
      </c>
      <c r="Q61" t="s">
        <v>28</v>
      </c>
      <c r="R61" t="s">
        <v>28</v>
      </c>
      <c r="S61" t="s">
        <v>28</v>
      </c>
      <c r="T61" t="s">
        <v>28</v>
      </c>
      <c r="U61" t="s">
        <v>28</v>
      </c>
      <c r="V61" t="s">
        <v>28</v>
      </c>
      <c r="W61">
        <v>0</v>
      </c>
      <c r="X61" t="s">
        <v>29</v>
      </c>
    </row>
    <row r="62" spans="1:24" x14ac:dyDescent="0.2">
      <c r="A62" t="str">
        <f t="shared" si="0"/>
        <v>sample_miseq-16S-A-F01-L0_SICap-P1-F1-P1D2-YCFAG-C1R1-noBile-rep1-day2</v>
      </c>
      <c r="B62" s="1" t="s">
        <v>234</v>
      </c>
      <c r="C62" s="3" t="s">
        <v>810</v>
      </c>
      <c r="D62" s="3" t="s">
        <v>1327</v>
      </c>
      <c r="E62" t="s">
        <v>20</v>
      </c>
      <c r="F62" t="s">
        <v>21</v>
      </c>
      <c r="G62" t="s">
        <v>103</v>
      </c>
      <c r="H62" t="str">
        <f t="shared" si="1"/>
        <v>01</v>
      </c>
      <c r="I62" t="str">
        <f t="shared" si="2"/>
        <v>F</v>
      </c>
      <c r="J62" t="s">
        <v>23</v>
      </c>
      <c r="K62" t="s">
        <v>104</v>
      </c>
      <c r="L62" t="s">
        <v>25</v>
      </c>
      <c r="M62" t="s">
        <v>26</v>
      </c>
      <c r="N62">
        <v>1</v>
      </c>
      <c r="O62">
        <v>2</v>
      </c>
      <c r="P62" t="s">
        <v>27</v>
      </c>
      <c r="Q62" t="s">
        <v>28</v>
      </c>
      <c r="R62" t="s">
        <v>28</v>
      </c>
      <c r="S62" t="s">
        <v>28</v>
      </c>
      <c r="T62" t="s">
        <v>28</v>
      </c>
      <c r="U62" t="s">
        <v>28</v>
      </c>
      <c r="V62" t="s">
        <v>28</v>
      </c>
      <c r="W62">
        <v>0</v>
      </c>
      <c r="X62" t="s">
        <v>29</v>
      </c>
    </row>
    <row r="63" spans="1:24" x14ac:dyDescent="0.2">
      <c r="A63" t="str">
        <f t="shared" si="0"/>
        <v>sample_miseq-16S-A-F02-L0_SICap-P1-F2-P1D2-YCFAG-C1R2-noBile-rep1-day2</v>
      </c>
      <c r="B63" s="1" t="s">
        <v>235</v>
      </c>
      <c r="C63" s="3" t="s">
        <v>811</v>
      </c>
      <c r="D63" s="3" t="s">
        <v>1327</v>
      </c>
      <c r="E63" t="s">
        <v>20</v>
      </c>
      <c r="F63" t="s">
        <v>21</v>
      </c>
      <c r="G63" t="s">
        <v>105</v>
      </c>
      <c r="H63" t="str">
        <f t="shared" si="1"/>
        <v>02</v>
      </c>
      <c r="I63" t="str">
        <f t="shared" si="2"/>
        <v>F</v>
      </c>
      <c r="J63" t="s">
        <v>23</v>
      </c>
      <c r="K63" t="s">
        <v>104</v>
      </c>
      <c r="L63" t="s">
        <v>25</v>
      </c>
      <c r="M63" t="s">
        <v>31</v>
      </c>
      <c r="N63">
        <v>1</v>
      </c>
      <c r="O63">
        <v>2</v>
      </c>
      <c r="P63" t="s">
        <v>27</v>
      </c>
      <c r="Q63" t="s">
        <v>28</v>
      </c>
      <c r="R63" t="s">
        <v>28</v>
      </c>
      <c r="S63" t="s">
        <v>28</v>
      </c>
      <c r="T63" t="s">
        <v>28</v>
      </c>
      <c r="U63" t="s">
        <v>28</v>
      </c>
      <c r="V63" t="s">
        <v>28</v>
      </c>
      <c r="W63">
        <v>0</v>
      </c>
      <c r="X63" t="s">
        <v>29</v>
      </c>
    </row>
    <row r="64" spans="1:24" x14ac:dyDescent="0.2">
      <c r="A64" t="str">
        <f t="shared" si="0"/>
        <v>sample_miseq-16S-A-F03-L0_SICap-P1-F3-P1D2-YCFAG-C2R1-noBile-rep1-day2</v>
      </c>
      <c r="B64" s="1" t="s">
        <v>236</v>
      </c>
      <c r="C64" s="3" t="s">
        <v>812</v>
      </c>
      <c r="D64" s="3" t="s">
        <v>1327</v>
      </c>
      <c r="E64" t="s">
        <v>20</v>
      </c>
      <c r="F64" t="s">
        <v>21</v>
      </c>
      <c r="G64" t="s">
        <v>106</v>
      </c>
      <c r="H64" t="str">
        <f t="shared" si="1"/>
        <v>03</v>
      </c>
      <c r="I64" t="str">
        <f t="shared" si="2"/>
        <v>F</v>
      </c>
      <c r="J64" t="s">
        <v>23</v>
      </c>
      <c r="K64" t="s">
        <v>104</v>
      </c>
      <c r="L64" t="s">
        <v>25</v>
      </c>
      <c r="M64" t="s">
        <v>33</v>
      </c>
      <c r="N64">
        <v>1</v>
      </c>
      <c r="O64">
        <v>2</v>
      </c>
      <c r="P64" t="s">
        <v>27</v>
      </c>
      <c r="Q64" t="s">
        <v>28</v>
      </c>
      <c r="R64" t="s">
        <v>28</v>
      </c>
      <c r="S64" t="s">
        <v>28</v>
      </c>
      <c r="T64" t="s">
        <v>28</v>
      </c>
      <c r="U64" t="s">
        <v>28</v>
      </c>
      <c r="V64" t="s">
        <v>28</v>
      </c>
      <c r="W64">
        <v>0</v>
      </c>
      <c r="X64" t="s">
        <v>29</v>
      </c>
    </row>
    <row r="65" spans="1:24" x14ac:dyDescent="0.2">
      <c r="A65" t="str">
        <f t="shared" si="0"/>
        <v>sample_miseq-16S-A-F04-L0_SICap-P1-F4-P1D2-YCFAG-C2R2-noBile-rep1-day2</v>
      </c>
      <c r="B65" s="1" t="s">
        <v>237</v>
      </c>
      <c r="C65" s="3" t="s">
        <v>813</v>
      </c>
      <c r="D65" s="3" t="s">
        <v>1327</v>
      </c>
      <c r="E65" t="s">
        <v>20</v>
      </c>
      <c r="F65" t="s">
        <v>21</v>
      </c>
      <c r="G65" t="s">
        <v>107</v>
      </c>
      <c r="H65" t="str">
        <f t="shared" si="1"/>
        <v>04</v>
      </c>
      <c r="I65" t="str">
        <f t="shared" si="2"/>
        <v>F</v>
      </c>
      <c r="J65" t="s">
        <v>23</v>
      </c>
      <c r="K65" t="s">
        <v>104</v>
      </c>
      <c r="L65" t="s">
        <v>25</v>
      </c>
      <c r="M65" t="s">
        <v>35</v>
      </c>
      <c r="N65">
        <v>1</v>
      </c>
      <c r="O65">
        <v>2</v>
      </c>
      <c r="P65" t="s">
        <v>27</v>
      </c>
      <c r="Q65" t="s">
        <v>28</v>
      </c>
      <c r="R65" t="s">
        <v>28</v>
      </c>
      <c r="S65" t="s">
        <v>28</v>
      </c>
      <c r="T65" t="s">
        <v>28</v>
      </c>
      <c r="U65" t="s">
        <v>28</v>
      </c>
      <c r="V65" t="s">
        <v>28</v>
      </c>
      <c r="W65">
        <v>0</v>
      </c>
      <c r="X65" t="s">
        <v>29</v>
      </c>
    </row>
    <row r="66" spans="1:24" x14ac:dyDescent="0.2">
      <c r="A66" t="str">
        <f t="shared" si="0"/>
        <v>sample_miseq-16S-A-F05-L0_SICap-P1-F5-P1D2-YCFAG-C3R1-noBile-rep1-day2</v>
      </c>
      <c r="B66" s="1" t="s">
        <v>238</v>
      </c>
      <c r="C66" s="3" t="s">
        <v>814</v>
      </c>
      <c r="D66" s="3" t="s">
        <v>1327</v>
      </c>
      <c r="E66" t="s">
        <v>20</v>
      </c>
      <c r="F66" t="s">
        <v>21</v>
      </c>
      <c r="G66" t="s">
        <v>108</v>
      </c>
      <c r="H66" t="str">
        <f t="shared" si="1"/>
        <v>05</v>
      </c>
      <c r="I66" t="str">
        <f t="shared" si="2"/>
        <v>F</v>
      </c>
      <c r="J66" t="s">
        <v>23</v>
      </c>
      <c r="K66" t="s">
        <v>104</v>
      </c>
      <c r="L66" t="s">
        <v>25</v>
      </c>
      <c r="M66" t="s">
        <v>37</v>
      </c>
      <c r="N66">
        <v>1</v>
      </c>
      <c r="O66">
        <v>2</v>
      </c>
      <c r="P66" t="s">
        <v>27</v>
      </c>
      <c r="Q66" t="s">
        <v>28</v>
      </c>
      <c r="R66" t="s">
        <v>28</v>
      </c>
      <c r="S66" t="s">
        <v>28</v>
      </c>
      <c r="T66" t="s">
        <v>28</v>
      </c>
      <c r="U66" t="s">
        <v>28</v>
      </c>
      <c r="V66" t="s">
        <v>28</v>
      </c>
      <c r="W66">
        <v>0</v>
      </c>
      <c r="X66" t="s">
        <v>29</v>
      </c>
    </row>
    <row r="67" spans="1:24" x14ac:dyDescent="0.2">
      <c r="A67" t="str">
        <f t="shared" ref="A67:A130" si="3">_xlfn.CONCAT("sample_miseq-",C67)</f>
        <v>sample_miseq-16S-A-F06-L0_SICap-P1-F6-P1D2-YCFAG-C3R2-noBile-rep1-day2</v>
      </c>
      <c r="B67" s="1" t="s">
        <v>239</v>
      </c>
      <c r="C67" s="3" t="s">
        <v>815</v>
      </c>
      <c r="D67" s="3" t="s">
        <v>1327</v>
      </c>
      <c r="E67" t="s">
        <v>20</v>
      </c>
      <c r="F67" t="s">
        <v>21</v>
      </c>
      <c r="G67" t="s">
        <v>109</v>
      </c>
      <c r="H67" t="str">
        <f t="shared" ref="H67:H130" si="4">RIGHT(G67,2)</f>
        <v>06</v>
      </c>
      <c r="I67" t="str">
        <f t="shared" ref="I67:I130" si="5">LEFT(G67)</f>
        <v>F</v>
      </c>
      <c r="J67" t="s">
        <v>23</v>
      </c>
      <c r="K67" t="s">
        <v>104</v>
      </c>
      <c r="L67" t="s">
        <v>25</v>
      </c>
      <c r="M67" t="s">
        <v>39</v>
      </c>
      <c r="N67">
        <v>1</v>
      </c>
      <c r="O67">
        <v>2</v>
      </c>
      <c r="P67" t="s">
        <v>27</v>
      </c>
      <c r="Q67" t="s">
        <v>28</v>
      </c>
      <c r="R67" t="s">
        <v>28</v>
      </c>
      <c r="S67" t="s">
        <v>28</v>
      </c>
      <c r="T67" t="s">
        <v>28</v>
      </c>
      <c r="U67" t="s">
        <v>28</v>
      </c>
      <c r="V67" t="s">
        <v>28</v>
      </c>
      <c r="W67">
        <v>0</v>
      </c>
      <c r="X67" t="s">
        <v>29</v>
      </c>
    </row>
    <row r="68" spans="1:24" x14ac:dyDescent="0.2">
      <c r="A68" t="str">
        <f t="shared" si="3"/>
        <v>sample_miseq-16S-A-F07-L0_SICap-P1-F7-P1D2-YCFAG-C4R1-noBile-rep1-day2</v>
      </c>
      <c r="B68" s="1" t="s">
        <v>240</v>
      </c>
      <c r="C68" s="3" t="s">
        <v>816</v>
      </c>
      <c r="D68" s="3" t="s">
        <v>1327</v>
      </c>
      <c r="E68" t="s">
        <v>20</v>
      </c>
      <c r="F68" t="s">
        <v>21</v>
      </c>
      <c r="G68" t="s">
        <v>110</v>
      </c>
      <c r="H68" t="str">
        <f t="shared" si="4"/>
        <v>07</v>
      </c>
      <c r="I68" t="str">
        <f t="shared" si="5"/>
        <v>F</v>
      </c>
      <c r="J68" t="s">
        <v>23</v>
      </c>
      <c r="K68" t="s">
        <v>104</v>
      </c>
      <c r="L68" t="s">
        <v>25</v>
      </c>
      <c r="M68" t="s">
        <v>41</v>
      </c>
      <c r="N68">
        <v>1</v>
      </c>
      <c r="O68">
        <v>2</v>
      </c>
      <c r="P68" t="s">
        <v>27</v>
      </c>
      <c r="Q68" t="s">
        <v>28</v>
      </c>
      <c r="R68" t="s">
        <v>28</v>
      </c>
      <c r="S68" t="s">
        <v>28</v>
      </c>
      <c r="T68" t="s">
        <v>28</v>
      </c>
      <c r="U68" t="s">
        <v>28</v>
      </c>
      <c r="V68" t="s">
        <v>28</v>
      </c>
      <c r="W68">
        <v>0</v>
      </c>
      <c r="X68" t="s">
        <v>29</v>
      </c>
    </row>
    <row r="69" spans="1:24" x14ac:dyDescent="0.2">
      <c r="A69" t="str">
        <f t="shared" si="3"/>
        <v>sample_miseq-16S-A-F08-L0_SICap-P1-F8-P1D2-YCFAG-C4R2-noBile-rep1-day2</v>
      </c>
      <c r="B69" s="1" t="s">
        <v>241</v>
      </c>
      <c r="C69" s="3" t="s">
        <v>817</v>
      </c>
      <c r="D69" s="3" t="s">
        <v>1327</v>
      </c>
      <c r="E69" t="s">
        <v>20</v>
      </c>
      <c r="F69" t="s">
        <v>21</v>
      </c>
      <c r="G69" t="s">
        <v>111</v>
      </c>
      <c r="H69" t="str">
        <f t="shared" si="4"/>
        <v>08</v>
      </c>
      <c r="I69" t="str">
        <f t="shared" si="5"/>
        <v>F</v>
      </c>
      <c r="J69" t="s">
        <v>23</v>
      </c>
      <c r="K69" t="s">
        <v>104</v>
      </c>
      <c r="L69" t="s">
        <v>25</v>
      </c>
      <c r="M69" t="s">
        <v>43</v>
      </c>
      <c r="N69">
        <v>1</v>
      </c>
      <c r="O69">
        <v>2</v>
      </c>
      <c r="P69" t="s">
        <v>27</v>
      </c>
      <c r="Q69" t="s">
        <v>28</v>
      </c>
      <c r="R69" t="s">
        <v>28</v>
      </c>
      <c r="S69" t="s">
        <v>28</v>
      </c>
      <c r="T69" t="s">
        <v>28</v>
      </c>
      <c r="U69" t="s">
        <v>28</v>
      </c>
      <c r="V69" t="s">
        <v>28</v>
      </c>
      <c r="W69">
        <v>0</v>
      </c>
      <c r="X69" t="s">
        <v>29</v>
      </c>
    </row>
    <row r="70" spans="1:24" x14ac:dyDescent="0.2">
      <c r="A70" t="str">
        <f t="shared" si="3"/>
        <v>sample_miseq-16S-A-F09-L0_SICap-P1-F9-P1D2-YCFAG-S1R2-noBile-rep1-day2</v>
      </c>
      <c r="B70" s="1" t="s">
        <v>242</v>
      </c>
      <c r="C70" s="3" t="s">
        <v>818</v>
      </c>
      <c r="D70" s="3" t="s">
        <v>1327</v>
      </c>
      <c r="E70" t="s">
        <v>20</v>
      </c>
      <c r="F70" t="s">
        <v>21</v>
      </c>
      <c r="G70" t="s">
        <v>112</v>
      </c>
      <c r="H70" t="str">
        <f t="shared" si="4"/>
        <v>09</v>
      </c>
      <c r="I70" t="str">
        <f t="shared" si="5"/>
        <v>F</v>
      </c>
      <c r="J70" t="s">
        <v>23</v>
      </c>
      <c r="K70" t="s">
        <v>104</v>
      </c>
      <c r="L70" t="s">
        <v>25</v>
      </c>
      <c r="M70" t="s">
        <v>45</v>
      </c>
      <c r="N70">
        <v>1</v>
      </c>
      <c r="O70">
        <v>2</v>
      </c>
      <c r="P70" t="s">
        <v>27</v>
      </c>
      <c r="Q70" t="s">
        <v>28</v>
      </c>
      <c r="R70" t="s">
        <v>28</v>
      </c>
      <c r="S70" t="s">
        <v>28</v>
      </c>
      <c r="T70" t="s">
        <v>28</v>
      </c>
      <c r="U70" t="s">
        <v>28</v>
      </c>
      <c r="V70" t="s">
        <v>28</v>
      </c>
      <c r="W70">
        <v>0</v>
      </c>
      <c r="X70" t="s">
        <v>29</v>
      </c>
    </row>
    <row r="71" spans="1:24" x14ac:dyDescent="0.2">
      <c r="A71" t="str">
        <f t="shared" si="3"/>
        <v>sample_miseq-16S-A-F10-L0_SICap-P1-F10-P1D2-YCFAG-StoolPool-noBile-rep1-day2</v>
      </c>
      <c r="B71" s="1" t="s">
        <v>243</v>
      </c>
      <c r="C71" s="3" t="s">
        <v>819</v>
      </c>
      <c r="D71" s="3" t="s">
        <v>1327</v>
      </c>
      <c r="E71" t="s">
        <v>20</v>
      </c>
      <c r="F71" t="s">
        <v>21</v>
      </c>
      <c r="G71" t="s">
        <v>113</v>
      </c>
      <c r="H71" t="str">
        <f t="shared" si="4"/>
        <v>10</v>
      </c>
      <c r="I71" t="str">
        <f t="shared" si="5"/>
        <v>F</v>
      </c>
      <c r="J71" t="s">
        <v>23</v>
      </c>
      <c r="K71" t="s">
        <v>104</v>
      </c>
      <c r="L71" t="s">
        <v>25</v>
      </c>
      <c r="M71" t="s">
        <v>47</v>
      </c>
      <c r="N71">
        <v>1</v>
      </c>
      <c r="O71">
        <v>2</v>
      </c>
      <c r="P71" t="s">
        <v>27</v>
      </c>
      <c r="Q71" t="s">
        <v>28</v>
      </c>
      <c r="R71" t="s">
        <v>28</v>
      </c>
      <c r="S71" t="s">
        <v>28</v>
      </c>
      <c r="T71" t="s">
        <v>28</v>
      </c>
      <c r="U71" t="s">
        <v>28</v>
      </c>
      <c r="V71" t="s">
        <v>28</v>
      </c>
      <c r="W71">
        <v>0</v>
      </c>
      <c r="X71" t="s">
        <v>29</v>
      </c>
    </row>
    <row r="72" spans="1:24" x14ac:dyDescent="0.2">
      <c r="A72" t="str">
        <f t="shared" si="3"/>
        <v>sample_miseq-16S-A-F11-L0_SICap-P1-F11-P1D2-YCFAG-SIPool-noBile-rep1-day2</v>
      </c>
      <c r="B72" s="1" t="s">
        <v>244</v>
      </c>
      <c r="C72" s="3" t="s">
        <v>820</v>
      </c>
      <c r="D72" s="3" t="s">
        <v>1327</v>
      </c>
      <c r="E72" t="s">
        <v>20</v>
      </c>
      <c r="F72" t="s">
        <v>21</v>
      </c>
      <c r="G72" t="s">
        <v>114</v>
      </c>
      <c r="H72" t="str">
        <f t="shared" si="4"/>
        <v>11</v>
      </c>
      <c r="I72" t="str">
        <f t="shared" si="5"/>
        <v>F</v>
      </c>
      <c r="J72" t="s">
        <v>23</v>
      </c>
      <c r="K72" t="s">
        <v>104</v>
      </c>
      <c r="L72" t="s">
        <v>25</v>
      </c>
      <c r="M72" t="s">
        <v>49</v>
      </c>
      <c r="N72">
        <v>1</v>
      </c>
      <c r="O72">
        <v>2</v>
      </c>
      <c r="P72" t="s">
        <v>27</v>
      </c>
      <c r="Q72" t="s">
        <v>28</v>
      </c>
      <c r="R72" t="s">
        <v>28</v>
      </c>
      <c r="S72" t="s">
        <v>28</v>
      </c>
      <c r="T72" t="s">
        <v>28</v>
      </c>
      <c r="U72" t="s">
        <v>28</v>
      </c>
      <c r="V72" t="s">
        <v>28</v>
      </c>
      <c r="W72">
        <v>0</v>
      </c>
      <c r="X72" t="s">
        <v>29</v>
      </c>
    </row>
    <row r="73" spans="1:24" x14ac:dyDescent="0.2">
      <c r="A73" t="str">
        <f t="shared" si="3"/>
        <v>sample_miseq-16S-A-F12-L0_SICap-P1-F12-P1D2-YCFAG-Media-noBile-rep1-day2</v>
      </c>
      <c r="B73" s="1" t="s">
        <v>245</v>
      </c>
      <c r="C73" s="3" t="s">
        <v>821</v>
      </c>
      <c r="D73" s="3" t="s">
        <v>1327</v>
      </c>
      <c r="E73" t="s">
        <v>20</v>
      </c>
      <c r="F73" t="s">
        <v>21</v>
      </c>
      <c r="G73" t="s">
        <v>115</v>
      </c>
      <c r="H73" t="str">
        <f t="shared" si="4"/>
        <v>12</v>
      </c>
      <c r="I73" t="str">
        <f t="shared" si="5"/>
        <v>F</v>
      </c>
      <c r="J73" t="s">
        <v>23</v>
      </c>
      <c r="K73" t="s">
        <v>104</v>
      </c>
      <c r="L73" t="s">
        <v>25</v>
      </c>
      <c r="M73" t="s">
        <v>6</v>
      </c>
      <c r="N73">
        <v>1</v>
      </c>
      <c r="O73">
        <v>2</v>
      </c>
      <c r="P73" t="s">
        <v>27</v>
      </c>
      <c r="Q73" t="s">
        <v>28</v>
      </c>
      <c r="R73" t="s">
        <v>28</v>
      </c>
      <c r="S73" t="s">
        <v>28</v>
      </c>
      <c r="T73" t="s">
        <v>28</v>
      </c>
      <c r="U73" t="s">
        <v>28</v>
      </c>
      <c r="V73" t="s">
        <v>28</v>
      </c>
      <c r="W73">
        <v>0</v>
      </c>
      <c r="X73" t="s">
        <v>29</v>
      </c>
    </row>
    <row r="74" spans="1:24" x14ac:dyDescent="0.2">
      <c r="A74" t="str">
        <f t="shared" si="3"/>
        <v>sample_miseq-16S-A-G01-L0_SICap-P1-G1-P1D2-TYG-C1R1-noBile-rep1-day2</v>
      </c>
      <c r="B74" s="1" t="s">
        <v>246</v>
      </c>
      <c r="C74" s="3" t="s">
        <v>822</v>
      </c>
      <c r="D74" s="3" t="s">
        <v>1327</v>
      </c>
      <c r="E74" t="s">
        <v>20</v>
      </c>
      <c r="F74" t="s">
        <v>21</v>
      </c>
      <c r="G74" t="s">
        <v>116</v>
      </c>
      <c r="H74" t="str">
        <f t="shared" si="4"/>
        <v>01</v>
      </c>
      <c r="I74" t="str">
        <f t="shared" si="5"/>
        <v>G</v>
      </c>
      <c r="J74" t="s">
        <v>23</v>
      </c>
      <c r="K74" t="s">
        <v>117</v>
      </c>
      <c r="L74" t="s">
        <v>25</v>
      </c>
      <c r="M74" t="s">
        <v>26</v>
      </c>
      <c r="N74">
        <v>1</v>
      </c>
      <c r="O74">
        <v>2</v>
      </c>
      <c r="P74" t="s">
        <v>27</v>
      </c>
      <c r="Q74" t="s">
        <v>28</v>
      </c>
      <c r="R74" t="s">
        <v>28</v>
      </c>
      <c r="S74" t="s">
        <v>28</v>
      </c>
      <c r="T74" t="s">
        <v>28</v>
      </c>
      <c r="U74" t="s">
        <v>28</v>
      </c>
      <c r="V74" t="s">
        <v>28</v>
      </c>
      <c r="W74">
        <v>0</v>
      </c>
      <c r="X74" t="s">
        <v>29</v>
      </c>
    </row>
    <row r="75" spans="1:24" x14ac:dyDescent="0.2">
      <c r="A75" t="str">
        <f t="shared" si="3"/>
        <v>sample_miseq-16S-A-G02-L0_SICap-P1-G2-P1D2-TYG-C1R2-noBile-rep1-day2</v>
      </c>
      <c r="B75" s="1" t="s">
        <v>247</v>
      </c>
      <c r="C75" s="3" t="s">
        <v>823</v>
      </c>
      <c r="D75" s="3" t="s">
        <v>1327</v>
      </c>
      <c r="E75" t="s">
        <v>20</v>
      </c>
      <c r="F75" t="s">
        <v>21</v>
      </c>
      <c r="G75" t="s">
        <v>118</v>
      </c>
      <c r="H75" t="str">
        <f t="shared" si="4"/>
        <v>02</v>
      </c>
      <c r="I75" t="str">
        <f t="shared" si="5"/>
        <v>G</v>
      </c>
      <c r="J75" t="s">
        <v>23</v>
      </c>
      <c r="K75" t="s">
        <v>117</v>
      </c>
      <c r="L75" t="s">
        <v>25</v>
      </c>
      <c r="M75" t="s">
        <v>31</v>
      </c>
      <c r="N75">
        <v>1</v>
      </c>
      <c r="O75">
        <v>2</v>
      </c>
      <c r="P75" t="s">
        <v>27</v>
      </c>
      <c r="Q75" t="s">
        <v>28</v>
      </c>
      <c r="R75" t="s">
        <v>28</v>
      </c>
      <c r="S75" t="s">
        <v>28</v>
      </c>
      <c r="T75" t="s">
        <v>28</v>
      </c>
      <c r="U75" t="s">
        <v>28</v>
      </c>
      <c r="V75" t="s">
        <v>28</v>
      </c>
      <c r="W75">
        <v>0</v>
      </c>
      <c r="X75" t="s">
        <v>29</v>
      </c>
    </row>
    <row r="76" spans="1:24" x14ac:dyDescent="0.2">
      <c r="A76" t="str">
        <f t="shared" si="3"/>
        <v>sample_miseq-16S-A-G03-L0_SICap-P1-G3-P1D2-TYG-C2R1-noBile-rep1-day2</v>
      </c>
      <c r="B76" s="1" t="s">
        <v>248</v>
      </c>
      <c r="C76" s="3" t="s">
        <v>824</v>
      </c>
      <c r="D76" s="3" t="s">
        <v>1327</v>
      </c>
      <c r="E76" t="s">
        <v>20</v>
      </c>
      <c r="F76" t="s">
        <v>21</v>
      </c>
      <c r="G76" t="s">
        <v>119</v>
      </c>
      <c r="H76" t="str">
        <f t="shared" si="4"/>
        <v>03</v>
      </c>
      <c r="I76" t="str">
        <f t="shared" si="5"/>
        <v>G</v>
      </c>
      <c r="J76" t="s">
        <v>23</v>
      </c>
      <c r="K76" t="s">
        <v>117</v>
      </c>
      <c r="L76" t="s">
        <v>25</v>
      </c>
      <c r="M76" t="s">
        <v>33</v>
      </c>
      <c r="N76">
        <v>1</v>
      </c>
      <c r="O76">
        <v>2</v>
      </c>
      <c r="P76" t="s">
        <v>27</v>
      </c>
      <c r="Q76" t="s">
        <v>28</v>
      </c>
      <c r="R76" t="s">
        <v>28</v>
      </c>
      <c r="S76" t="s">
        <v>28</v>
      </c>
      <c r="T76" t="s">
        <v>28</v>
      </c>
      <c r="U76" t="s">
        <v>28</v>
      </c>
      <c r="V76" t="s">
        <v>28</v>
      </c>
      <c r="W76">
        <v>0</v>
      </c>
      <c r="X76" t="s">
        <v>29</v>
      </c>
    </row>
    <row r="77" spans="1:24" x14ac:dyDescent="0.2">
      <c r="A77" t="str">
        <f t="shared" si="3"/>
        <v>sample_miseq-16S-A-G04-L0_SICap-P1-G4-P1D2-TYG-C2R2-noBile-rep1-day2</v>
      </c>
      <c r="B77" s="1" t="s">
        <v>249</v>
      </c>
      <c r="C77" s="3" t="s">
        <v>825</v>
      </c>
      <c r="D77" s="3" t="s">
        <v>1327</v>
      </c>
      <c r="E77" t="s">
        <v>20</v>
      </c>
      <c r="F77" t="s">
        <v>21</v>
      </c>
      <c r="G77" t="s">
        <v>120</v>
      </c>
      <c r="H77" t="str">
        <f t="shared" si="4"/>
        <v>04</v>
      </c>
      <c r="I77" t="str">
        <f t="shared" si="5"/>
        <v>G</v>
      </c>
      <c r="J77" t="s">
        <v>23</v>
      </c>
      <c r="K77" t="s">
        <v>117</v>
      </c>
      <c r="L77" t="s">
        <v>25</v>
      </c>
      <c r="M77" t="s">
        <v>35</v>
      </c>
      <c r="N77">
        <v>1</v>
      </c>
      <c r="O77">
        <v>2</v>
      </c>
      <c r="P77" t="s">
        <v>27</v>
      </c>
      <c r="Q77" t="s">
        <v>28</v>
      </c>
      <c r="R77" t="s">
        <v>28</v>
      </c>
      <c r="S77" t="s">
        <v>28</v>
      </c>
      <c r="T77" t="s">
        <v>28</v>
      </c>
      <c r="U77" t="s">
        <v>28</v>
      </c>
      <c r="V77" t="s">
        <v>28</v>
      </c>
      <c r="W77">
        <v>0</v>
      </c>
      <c r="X77" t="s">
        <v>29</v>
      </c>
    </row>
    <row r="78" spans="1:24" x14ac:dyDescent="0.2">
      <c r="A78" t="str">
        <f t="shared" si="3"/>
        <v>sample_miseq-16S-A-G05-L0_SICap-P1-G5-P1D2-TYG-C3R1-noBile-rep1-day2</v>
      </c>
      <c r="B78" s="1" t="s">
        <v>250</v>
      </c>
      <c r="C78" s="3" t="s">
        <v>826</v>
      </c>
      <c r="D78" s="3" t="s">
        <v>1327</v>
      </c>
      <c r="E78" t="s">
        <v>20</v>
      </c>
      <c r="F78" t="s">
        <v>21</v>
      </c>
      <c r="G78" t="s">
        <v>121</v>
      </c>
      <c r="H78" t="str">
        <f t="shared" si="4"/>
        <v>05</v>
      </c>
      <c r="I78" t="str">
        <f t="shared" si="5"/>
        <v>G</v>
      </c>
      <c r="J78" t="s">
        <v>23</v>
      </c>
      <c r="K78" t="s">
        <v>117</v>
      </c>
      <c r="L78" t="s">
        <v>25</v>
      </c>
      <c r="M78" t="s">
        <v>37</v>
      </c>
      <c r="N78">
        <v>1</v>
      </c>
      <c r="O78">
        <v>2</v>
      </c>
      <c r="P78" t="s">
        <v>27</v>
      </c>
      <c r="Q78" t="s">
        <v>28</v>
      </c>
      <c r="R78" t="s">
        <v>28</v>
      </c>
      <c r="S78" t="s">
        <v>28</v>
      </c>
      <c r="T78" t="s">
        <v>28</v>
      </c>
      <c r="U78" t="s">
        <v>28</v>
      </c>
      <c r="V78" t="s">
        <v>28</v>
      </c>
      <c r="W78">
        <v>0</v>
      </c>
      <c r="X78" t="s">
        <v>29</v>
      </c>
    </row>
    <row r="79" spans="1:24" x14ac:dyDescent="0.2">
      <c r="A79" t="str">
        <f t="shared" si="3"/>
        <v>sample_miseq-16S-A-G06-L0_SICap-P1-G6-P1D2-TYG-C3R2-noBile-rep1-day2</v>
      </c>
      <c r="B79" s="1" t="s">
        <v>251</v>
      </c>
      <c r="C79" s="3" t="s">
        <v>827</v>
      </c>
      <c r="D79" s="3" t="s">
        <v>1327</v>
      </c>
      <c r="E79" t="s">
        <v>20</v>
      </c>
      <c r="F79" t="s">
        <v>21</v>
      </c>
      <c r="G79" t="s">
        <v>122</v>
      </c>
      <c r="H79" t="str">
        <f t="shared" si="4"/>
        <v>06</v>
      </c>
      <c r="I79" t="str">
        <f t="shared" si="5"/>
        <v>G</v>
      </c>
      <c r="J79" t="s">
        <v>23</v>
      </c>
      <c r="K79" t="s">
        <v>117</v>
      </c>
      <c r="L79" t="s">
        <v>25</v>
      </c>
      <c r="M79" t="s">
        <v>39</v>
      </c>
      <c r="N79">
        <v>1</v>
      </c>
      <c r="O79">
        <v>2</v>
      </c>
      <c r="P79" t="s">
        <v>27</v>
      </c>
      <c r="Q79" t="s">
        <v>28</v>
      </c>
      <c r="R79" t="s">
        <v>28</v>
      </c>
      <c r="S79" t="s">
        <v>28</v>
      </c>
      <c r="T79" t="s">
        <v>28</v>
      </c>
      <c r="U79" t="s">
        <v>28</v>
      </c>
      <c r="V79" t="s">
        <v>28</v>
      </c>
      <c r="W79">
        <v>0</v>
      </c>
      <c r="X79" t="s">
        <v>29</v>
      </c>
    </row>
    <row r="80" spans="1:24" x14ac:dyDescent="0.2">
      <c r="A80" t="str">
        <f t="shared" si="3"/>
        <v>sample_miseq-16S-A-G07-L0_SICap-P1-G7-P1D2-TYG-C4R1-noBile-rep1-day2</v>
      </c>
      <c r="B80" s="1" t="s">
        <v>252</v>
      </c>
      <c r="C80" s="3" t="s">
        <v>828</v>
      </c>
      <c r="D80" s="3" t="s">
        <v>1327</v>
      </c>
      <c r="E80" t="s">
        <v>20</v>
      </c>
      <c r="F80" t="s">
        <v>21</v>
      </c>
      <c r="G80" t="s">
        <v>123</v>
      </c>
      <c r="H80" t="str">
        <f t="shared" si="4"/>
        <v>07</v>
      </c>
      <c r="I80" t="str">
        <f t="shared" si="5"/>
        <v>G</v>
      </c>
      <c r="J80" t="s">
        <v>23</v>
      </c>
      <c r="K80" t="s">
        <v>117</v>
      </c>
      <c r="L80" t="s">
        <v>25</v>
      </c>
      <c r="M80" t="s">
        <v>41</v>
      </c>
      <c r="N80">
        <v>1</v>
      </c>
      <c r="O80">
        <v>2</v>
      </c>
      <c r="P80" t="s">
        <v>27</v>
      </c>
      <c r="Q80" t="s">
        <v>28</v>
      </c>
      <c r="R80" t="s">
        <v>28</v>
      </c>
      <c r="S80" t="s">
        <v>28</v>
      </c>
      <c r="T80" t="s">
        <v>28</v>
      </c>
      <c r="U80" t="s">
        <v>28</v>
      </c>
      <c r="V80" t="s">
        <v>28</v>
      </c>
      <c r="W80">
        <v>0</v>
      </c>
      <c r="X80" t="s">
        <v>29</v>
      </c>
    </row>
    <row r="81" spans="1:24" x14ac:dyDescent="0.2">
      <c r="A81" t="str">
        <f t="shared" si="3"/>
        <v>sample_miseq-16S-A-G08-L0_SICap-P1-G8-P1D2-TYG-C4R2-noBile-rep1-day2</v>
      </c>
      <c r="B81" s="1" t="s">
        <v>253</v>
      </c>
      <c r="C81" s="3" t="s">
        <v>829</v>
      </c>
      <c r="D81" s="3" t="s">
        <v>1327</v>
      </c>
      <c r="E81" t="s">
        <v>20</v>
      </c>
      <c r="F81" t="s">
        <v>21</v>
      </c>
      <c r="G81" t="s">
        <v>124</v>
      </c>
      <c r="H81" t="str">
        <f t="shared" si="4"/>
        <v>08</v>
      </c>
      <c r="I81" t="str">
        <f t="shared" si="5"/>
        <v>G</v>
      </c>
      <c r="J81" t="s">
        <v>23</v>
      </c>
      <c r="K81" t="s">
        <v>117</v>
      </c>
      <c r="L81" t="s">
        <v>25</v>
      </c>
      <c r="M81" t="s">
        <v>43</v>
      </c>
      <c r="N81">
        <v>1</v>
      </c>
      <c r="O81">
        <v>2</v>
      </c>
      <c r="P81" t="s">
        <v>27</v>
      </c>
      <c r="Q81" t="s">
        <v>28</v>
      </c>
      <c r="R81" t="s">
        <v>28</v>
      </c>
      <c r="S81" t="s">
        <v>28</v>
      </c>
      <c r="T81" t="s">
        <v>28</v>
      </c>
      <c r="U81" t="s">
        <v>28</v>
      </c>
      <c r="V81" t="s">
        <v>28</v>
      </c>
      <c r="W81">
        <v>0</v>
      </c>
      <c r="X81" t="s">
        <v>29</v>
      </c>
    </row>
    <row r="82" spans="1:24" x14ac:dyDescent="0.2">
      <c r="A82" t="str">
        <f t="shared" si="3"/>
        <v>sample_miseq-16S-A-G09-L0_SICap-P1-G9-P1D2-TYG-S1R2-noBile-rep1-day2</v>
      </c>
      <c r="B82" s="1" t="s">
        <v>254</v>
      </c>
      <c r="C82" s="3" t="s">
        <v>830</v>
      </c>
      <c r="D82" s="3" t="s">
        <v>1327</v>
      </c>
      <c r="E82" t="s">
        <v>20</v>
      </c>
      <c r="F82" t="s">
        <v>21</v>
      </c>
      <c r="G82" t="s">
        <v>125</v>
      </c>
      <c r="H82" t="str">
        <f t="shared" si="4"/>
        <v>09</v>
      </c>
      <c r="I82" t="str">
        <f t="shared" si="5"/>
        <v>G</v>
      </c>
      <c r="J82" t="s">
        <v>23</v>
      </c>
      <c r="K82" t="s">
        <v>117</v>
      </c>
      <c r="L82" t="s">
        <v>25</v>
      </c>
      <c r="M82" t="s">
        <v>45</v>
      </c>
      <c r="N82">
        <v>1</v>
      </c>
      <c r="O82">
        <v>2</v>
      </c>
      <c r="P82" t="s">
        <v>27</v>
      </c>
      <c r="Q82" t="s">
        <v>28</v>
      </c>
      <c r="R82" t="s">
        <v>28</v>
      </c>
      <c r="S82" t="s">
        <v>28</v>
      </c>
      <c r="T82" t="s">
        <v>28</v>
      </c>
      <c r="U82" t="s">
        <v>28</v>
      </c>
      <c r="V82" t="s">
        <v>28</v>
      </c>
      <c r="W82">
        <v>0</v>
      </c>
      <c r="X82" t="s">
        <v>29</v>
      </c>
    </row>
    <row r="83" spans="1:24" x14ac:dyDescent="0.2">
      <c r="A83" t="str">
        <f t="shared" si="3"/>
        <v>sample_miseq-16S-A-G10-L0_SICap-P1-G10-P1D2-TYG-StoolPool-noBile-rep1-day2</v>
      </c>
      <c r="B83" s="1" t="s">
        <v>255</v>
      </c>
      <c r="C83" s="3" t="s">
        <v>831</v>
      </c>
      <c r="D83" s="3" t="s">
        <v>1327</v>
      </c>
      <c r="E83" t="s">
        <v>20</v>
      </c>
      <c r="F83" t="s">
        <v>21</v>
      </c>
      <c r="G83" t="s">
        <v>126</v>
      </c>
      <c r="H83" t="str">
        <f t="shared" si="4"/>
        <v>10</v>
      </c>
      <c r="I83" t="str">
        <f t="shared" si="5"/>
        <v>G</v>
      </c>
      <c r="J83" t="s">
        <v>23</v>
      </c>
      <c r="K83" t="s">
        <v>117</v>
      </c>
      <c r="L83" t="s">
        <v>25</v>
      </c>
      <c r="M83" t="s">
        <v>47</v>
      </c>
      <c r="N83">
        <v>1</v>
      </c>
      <c r="O83">
        <v>2</v>
      </c>
      <c r="P83" t="s">
        <v>27</v>
      </c>
      <c r="Q83" t="s">
        <v>28</v>
      </c>
      <c r="R83" t="s">
        <v>28</v>
      </c>
      <c r="S83" t="s">
        <v>28</v>
      </c>
      <c r="T83" t="s">
        <v>28</v>
      </c>
      <c r="U83" t="s">
        <v>28</v>
      </c>
      <c r="V83" t="s">
        <v>28</v>
      </c>
      <c r="W83">
        <v>0</v>
      </c>
      <c r="X83" t="s">
        <v>29</v>
      </c>
    </row>
    <row r="84" spans="1:24" x14ac:dyDescent="0.2">
      <c r="A84" t="str">
        <f t="shared" si="3"/>
        <v>sample_miseq-16S-A-G11-L0_SICap-P1-G11-P1D2-TYG-SIPool-noBile-rep1-day2</v>
      </c>
      <c r="B84" s="1" t="s">
        <v>256</v>
      </c>
      <c r="C84" s="3" t="s">
        <v>832</v>
      </c>
      <c r="D84" s="3" t="s">
        <v>1327</v>
      </c>
      <c r="E84" t="s">
        <v>20</v>
      </c>
      <c r="F84" t="s">
        <v>21</v>
      </c>
      <c r="G84" t="s">
        <v>127</v>
      </c>
      <c r="H84" t="str">
        <f t="shared" si="4"/>
        <v>11</v>
      </c>
      <c r="I84" t="str">
        <f t="shared" si="5"/>
        <v>G</v>
      </c>
      <c r="J84" t="s">
        <v>23</v>
      </c>
      <c r="K84" t="s">
        <v>117</v>
      </c>
      <c r="L84" t="s">
        <v>25</v>
      </c>
      <c r="M84" t="s">
        <v>49</v>
      </c>
      <c r="N84">
        <v>1</v>
      </c>
      <c r="O84">
        <v>2</v>
      </c>
      <c r="P84" t="s">
        <v>27</v>
      </c>
      <c r="Q84" t="s">
        <v>28</v>
      </c>
      <c r="R84" t="s">
        <v>28</v>
      </c>
      <c r="S84" t="s">
        <v>28</v>
      </c>
      <c r="T84" t="s">
        <v>28</v>
      </c>
      <c r="U84" t="s">
        <v>28</v>
      </c>
      <c r="V84" t="s">
        <v>28</v>
      </c>
      <c r="W84">
        <v>0</v>
      </c>
      <c r="X84" t="s">
        <v>29</v>
      </c>
    </row>
    <row r="85" spans="1:24" x14ac:dyDescent="0.2">
      <c r="A85" t="str">
        <f t="shared" si="3"/>
        <v>sample_miseq-16S-A-G12-L0_SICap-P1-G12-P1D2-TYG-Media-noBile-rep1-day2</v>
      </c>
      <c r="B85" s="1" t="s">
        <v>257</v>
      </c>
      <c r="C85" s="3" t="s">
        <v>833</v>
      </c>
      <c r="D85" s="3" t="s">
        <v>1327</v>
      </c>
      <c r="E85" t="s">
        <v>20</v>
      </c>
      <c r="F85" t="s">
        <v>21</v>
      </c>
      <c r="G85" t="s">
        <v>128</v>
      </c>
      <c r="H85" t="str">
        <f t="shared" si="4"/>
        <v>12</v>
      </c>
      <c r="I85" t="str">
        <f t="shared" si="5"/>
        <v>G</v>
      </c>
      <c r="J85" t="s">
        <v>23</v>
      </c>
      <c r="K85" t="s">
        <v>117</v>
      </c>
      <c r="L85" t="s">
        <v>25</v>
      </c>
      <c r="M85" t="s">
        <v>6</v>
      </c>
      <c r="N85">
        <v>1</v>
      </c>
      <c r="O85">
        <v>2</v>
      </c>
      <c r="P85" t="s">
        <v>27</v>
      </c>
      <c r="Q85" t="s">
        <v>28</v>
      </c>
      <c r="R85" t="s">
        <v>28</v>
      </c>
      <c r="S85" t="s">
        <v>28</v>
      </c>
      <c r="T85" t="s">
        <v>28</v>
      </c>
      <c r="U85" t="s">
        <v>28</v>
      </c>
      <c r="V85" t="s">
        <v>28</v>
      </c>
      <c r="W85">
        <v>0</v>
      </c>
      <c r="X85" t="s">
        <v>29</v>
      </c>
    </row>
    <row r="86" spans="1:24" x14ac:dyDescent="0.2">
      <c r="A86" t="str">
        <f t="shared" si="3"/>
        <v>sample_miseq-16S-A-H01-L0_SICap-P1-H1-P1D2-RCM-C1R1-noBile-rep1-day2</v>
      </c>
      <c r="B86" s="1" t="s">
        <v>258</v>
      </c>
      <c r="C86" s="3" t="s">
        <v>834</v>
      </c>
      <c r="D86" s="3" t="s">
        <v>1327</v>
      </c>
      <c r="E86" t="s">
        <v>20</v>
      </c>
      <c r="F86" t="s">
        <v>21</v>
      </c>
      <c r="G86" t="s">
        <v>129</v>
      </c>
      <c r="H86" t="str">
        <f t="shared" si="4"/>
        <v>01</v>
      </c>
      <c r="I86" t="str">
        <f t="shared" si="5"/>
        <v>H</v>
      </c>
      <c r="J86" t="s">
        <v>23</v>
      </c>
      <c r="K86" t="s">
        <v>130</v>
      </c>
      <c r="L86" t="s">
        <v>25</v>
      </c>
      <c r="M86" t="s">
        <v>26</v>
      </c>
      <c r="N86">
        <v>1</v>
      </c>
      <c r="O86">
        <v>2</v>
      </c>
      <c r="P86" t="s">
        <v>27</v>
      </c>
      <c r="Q86" t="s">
        <v>28</v>
      </c>
      <c r="R86" t="s">
        <v>28</v>
      </c>
      <c r="S86" t="s">
        <v>28</v>
      </c>
      <c r="T86" t="s">
        <v>28</v>
      </c>
      <c r="U86" t="s">
        <v>28</v>
      </c>
      <c r="V86" t="s">
        <v>28</v>
      </c>
      <c r="W86">
        <v>0</v>
      </c>
      <c r="X86" t="s">
        <v>29</v>
      </c>
    </row>
    <row r="87" spans="1:24" x14ac:dyDescent="0.2">
      <c r="A87" t="str">
        <f t="shared" si="3"/>
        <v>sample_miseq-16S-A-H02-L0_SICap-P1-H2-P1D2-RCM-C1R2-noBile-rep1-day2</v>
      </c>
      <c r="B87" s="1" t="s">
        <v>259</v>
      </c>
      <c r="C87" s="3" t="s">
        <v>835</v>
      </c>
      <c r="D87" s="3" t="s">
        <v>1327</v>
      </c>
      <c r="E87" t="s">
        <v>20</v>
      </c>
      <c r="F87" t="s">
        <v>21</v>
      </c>
      <c r="G87" t="s">
        <v>131</v>
      </c>
      <c r="H87" t="str">
        <f t="shared" si="4"/>
        <v>02</v>
      </c>
      <c r="I87" t="str">
        <f t="shared" si="5"/>
        <v>H</v>
      </c>
      <c r="J87" t="s">
        <v>23</v>
      </c>
      <c r="K87" t="s">
        <v>130</v>
      </c>
      <c r="L87" t="s">
        <v>25</v>
      </c>
      <c r="M87" t="s">
        <v>31</v>
      </c>
      <c r="N87">
        <v>1</v>
      </c>
      <c r="O87">
        <v>2</v>
      </c>
      <c r="P87" t="s">
        <v>27</v>
      </c>
      <c r="Q87" t="s">
        <v>28</v>
      </c>
      <c r="R87" t="s">
        <v>28</v>
      </c>
      <c r="S87" t="s">
        <v>28</v>
      </c>
      <c r="T87" t="s">
        <v>28</v>
      </c>
      <c r="U87" t="s">
        <v>28</v>
      </c>
      <c r="V87" t="s">
        <v>28</v>
      </c>
      <c r="W87">
        <v>0</v>
      </c>
      <c r="X87" t="s">
        <v>29</v>
      </c>
    </row>
    <row r="88" spans="1:24" x14ac:dyDescent="0.2">
      <c r="A88" t="str">
        <f t="shared" si="3"/>
        <v>sample_miseq-16S-A-H03-L0_SICap-P1-H3-P1D2-RCM-C2R1-noBile-rep1-day2</v>
      </c>
      <c r="B88" s="1" t="s">
        <v>260</v>
      </c>
      <c r="C88" s="3" t="s">
        <v>836</v>
      </c>
      <c r="D88" s="3" t="s">
        <v>1327</v>
      </c>
      <c r="E88" t="s">
        <v>20</v>
      </c>
      <c r="F88" t="s">
        <v>21</v>
      </c>
      <c r="G88" t="s">
        <v>132</v>
      </c>
      <c r="H88" t="str">
        <f t="shared" si="4"/>
        <v>03</v>
      </c>
      <c r="I88" t="str">
        <f t="shared" si="5"/>
        <v>H</v>
      </c>
      <c r="J88" t="s">
        <v>23</v>
      </c>
      <c r="K88" t="s">
        <v>130</v>
      </c>
      <c r="L88" t="s">
        <v>25</v>
      </c>
      <c r="M88" t="s">
        <v>33</v>
      </c>
      <c r="N88">
        <v>1</v>
      </c>
      <c r="O88">
        <v>2</v>
      </c>
      <c r="P88" t="s">
        <v>27</v>
      </c>
      <c r="Q88" t="s">
        <v>28</v>
      </c>
      <c r="R88" t="s">
        <v>28</v>
      </c>
      <c r="S88" t="s">
        <v>28</v>
      </c>
      <c r="T88" t="s">
        <v>28</v>
      </c>
      <c r="U88" t="s">
        <v>28</v>
      </c>
      <c r="V88" t="s">
        <v>28</v>
      </c>
      <c r="W88">
        <v>0</v>
      </c>
      <c r="X88" t="s">
        <v>29</v>
      </c>
    </row>
    <row r="89" spans="1:24" x14ac:dyDescent="0.2">
      <c r="A89" t="str">
        <f t="shared" si="3"/>
        <v>sample_miseq-16S-A-H04-L0_SICap-P1-H4-P1D2-RCM-C2R2-noBile-rep1-day2</v>
      </c>
      <c r="B89" s="1" t="s">
        <v>261</v>
      </c>
      <c r="C89" s="3" t="s">
        <v>837</v>
      </c>
      <c r="D89" s="3" t="s">
        <v>1327</v>
      </c>
      <c r="E89" t="s">
        <v>20</v>
      </c>
      <c r="F89" t="s">
        <v>21</v>
      </c>
      <c r="G89" t="s">
        <v>133</v>
      </c>
      <c r="H89" t="str">
        <f t="shared" si="4"/>
        <v>04</v>
      </c>
      <c r="I89" t="str">
        <f t="shared" si="5"/>
        <v>H</v>
      </c>
      <c r="J89" t="s">
        <v>23</v>
      </c>
      <c r="K89" t="s">
        <v>130</v>
      </c>
      <c r="L89" t="s">
        <v>25</v>
      </c>
      <c r="M89" t="s">
        <v>35</v>
      </c>
      <c r="N89">
        <v>1</v>
      </c>
      <c r="O89">
        <v>2</v>
      </c>
      <c r="P89" t="s">
        <v>27</v>
      </c>
      <c r="Q89" t="s">
        <v>28</v>
      </c>
      <c r="R89" t="s">
        <v>28</v>
      </c>
      <c r="S89" t="s">
        <v>28</v>
      </c>
      <c r="T89" t="s">
        <v>28</v>
      </c>
      <c r="U89" t="s">
        <v>28</v>
      </c>
      <c r="V89" t="s">
        <v>28</v>
      </c>
      <c r="W89">
        <v>0</v>
      </c>
      <c r="X89" t="s">
        <v>29</v>
      </c>
    </row>
    <row r="90" spans="1:24" x14ac:dyDescent="0.2">
      <c r="A90" t="str">
        <f t="shared" si="3"/>
        <v>sample_miseq-16S-A-H05-L0_SICap-P1-H5-P1D2-RCM-C3R1-noBile-rep1-day2</v>
      </c>
      <c r="B90" s="1" t="s">
        <v>262</v>
      </c>
      <c r="C90" s="3" t="s">
        <v>838</v>
      </c>
      <c r="D90" s="3" t="s">
        <v>1327</v>
      </c>
      <c r="E90" t="s">
        <v>20</v>
      </c>
      <c r="F90" t="s">
        <v>21</v>
      </c>
      <c r="G90" t="s">
        <v>134</v>
      </c>
      <c r="H90" t="str">
        <f t="shared" si="4"/>
        <v>05</v>
      </c>
      <c r="I90" t="str">
        <f t="shared" si="5"/>
        <v>H</v>
      </c>
      <c r="J90" t="s">
        <v>23</v>
      </c>
      <c r="K90" t="s">
        <v>130</v>
      </c>
      <c r="L90" t="s">
        <v>25</v>
      </c>
      <c r="M90" t="s">
        <v>37</v>
      </c>
      <c r="N90">
        <v>1</v>
      </c>
      <c r="O90">
        <v>2</v>
      </c>
      <c r="P90" t="s">
        <v>27</v>
      </c>
      <c r="Q90" t="s">
        <v>28</v>
      </c>
      <c r="R90" t="s">
        <v>28</v>
      </c>
      <c r="S90" t="s">
        <v>28</v>
      </c>
      <c r="T90" t="s">
        <v>28</v>
      </c>
      <c r="U90" t="s">
        <v>28</v>
      </c>
      <c r="V90" t="s">
        <v>28</v>
      </c>
      <c r="W90">
        <v>0</v>
      </c>
      <c r="X90" t="s">
        <v>29</v>
      </c>
    </row>
    <row r="91" spans="1:24" x14ac:dyDescent="0.2">
      <c r="A91" t="str">
        <f t="shared" si="3"/>
        <v>sample_miseq-16S-A-H06-L0_SICap-P1-H6-P1D2-RCM-C3R2-noBile-rep1-day2</v>
      </c>
      <c r="B91" s="1" t="s">
        <v>263</v>
      </c>
      <c r="C91" s="3" t="s">
        <v>839</v>
      </c>
      <c r="D91" s="3" t="s">
        <v>1327</v>
      </c>
      <c r="E91" t="s">
        <v>20</v>
      </c>
      <c r="F91" t="s">
        <v>21</v>
      </c>
      <c r="G91" t="s">
        <v>135</v>
      </c>
      <c r="H91" t="str">
        <f t="shared" si="4"/>
        <v>06</v>
      </c>
      <c r="I91" t="str">
        <f t="shared" si="5"/>
        <v>H</v>
      </c>
      <c r="J91" t="s">
        <v>23</v>
      </c>
      <c r="K91" t="s">
        <v>130</v>
      </c>
      <c r="L91" t="s">
        <v>25</v>
      </c>
      <c r="M91" t="s">
        <v>39</v>
      </c>
      <c r="N91">
        <v>1</v>
      </c>
      <c r="O91">
        <v>2</v>
      </c>
      <c r="P91" t="s">
        <v>27</v>
      </c>
      <c r="Q91" t="s">
        <v>28</v>
      </c>
      <c r="R91" t="s">
        <v>28</v>
      </c>
      <c r="S91" t="s">
        <v>28</v>
      </c>
      <c r="T91" t="s">
        <v>28</v>
      </c>
      <c r="U91" t="s">
        <v>28</v>
      </c>
      <c r="V91" t="s">
        <v>28</v>
      </c>
      <c r="W91">
        <v>0</v>
      </c>
      <c r="X91" t="s">
        <v>29</v>
      </c>
    </row>
    <row r="92" spans="1:24" x14ac:dyDescent="0.2">
      <c r="A92" t="str">
        <f t="shared" si="3"/>
        <v>sample_miseq-16S-A-H07-L0_SICap-P1-H7-P1D2-RCM-C4R1-noBile-rep1-day2</v>
      </c>
      <c r="B92" s="1" t="s">
        <v>264</v>
      </c>
      <c r="C92" s="3" t="s">
        <v>840</v>
      </c>
      <c r="D92" s="3" t="s">
        <v>1327</v>
      </c>
      <c r="E92" t="s">
        <v>20</v>
      </c>
      <c r="F92" t="s">
        <v>21</v>
      </c>
      <c r="G92" t="s">
        <v>136</v>
      </c>
      <c r="H92" t="str">
        <f t="shared" si="4"/>
        <v>07</v>
      </c>
      <c r="I92" t="str">
        <f t="shared" si="5"/>
        <v>H</v>
      </c>
      <c r="J92" t="s">
        <v>23</v>
      </c>
      <c r="K92" t="s">
        <v>130</v>
      </c>
      <c r="L92" t="s">
        <v>25</v>
      </c>
      <c r="M92" t="s">
        <v>41</v>
      </c>
      <c r="N92">
        <v>1</v>
      </c>
      <c r="O92">
        <v>2</v>
      </c>
      <c r="P92" t="s">
        <v>27</v>
      </c>
      <c r="Q92" t="s">
        <v>28</v>
      </c>
      <c r="R92" t="s">
        <v>28</v>
      </c>
      <c r="S92" t="s">
        <v>28</v>
      </c>
      <c r="T92" t="s">
        <v>28</v>
      </c>
      <c r="U92" t="s">
        <v>28</v>
      </c>
      <c r="V92" t="s">
        <v>28</v>
      </c>
      <c r="W92">
        <v>0</v>
      </c>
      <c r="X92" t="s">
        <v>29</v>
      </c>
    </row>
    <row r="93" spans="1:24" x14ac:dyDescent="0.2">
      <c r="A93" t="str">
        <f t="shared" si="3"/>
        <v>sample_miseq-16S-A-H08-L0_SICap-P1-H8-P1D2-RCM-C4R2-noBile-rep1-day2</v>
      </c>
      <c r="B93" s="1" t="s">
        <v>265</v>
      </c>
      <c r="C93" s="3" t="s">
        <v>841</v>
      </c>
      <c r="D93" s="3" t="s">
        <v>1327</v>
      </c>
      <c r="E93" t="s">
        <v>20</v>
      </c>
      <c r="F93" t="s">
        <v>21</v>
      </c>
      <c r="G93" t="s">
        <v>137</v>
      </c>
      <c r="H93" t="str">
        <f t="shared" si="4"/>
        <v>08</v>
      </c>
      <c r="I93" t="str">
        <f t="shared" si="5"/>
        <v>H</v>
      </c>
      <c r="J93" t="s">
        <v>23</v>
      </c>
      <c r="K93" t="s">
        <v>130</v>
      </c>
      <c r="L93" t="s">
        <v>25</v>
      </c>
      <c r="M93" t="s">
        <v>43</v>
      </c>
      <c r="N93">
        <v>1</v>
      </c>
      <c r="O93">
        <v>2</v>
      </c>
      <c r="P93" t="s">
        <v>27</v>
      </c>
      <c r="Q93" t="s">
        <v>28</v>
      </c>
      <c r="R93" t="s">
        <v>28</v>
      </c>
      <c r="S93" t="s">
        <v>28</v>
      </c>
      <c r="T93" t="s">
        <v>28</v>
      </c>
      <c r="U93" t="s">
        <v>28</v>
      </c>
      <c r="V93" t="s">
        <v>28</v>
      </c>
      <c r="W93">
        <v>0</v>
      </c>
      <c r="X93" t="s">
        <v>29</v>
      </c>
    </row>
    <row r="94" spans="1:24" x14ac:dyDescent="0.2">
      <c r="A94" t="str">
        <f t="shared" si="3"/>
        <v>sample_miseq-16S-A-H09-L0_SICap-P1-H9-P1D2-RCM-S1R2-noBile-rep1-day2</v>
      </c>
      <c r="B94" s="1" t="s">
        <v>266</v>
      </c>
      <c r="C94" s="3" t="s">
        <v>842</v>
      </c>
      <c r="D94" s="3" t="s">
        <v>1327</v>
      </c>
      <c r="E94" t="s">
        <v>20</v>
      </c>
      <c r="F94" t="s">
        <v>21</v>
      </c>
      <c r="G94" t="s">
        <v>138</v>
      </c>
      <c r="H94" t="str">
        <f t="shared" si="4"/>
        <v>09</v>
      </c>
      <c r="I94" t="str">
        <f t="shared" si="5"/>
        <v>H</v>
      </c>
      <c r="J94" t="s">
        <v>23</v>
      </c>
      <c r="K94" t="s">
        <v>130</v>
      </c>
      <c r="L94" t="s">
        <v>25</v>
      </c>
      <c r="M94" t="s">
        <v>45</v>
      </c>
      <c r="N94">
        <v>1</v>
      </c>
      <c r="O94">
        <v>2</v>
      </c>
      <c r="P94" t="s">
        <v>27</v>
      </c>
      <c r="Q94" t="s">
        <v>28</v>
      </c>
      <c r="R94" t="s">
        <v>28</v>
      </c>
      <c r="S94" t="s">
        <v>28</v>
      </c>
      <c r="T94" t="s">
        <v>28</v>
      </c>
      <c r="U94" t="s">
        <v>28</v>
      </c>
      <c r="V94" t="s">
        <v>28</v>
      </c>
      <c r="W94">
        <v>0</v>
      </c>
      <c r="X94" t="s">
        <v>29</v>
      </c>
    </row>
    <row r="95" spans="1:24" x14ac:dyDescent="0.2">
      <c r="A95" t="str">
        <f t="shared" si="3"/>
        <v>sample_miseq-16S-A-H10-L0_SICap-P1-H10-P1D2-RCM-StoolPool-noBile-rep1-day2</v>
      </c>
      <c r="B95" s="1" t="s">
        <v>267</v>
      </c>
      <c r="C95" s="3" t="s">
        <v>843</v>
      </c>
      <c r="D95" s="3" t="s">
        <v>1327</v>
      </c>
      <c r="E95" t="s">
        <v>20</v>
      </c>
      <c r="F95" t="s">
        <v>21</v>
      </c>
      <c r="G95" t="s">
        <v>139</v>
      </c>
      <c r="H95" t="str">
        <f t="shared" si="4"/>
        <v>10</v>
      </c>
      <c r="I95" t="str">
        <f t="shared" si="5"/>
        <v>H</v>
      </c>
      <c r="J95" t="s">
        <v>23</v>
      </c>
      <c r="K95" t="s">
        <v>130</v>
      </c>
      <c r="L95" t="s">
        <v>25</v>
      </c>
      <c r="M95" t="s">
        <v>47</v>
      </c>
      <c r="N95">
        <v>1</v>
      </c>
      <c r="O95">
        <v>2</v>
      </c>
      <c r="P95" t="s">
        <v>27</v>
      </c>
      <c r="Q95" t="s">
        <v>28</v>
      </c>
      <c r="R95" t="s">
        <v>28</v>
      </c>
      <c r="S95" t="s">
        <v>28</v>
      </c>
      <c r="T95" t="s">
        <v>28</v>
      </c>
      <c r="U95" t="s">
        <v>28</v>
      </c>
      <c r="V95" t="s">
        <v>28</v>
      </c>
      <c r="W95">
        <v>0</v>
      </c>
      <c r="X95" t="s">
        <v>29</v>
      </c>
    </row>
    <row r="96" spans="1:24" x14ac:dyDescent="0.2">
      <c r="A96" t="str">
        <f t="shared" si="3"/>
        <v>sample_miseq-16S-A-H11-L0_SICap-P1-H11-P1D2-RCM-SIPool-noBile-rep1-day2</v>
      </c>
      <c r="B96" s="1" t="s">
        <v>268</v>
      </c>
      <c r="C96" s="3" t="s">
        <v>844</v>
      </c>
      <c r="D96" s="3" t="s">
        <v>1327</v>
      </c>
      <c r="E96" t="s">
        <v>20</v>
      </c>
      <c r="F96" t="s">
        <v>21</v>
      </c>
      <c r="G96" t="s">
        <v>140</v>
      </c>
      <c r="H96" t="str">
        <f t="shared" si="4"/>
        <v>11</v>
      </c>
      <c r="I96" t="str">
        <f t="shared" si="5"/>
        <v>H</v>
      </c>
      <c r="J96" t="s">
        <v>23</v>
      </c>
      <c r="K96" t="s">
        <v>130</v>
      </c>
      <c r="L96" t="s">
        <v>25</v>
      </c>
      <c r="M96" t="s">
        <v>49</v>
      </c>
      <c r="N96">
        <v>1</v>
      </c>
      <c r="O96">
        <v>2</v>
      </c>
      <c r="P96" t="s">
        <v>27</v>
      </c>
      <c r="Q96" t="s">
        <v>28</v>
      </c>
      <c r="R96" t="s">
        <v>28</v>
      </c>
      <c r="S96" t="s">
        <v>28</v>
      </c>
      <c r="T96" t="s">
        <v>28</v>
      </c>
      <c r="U96" t="s">
        <v>28</v>
      </c>
      <c r="V96" t="s">
        <v>28</v>
      </c>
      <c r="W96">
        <v>0</v>
      </c>
      <c r="X96" t="s">
        <v>29</v>
      </c>
    </row>
    <row r="97" spans="1:24" x14ac:dyDescent="0.2">
      <c r="A97" t="str">
        <f t="shared" si="3"/>
        <v>sample_miseq-16S-A-H12-L0_SICap-P1-H12-P1D2-RCM-Media-noBile-rep1-day2</v>
      </c>
      <c r="B97" s="1" t="s">
        <v>269</v>
      </c>
      <c r="C97" s="3" t="s">
        <v>845</v>
      </c>
      <c r="D97" s="3" t="s">
        <v>1327</v>
      </c>
      <c r="E97" t="s">
        <v>20</v>
      </c>
      <c r="F97" t="s">
        <v>21</v>
      </c>
      <c r="G97" t="s">
        <v>141</v>
      </c>
      <c r="H97" t="str">
        <f t="shared" si="4"/>
        <v>12</v>
      </c>
      <c r="I97" t="str">
        <f t="shared" si="5"/>
        <v>H</v>
      </c>
      <c r="J97" t="s">
        <v>23</v>
      </c>
      <c r="K97" t="s">
        <v>130</v>
      </c>
      <c r="L97" t="s">
        <v>25</v>
      </c>
      <c r="M97" t="s">
        <v>6</v>
      </c>
      <c r="N97">
        <v>1</v>
      </c>
      <c r="O97">
        <v>2</v>
      </c>
      <c r="P97" t="s">
        <v>27</v>
      </c>
      <c r="Q97" t="s">
        <v>28</v>
      </c>
      <c r="R97" t="s">
        <v>28</v>
      </c>
      <c r="S97" t="s">
        <v>28</v>
      </c>
      <c r="T97" t="s">
        <v>28</v>
      </c>
      <c r="U97" t="s">
        <v>28</v>
      </c>
      <c r="V97" t="s">
        <v>28</v>
      </c>
      <c r="W97">
        <v>0</v>
      </c>
      <c r="X97" t="s">
        <v>29</v>
      </c>
    </row>
    <row r="98" spans="1:24" x14ac:dyDescent="0.2">
      <c r="A98" t="str">
        <f t="shared" si="3"/>
        <v>sample_miseq-16S-B-A01-L4_SICap-P5-A1-P5D2-M9-C1R1-yesBile-rep2-day2</v>
      </c>
      <c r="B98" s="1" t="s">
        <v>270</v>
      </c>
      <c r="C98" s="3" t="s">
        <v>846</v>
      </c>
      <c r="D98" s="3" t="s">
        <v>1327</v>
      </c>
      <c r="E98" t="s">
        <v>20</v>
      </c>
      <c r="F98" t="s">
        <v>143</v>
      </c>
      <c r="G98" t="s">
        <v>22</v>
      </c>
      <c r="H98" t="str">
        <f t="shared" si="4"/>
        <v>01</v>
      </c>
      <c r="I98" t="str">
        <f t="shared" si="5"/>
        <v>A</v>
      </c>
      <c r="J98" t="s">
        <v>144</v>
      </c>
      <c r="K98" t="s">
        <v>24</v>
      </c>
      <c r="L98" t="s">
        <v>142</v>
      </c>
      <c r="M98" t="s">
        <v>26</v>
      </c>
      <c r="N98">
        <v>2</v>
      </c>
      <c r="O98">
        <v>2</v>
      </c>
      <c r="P98" t="s">
        <v>145</v>
      </c>
      <c r="Q98" t="s">
        <v>28</v>
      </c>
      <c r="R98" t="s">
        <v>28</v>
      </c>
      <c r="S98" t="s">
        <v>28</v>
      </c>
      <c r="T98" t="s">
        <v>28</v>
      </c>
      <c r="U98" t="s">
        <v>28</v>
      </c>
      <c r="V98" t="s">
        <v>28</v>
      </c>
      <c r="W98">
        <v>4</v>
      </c>
      <c r="X98" t="s">
        <v>146</v>
      </c>
    </row>
    <row r="99" spans="1:24" x14ac:dyDescent="0.2">
      <c r="A99" t="str">
        <f t="shared" si="3"/>
        <v>sample_miseq-16S-B-A02-L4_SICap-P5-A2-P5D2-M9-C1R2-yesBile-rep2-day2</v>
      </c>
      <c r="B99" s="1" t="s">
        <v>271</v>
      </c>
      <c r="C99" s="3" t="s">
        <v>847</v>
      </c>
      <c r="D99" s="3" t="s">
        <v>1327</v>
      </c>
      <c r="E99" t="s">
        <v>20</v>
      </c>
      <c r="F99" t="s">
        <v>143</v>
      </c>
      <c r="G99" t="s">
        <v>30</v>
      </c>
      <c r="H99" t="str">
        <f t="shared" si="4"/>
        <v>02</v>
      </c>
      <c r="I99" t="str">
        <f t="shared" si="5"/>
        <v>A</v>
      </c>
      <c r="J99" t="s">
        <v>144</v>
      </c>
      <c r="K99" t="s">
        <v>24</v>
      </c>
      <c r="L99" t="s">
        <v>142</v>
      </c>
      <c r="M99" t="s">
        <v>31</v>
      </c>
      <c r="N99">
        <v>2</v>
      </c>
      <c r="O99">
        <v>2</v>
      </c>
      <c r="P99" t="s">
        <v>145</v>
      </c>
      <c r="Q99" t="s">
        <v>28</v>
      </c>
      <c r="R99" t="s">
        <v>28</v>
      </c>
      <c r="S99" t="s">
        <v>28</v>
      </c>
      <c r="T99" t="s">
        <v>28</v>
      </c>
      <c r="U99" t="s">
        <v>28</v>
      </c>
      <c r="V99" t="s">
        <v>28</v>
      </c>
      <c r="W99">
        <v>4</v>
      </c>
      <c r="X99" t="s">
        <v>146</v>
      </c>
    </row>
    <row r="100" spans="1:24" x14ac:dyDescent="0.2">
      <c r="A100" t="str">
        <f t="shared" si="3"/>
        <v>sample_miseq-16S-B-A03-L4_SICap-P5-A3-P5D2-M9-C2R1-yesBile-rep2-day2</v>
      </c>
      <c r="B100" s="1" t="s">
        <v>272</v>
      </c>
      <c r="C100" s="3" t="s">
        <v>848</v>
      </c>
      <c r="D100" s="3" t="s">
        <v>1327</v>
      </c>
      <c r="E100" t="s">
        <v>20</v>
      </c>
      <c r="F100" t="s">
        <v>143</v>
      </c>
      <c r="G100" t="s">
        <v>32</v>
      </c>
      <c r="H100" t="str">
        <f t="shared" si="4"/>
        <v>03</v>
      </c>
      <c r="I100" t="str">
        <f t="shared" si="5"/>
        <v>A</v>
      </c>
      <c r="J100" t="s">
        <v>144</v>
      </c>
      <c r="K100" t="s">
        <v>24</v>
      </c>
      <c r="L100" t="s">
        <v>142</v>
      </c>
      <c r="M100" t="s">
        <v>33</v>
      </c>
      <c r="N100">
        <v>2</v>
      </c>
      <c r="O100">
        <v>2</v>
      </c>
      <c r="P100" t="s">
        <v>145</v>
      </c>
      <c r="Q100" t="s">
        <v>28</v>
      </c>
      <c r="R100" t="s">
        <v>28</v>
      </c>
      <c r="S100" t="s">
        <v>28</v>
      </c>
      <c r="T100" t="s">
        <v>28</v>
      </c>
      <c r="U100" t="s">
        <v>28</v>
      </c>
      <c r="V100" t="s">
        <v>28</v>
      </c>
      <c r="W100">
        <v>4</v>
      </c>
      <c r="X100" t="s">
        <v>146</v>
      </c>
    </row>
    <row r="101" spans="1:24" x14ac:dyDescent="0.2">
      <c r="A101" t="str">
        <f t="shared" si="3"/>
        <v>sample_miseq-16S-B-A04-L4_SICap-P5-A4-P5D2-M9-C2R2-yesBile-rep2-day2</v>
      </c>
      <c r="B101" s="1" t="s">
        <v>273</v>
      </c>
      <c r="C101" s="3" t="s">
        <v>849</v>
      </c>
      <c r="D101" s="3" t="s">
        <v>1327</v>
      </c>
      <c r="E101" t="s">
        <v>20</v>
      </c>
      <c r="F101" t="s">
        <v>143</v>
      </c>
      <c r="G101" t="s">
        <v>34</v>
      </c>
      <c r="H101" t="str">
        <f t="shared" si="4"/>
        <v>04</v>
      </c>
      <c r="I101" t="str">
        <f t="shared" si="5"/>
        <v>A</v>
      </c>
      <c r="J101" t="s">
        <v>144</v>
      </c>
      <c r="K101" t="s">
        <v>24</v>
      </c>
      <c r="L101" t="s">
        <v>142</v>
      </c>
      <c r="M101" t="s">
        <v>35</v>
      </c>
      <c r="N101">
        <v>2</v>
      </c>
      <c r="O101">
        <v>2</v>
      </c>
      <c r="P101" t="s">
        <v>145</v>
      </c>
      <c r="Q101" t="s">
        <v>28</v>
      </c>
      <c r="R101" t="s">
        <v>28</v>
      </c>
      <c r="S101" t="s">
        <v>28</v>
      </c>
      <c r="T101" t="s">
        <v>28</v>
      </c>
      <c r="U101" t="s">
        <v>28</v>
      </c>
      <c r="V101" t="s">
        <v>28</v>
      </c>
      <c r="W101">
        <v>4</v>
      </c>
      <c r="X101" t="s">
        <v>146</v>
      </c>
    </row>
    <row r="102" spans="1:24" x14ac:dyDescent="0.2">
      <c r="A102" t="str">
        <f t="shared" si="3"/>
        <v>sample_miseq-16S-B-A05-L4_SICap-P5-A5-P5D2-M9-C3R1-yesBile-rep2-day2</v>
      </c>
      <c r="B102" s="1" t="s">
        <v>274</v>
      </c>
      <c r="C102" s="3" t="s">
        <v>850</v>
      </c>
      <c r="D102" s="3" t="s">
        <v>1327</v>
      </c>
      <c r="E102" t="s">
        <v>20</v>
      </c>
      <c r="F102" t="s">
        <v>143</v>
      </c>
      <c r="G102" t="s">
        <v>36</v>
      </c>
      <c r="H102" t="str">
        <f t="shared" si="4"/>
        <v>05</v>
      </c>
      <c r="I102" t="str">
        <f t="shared" si="5"/>
        <v>A</v>
      </c>
      <c r="J102" t="s">
        <v>144</v>
      </c>
      <c r="K102" t="s">
        <v>24</v>
      </c>
      <c r="L102" t="s">
        <v>142</v>
      </c>
      <c r="M102" t="s">
        <v>37</v>
      </c>
      <c r="N102">
        <v>2</v>
      </c>
      <c r="O102">
        <v>2</v>
      </c>
      <c r="P102" t="s">
        <v>145</v>
      </c>
      <c r="Q102" t="s">
        <v>28</v>
      </c>
      <c r="R102" t="s">
        <v>28</v>
      </c>
      <c r="S102" t="s">
        <v>28</v>
      </c>
      <c r="T102" t="s">
        <v>28</v>
      </c>
      <c r="U102" t="s">
        <v>28</v>
      </c>
      <c r="V102" t="s">
        <v>28</v>
      </c>
      <c r="W102">
        <v>4</v>
      </c>
      <c r="X102" t="s">
        <v>146</v>
      </c>
    </row>
    <row r="103" spans="1:24" x14ac:dyDescent="0.2">
      <c r="A103" t="str">
        <f t="shared" si="3"/>
        <v>sample_miseq-16S-B-A06-L4_SICap-P5-A6-P5D2-M9-C3R2-yesBile-rep2-day2</v>
      </c>
      <c r="B103" s="1" t="s">
        <v>275</v>
      </c>
      <c r="C103" s="3" t="s">
        <v>851</v>
      </c>
      <c r="D103" s="3" t="s">
        <v>1327</v>
      </c>
      <c r="E103" t="s">
        <v>20</v>
      </c>
      <c r="F103" t="s">
        <v>143</v>
      </c>
      <c r="G103" t="s">
        <v>38</v>
      </c>
      <c r="H103" t="str">
        <f t="shared" si="4"/>
        <v>06</v>
      </c>
      <c r="I103" t="str">
        <f t="shared" si="5"/>
        <v>A</v>
      </c>
      <c r="J103" t="s">
        <v>144</v>
      </c>
      <c r="K103" t="s">
        <v>24</v>
      </c>
      <c r="L103" t="s">
        <v>142</v>
      </c>
      <c r="M103" t="s">
        <v>39</v>
      </c>
      <c r="N103">
        <v>2</v>
      </c>
      <c r="O103">
        <v>2</v>
      </c>
      <c r="P103" t="s">
        <v>145</v>
      </c>
      <c r="Q103" t="s">
        <v>28</v>
      </c>
      <c r="R103" t="s">
        <v>28</v>
      </c>
      <c r="S103" t="s">
        <v>28</v>
      </c>
      <c r="T103" t="s">
        <v>28</v>
      </c>
      <c r="U103" t="s">
        <v>28</v>
      </c>
      <c r="V103" t="s">
        <v>28</v>
      </c>
      <c r="W103">
        <v>4</v>
      </c>
      <c r="X103" t="s">
        <v>146</v>
      </c>
    </row>
    <row r="104" spans="1:24" x14ac:dyDescent="0.2">
      <c r="A104" t="str">
        <f t="shared" si="3"/>
        <v>sample_miseq-16S-B-A07-L4_SICap-P5-A7-P5D2-M9-C4R1-yesBile-rep2-day2</v>
      </c>
      <c r="B104" s="1" t="s">
        <v>276</v>
      </c>
      <c r="C104" s="3" t="s">
        <v>852</v>
      </c>
      <c r="D104" s="3" t="s">
        <v>1327</v>
      </c>
      <c r="E104" t="s">
        <v>20</v>
      </c>
      <c r="F104" t="s">
        <v>143</v>
      </c>
      <c r="G104" t="s">
        <v>40</v>
      </c>
      <c r="H104" t="str">
        <f t="shared" si="4"/>
        <v>07</v>
      </c>
      <c r="I104" t="str">
        <f t="shared" si="5"/>
        <v>A</v>
      </c>
      <c r="J104" t="s">
        <v>144</v>
      </c>
      <c r="K104" t="s">
        <v>24</v>
      </c>
      <c r="L104" t="s">
        <v>142</v>
      </c>
      <c r="M104" t="s">
        <v>41</v>
      </c>
      <c r="N104">
        <v>2</v>
      </c>
      <c r="O104">
        <v>2</v>
      </c>
      <c r="P104" t="s">
        <v>145</v>
      </c>
      <c r="Q104" t="s">
        <v>28</v>
      </c>
      <c r="R104" t="s">
        <v>28</v>
      </c>
      <c r="S104" t="s">
        <v>28</v>
      </c>
      <c r="T104" t="s">
        <v>28</v>
      </c>
      <c r="U104" t="s">
        <v>28</v>
      </c>
      <c r="V104" t="s">
        <v>28</v>
      </c>
      <c r="W104">
        <v>4</v>
      </c>
      <c r="X104" t="s">
        <v>146</v>
      </c>
    </row>
    <row r="105" spans="1:24" x14ac:dyDescent="0.2">
      <c r="A105" t="str">
        <f t="shared" si="3"/>
        <v>sample_miseq-16S-B-A08-L4_SICap-P5-A8-P5D2-M9-C4R2-yesBile-rep2-day2</v>
      </c>
      <c r="B105" s="1" t="s">
        <v>277</v>
      </c>
      <c r="C105" s="3" t="s">
        <v>853</v>
      </c>
      <c r="D105" s="3" t="s">
        <v>1327</v>
      </c>
      <c r="E105" t="s">
        <v>20</v>
      </c>
      <c r="F105" t="s">
        <v>143</v>
      </c>
      <c r="G105" t="s">
        <v>42</v>
      </c>
      <c r="H105" t="str">
        <f t="shared" si="4"/>
        <v>08</v>
      </c>
      <c r="I105" t="str">
        <f t="shared" si="5"/>
        <v>A</v>
      </c>
      <c r="J105" t="s">
        <v>144</v>
      </c>
      <c r="K105" t="s">
        <v>24</v>
      </c>
      <c r="L105" t="s">
        <v>142</v>
      </c>
      <c r="M105" t="s">
        <v>43</v>
      </c>
      <c r="N105">
        <v>2</v>
      </c>
      <c r="O105">
        <v>2</v>
      </c>
      <c r="P105" t="s">
        <v>145</v>
      </c>
      <c r="Q105" t="s">
        <v>28</v>
      </c>
      <c r="R105" t="s">
        <v>28</v>
      </c>
      <c r="S105" t="s">
        <v>28</v>
      </c>
      <c r="T105" t="s">
        <v>28</v>
      </c>
      <c r="U105" t="s">
        <v>28</v>
      </c>
      <c r="V105" t="s">
        <v>28</v>
      </c>
      <c r="W105">
        <v>4</v>
      </c>
      <c r="X105" t="s">
        <v>146</v>
      </c>
    </row>
    <row r="106" spans="1:24" x14ac:dyDescent="0.2">
      <c r="A106" t="str">
        <f t="shared" si="3"/>
        <v>sample_miseq-16S-B-A09-L4_SICap-P5-A9-P5D2-M9-S1R2-yesBile-rep2-day2</v>
      </c>
      <c r="B106" s="1" t="s">
        <v>278</v>
      </c>
      <c r="C106" s="3" t="s">
        <v>854</v>
      </c>
      <c r="D106" s="3" t="s">
        <v>1327</v>
      </c>
      <c r="E106" t="s">
        <v>20</v>
      </c>
      <c r="F106" t="s">
        <v>143</v>
      </c>
      <c r="G106" t="s">
        <v>44</v>
      </c>
      <c r="H106" t="str">
        <f t="shared" si="4"/>
        <v>09</v>
      </c>
      <c r="I106" t="str">
        <f t="shared" si="5"/>
        <v>A</v>
      </c>
      <c r="J106" t="s">
        <v>144</v>
      </c>
      <c r="K106" t="s">
        <v>24</v>
      </c>
      <c r="L106" t="s">
        <v>142</v>
      </c>
      <c r="M106" t="s">
        <v>45</v>
      </c>
      <c r="N106">
        <v>2</v>
      </c>
      <c r="O106">
        <v>2</v>
      </c>
      <c r="P106" t="s">
        <v>145</v>
      </c>
      <c r="Q106" t="s">
        <v>28</v>
      </c>
      <c r="R106" t="s">
        <v>28</v>
      </c>
      <c r="S106" t="s">
        <v>28</v>
      </c>
      <c r="T106" t="s">
        <v>28</v>
      </c>
      <c r="U106" t="s">
        <v>28</v>
      </c>
      <c r="V106" t="s">
        <v>28</v>
      </c>
      <c r="W106">
        <v>4</v>
      </c>
      <c r="X106" t="s">
        <v>146</v>
      </c>
    </row>
    <row r="107" spans="1:24" x14ac:dyDescent="0.2">
      <c r="A107" t="str">
        <f t="shared" si="3"/>
        <v>sample_miseq-16S-B-A10-L4_SICap-P5-A10-P5D2-M9-StoolPool-yesBile-rep2-day2</v>
      </c>
      <c r="B107" s="1" t="s">
        <v>279</v>
      </c>
      <c r="C107" s="3" t="s">
        <v>855</v>
      </c>
      <c r="D107" s="3" t="s">
        <v>1327</v>
      </c>
      <c r="E107" t="s">
        <v>20</v>
      </c>
      <c r="F107" t="s">
        <v>143</v>
      </c>
      <c r="G107" t="s">
        <v>46</v>
      </c>
      <c r="H107" t="str">
        <f t="shared" si="4"/>
        <v>10</v>
      </c>
      <c r="I107" t="str">
        <f t="shared" si="5"/>
        <v>A</v>
      </c>
      <c r="J107" t="s">
        <v>144</v>
      </c>
      <c r="K107" t="s">
        <v>24</v>
      </c>
      <c r="L107" t="s">
        <v>142</v>
      </c>
      <c r="M107" t="s">
        <v>47</v>
      </c>
      <c r="N107">
        <v>2</v>
      </c>
      <c r="O107">
        <v>2</v>
      </c>
      <c r="P107" t="s">
        <v>145</v>
      </c>
      <c r="Q107" t="s">
        <v>28</v>
      </c>
      <c r="R107" t="s">
        <v>28</v>
      </c>
      <c r="S107" t="s">
        <v>28</v>
      </c>
      <c r="T107" t="s">
        <v>28</v>
      </c>
      <c r="U107" t="s">
        <v>28</v>
      </c>
      <c r="V107" t="s">
        <v>28</v>
      </c>
      <c r="W107">
        <v>4</v>
      </c>
      <c r="X107" t="s">
        <v>146</v>
      </c>
    </row>
    <row r="108" spans="1:24" x14ac:dyDescent="0.2">
      <c r="A108" t="str">
        <f t="shared" si="3"/>
        <v>sample_miseq-16S-B-A11-L4_SICap-P5-A11-P5D2-M9-SIPool-yesBile-rep2-day2</v>
      </c>
      <c r="B108" s="1" t="s">
        <v>280</v>
      </c>
      <c r="C108" s="3" t="s">
        <v>856</v>
      </c>
      <c r="D108" s="3" t="s">
        <v>1327</v>
      </c>
      <c r="E108" t="s">
        <v>20</v>
      </c>
      <c r="F108" t="s">
        <v>143</v>
      </c>
      <c r="G108" t="s">
        <v>48</v>
      </c>
      <c r="H108" t="str">
        <f t="shared" si="4"/>
        <v>11</v>
      </c>
      <c r="I108" t="str">
        <f t="shared" si="5"/>
        <v>A</v>
      </c>
      <c r="J108" t="s">
        <v>144</v>
      </c>
      <c r="K108" t="s">
        <v>24</v>
      </c>
      <c r="L108" t="s">
        <v>142</v>
      </c>
      <c r="M108" t="s">
        <v>49</v>
      </c>
      <c r="N108">
        <v>2</v>
      </c>
      <c r="O108">
        <v>2</v>
      </c>
      <c r="P108" t="s">
        <v>145</v>
      </c>
      <c r="Q108" t="s">
        <v>28</v>
      </c>
      <c r="R108" t="s">
        <v>28</v>
      </c>
      <c r="S108" t="s">
        <v>28</v>
      </c>
      <c r="T108" t="s">
        <v>28</v>
      </c>
      <c r="U108" t="s">
        <v>28</v>
      </c>
      <c r="V108" t="s">
        <v>28</v>
      </c>
      <c r="W108">
        <v>4</v>
      </c>
      <c r="X108" t="s">
        <v>146</v>
      </c>
    </row>
    <row r="109" spans="1:24" x14ac:dyDescent="0.2">
      <c r="A109" t="str">
        <f t="shared" si="3"/>
        <v>sample_miseq-16S-B-A12-L4_SICap-P5-A12-P5D2-M9-Media-yesBile-rep2-day2</v>
      </c>
      <c r="B109" s="1" t="s">
        <v>281</v>
      </c>
      <c r="C109" s="3" t="s">
        <v>857</v>
      </c>
      <c r="D109" s="3" t="s">
        <v>1327</v>
      </c>
      <c r="E109" t="s">
        <v>20</v>
      </c>
      <c r="F109" t="s">
        <v>143</v>
      </c>
      <c r="G109" t="s">
        <v>50</v>
      </c>
      <c r="H109" t="str">
        <f t="shared" si="4"/>
        <v>12</v>
      </c>
      <c r="I109" t="str">
        <f t="shared" si="5"/>
        <v>A</v>
      </c>
      <c r="J109" t="s">
        <v>144</v>
      </c>
      <c r="K109" t="s">
        <v>24</v>
      </c>
      <c r="L109" t="s">
        <v>142</v>
      </c>
      <c r="M109" t="s">
        <v>6</v>
      </c>
      <c r="N109">
        <v>2</v>
      </c>
      <c r="O109">
        <v>2</v>
      </c>
      <c r="P109" t="s">
        <v>145</v>
      </c>
      <c r="Q109" t="s">
        <v>28</v>
      </c>
      <c r="R109" t="s">
        <v>28</v>
      </c>
      <c r="S109" t="s">
        <v>28</v>
      </c>
      <c r="T109" t="s">
        <v>28</v>
      </c>
      <c r="U109" t="s">
        <v>28</v>
      </c>
      <c r="V109" t="s">
        <v>28</v>
      </c>
      <c r="W109">
        <v>4</v>
      </c>
      <c r="X109" t="s">
        <v>146</v>
      </c>
    </row>
    <row r="110" spans="1:24" x14ac:dyDescent="0.2">
      <c r="A110" t="str">
        <f t="shared" si="3"/>
        <v>sample_miseq-16S-B-B01-L4_SICap-P5-B1-P5D2-EZ-RDM-C1R1-yesBile-rep2-day2</v>
      </c>
      <c r="B110" s="1" t="s">
        <v>282</v>
      </c>
      <c r="C110" s="3" t="s">
        <v>858</v>
      </c>
      <c r="D110" s="3" t="s">
        <v>1327</v>
      </c>
      <c r="E110" t="s">
        <v>20</v>
      </c>
      <c r="F110" t="s">
        <v>143</v>
      </c>
      <c r="G110" t="s">
        <v>51</v>
      </c>
      <c r="H110" t="str">
        <f t="shared" si="4"/>
        <v>01</v>
      </c>
      <c r="I110" t="str">
        <f t="shared" si="5"/>
        <v>B</v>
      </c>
      <c r="J110" t="s">
        <v>144</v>
      </c>
      <c r="K110" t="s">
        <v>52</v>
      </c>
      <c r="L110" t="s">
        <v>142</v>
      </c>
      <c r="M110" t="s">
        <v>26</v>
      </c>
      <c r="N110">
        <v>2</v>
      </c>
      <c r="O110">
        <v>2</v>
      </c>
      <c r="P110" t="s">
        <v>145</v>
      </c>
      <c r="Q110" t="s">
        <v>28</v>
      </c>
      <c r="R110" t="s">
        <v>28</v>
      </c>
      <c r="S110" t="s">
        <v>28</v>
      </c>
      <c r="T110" t="s">
        <v>28</v>
      </c>
      <c r="U110" t="s">
        <v>28</v>
      </c>
      <c r="V110" t="s">
        <v>28</v>
      </c>
      <c r="W110">
        <v>4</v>
      </c>
      <c r="X110" t="s">
        <v>146</v>
      </c>
    </row>
    <row r="111" spans="1:24" x14ac:dyDescent="0.2">
      <c r="A111" t="str">
        <f t="shared" si="3"/>
        <v>sample_miseq-16S-B-B02-L4_SICap-P5-B2-P5D2-EZ-RDM-C1R2-yesBile-rep2-day2</v>
      </c>
      <c r="B111" s="1" t="s">
        <v>283</v>
      </c>
      <c r="C111" s="3" t="s">
        <v>859</v>
      </c>
      <c r="D111" s="3" t="s">
        <v>1327</v>
      </c>
      <c r="E111" t="s">
        <v>20</v>
      </c>
      <c r="F111" t="s">
        <v>143</v>
      </c>
      <c r="G111" t="s">
        <v>53</v>
      </c>
      <c r="H111" t="str">
        <f t="shared" si="4"/>
        <v>02</v>
      </c>
      <c r="I111" t="str">
        <f t="shared" si="5"/>
        <v>B</v>
      </c>
      <c r="J111" t="s">
        <v>144</v>
      </c>
      <c r="K111" t="s">
        <v>52</v>
      </c>
      <c r="L111" t="s">
        <v>142</v>
      </c>
      <c r="M111" t="s">
        <v>31</v>
      </c>
      <c r="N111">
        <v>2</v>
      </c>
      <c r="O111">
        <v>2</v>
      </c>
      <c r="P111" t="s">
        <v>145</v>
      </c>
      <c r="Q111" t="s">
        <v>28</v>
      </c>
      <c r="R111" t="s">
        <v>28</v>
      </c>
      <c r="S111" t="s">
        <v>28</v>
      </c>
      <c r="T111" t="s">
        <v>28</v>
      </c>
      <c r="U111" t="s">
        <v>28</v>
      </c>
      <c r="V111" t="s">
        <v>28</v>
      </c>
      <c r="W111">
        <v>4</v>
      </c>
      <c r="X111" t="s">
        <v>146</v>
      </c>
    </row>
    <row r="112" spans="1:24" x14ac:dyDescent="0.2">
      <c r="A112" t="str">
        <f t="shared" si="3"/>
        <v>sample_miseq-16S-B-B03-L4_SICap-P5-B3-P5D2-EZ-RDM-C2R1-yesBile-rep2-day2</v>
      </c>
      <c r="B112" s="1" t="s">
        <v>284</v>
      </c>
      <c r="C112" s="3" t="s">
        <v>860</v>
      </c>
      <c r="D112" s="3" t="s">
        <v>1327</v>
      </c>
      <c r="E112" t="s">
        <v>20</v>
      </c>
      <c r="F112" t="s">
        <v>143</v>
      </c>
      <c r="G112" t="s">
        <v>54</v>
      </c>
      <c r="H112" t="str">
        <f t="shared" si="4"/>
        <v>03</v>
      </c>
      <c r="I112" t="str">
        <f t="shared" si="5"/>
        <v>B</v>
      </c>
      <c r="J112" t="s">
        <v>144</v>
      </c>
      <c r="K112" t="s">
        <v>52</v>
      </c>
      <c r="L112" t="s">
        <v>142</v>
      </c>
      <c r="M112" t="s">
        <v>33</v>
      </c>
      <c r="N112">
        <v>2</v>
      </c>
      <c r="O112">
        <v>2</v>
      </c>
      <c r="P112" t="s">
        <v>145</v>
      </c>
      <c r="Q112" t="s">
        <v>28</v>
      </c>
      <c r="R112" t="s">
        <v>28</v>
      </c>
      <c r="S112" t="s">
        <v>28</v>
      </c>
      <c r="T112" t="s">
        <v>28</v>
      </c>
      <c r="U112" t="s">
        <v>28</v>
      </c>
      <c r="V112" t="s">
        <v>28</v>
      </c>
      <c r="W112">
        <v>4</v>
      </c>
      <c r="X112" t="s">
        <v>146</v>
      </c>
    </row>
    <row r="113" spans="1:24" x14ac:dyDescent="0.2">
      <c r="A113" t="str">
        <f t="shared" si="3"/>
        <v>sample_miseq-16S-B-B04-L4_SICap-P5-B4-P5D2-EZ-RDM-C2R2-yesBile-rep2-day2</v>
      </c>
      <c r="B113" s="1" t="s">
        <v>285</v>
      </c>
      <c r="C113" s="3" t="s">
        <v>861</v>
      </c>
      <c r="D113" s="3" t="s">
        <v>1327</v>
      </c>
      <c r="E113" t="s">
        <v>20</v>
      </c>
      <c r="F113" t="s">
        <v>143</v>
      </c>
      <c r="G113" t="s">
        <v>55</v>
      </c>
      <c r="H113" t="str">
        <f t="shared" si="4"/>
        <v>04</v>
      </c>
      <c r="I113" t="str">
        <f t="shared" si="5"/>
        <v>B</v>
      </c>
      <c r="J113" t="s">
        <v>144</v>
      </c>
      <c r="K113" t="s">
        <v>52</v>
      </c>
      <c r="L113" t="s">
        <v>142</v>
      </c>
      <c r="M113" t="s">
        <v>35</v>
      </c>
      <c r="N113">
        <v>2</v>
      </c>
      <c r="O113">
        <v>2</v>
      </c>
      <c r="P113" t="s">
        <v>145</v>
      </c>
      <c r="Q113" t="s">
        <v>28</v>
      </c>
      <c r="R113" t="s">
        <v>28</v>
      </c>
      <c r="S113" t="s">
        <v>28</v>
      </c>
      <c r="T113" t="s">
        <v>28</v>
      </c>
      <c r="U113" t="s">
        <v>28</v>
      </c>
      <c r="V113" t="s">
        <v>28</v>
      </c>
      <c r="W113">
        <v>4</v>
      </c>
      <c r="X113" t="s">
        <v>146</v>
      </c>
    </row>
    <row r="114" spans="1:24" x14ac:dyDescent="0.2">
      <c r="A114" t="str">
        <f t="shared" si="3"/>
        <v>sample_miseq-16S-B-B05-L4_SICap-P5-B5-P5D2-EZ-RDM-C3R1-yesBile-rep2-day2</v>
      </c>
      <c r="B114" s="1" t="s">
        <v>286</v>
      </c>
      <c r="C114" s="3" t="s">
        <v>862</v>
      </c>
      <c r="D114" s="3" t="s">
        <v>1327</v>
      </c>
      <c r="E114" t="s">
        <v>20</v>
      </c>
      <c r="F114" t="s">
        <v>143</v>
      </c>
      <c r="G114" t="s">
        <v>56</v>
      </c>
      <c r="H114" t="str">
        <f t="shared" si="4"/>
        <v>05</v>
      </c>
      <c r="I114" t="str">
        <f t="shared" si="5"/>
        <v>B</v>
      </c>
      <c r="J114" t="s">
        <v>144</v>
      </c>
      <c r="K114" t="s">
        <v>52</v>
      </c>
      <c r="L114" t="s">
        <v>142</v>
      </c>
      <c r="M114" t="s">
        <v>37</v>
      </c>
      <c r="N114">
        <v>2</v>
      </c>
      <c r="O114">
        <v>2</v>
      </c>
      <c r="P114" t="s">
        <v>145</v>
      </c>
      <c r="Q114" t="s">
        <v>28</v>
      </c>
      <c r="R114" t="s">
        <v>28</v>
      </c>
      <c r="S114" t="s">
        <v>28</v>
      </c>
      <c r="T114" t="s">
        <v>28</v>
      </c>
      <c r="U114" t="s">
        <v>28</v>
      </c>
      <c r="V114" t="s">
        <v>28</v>
      </c>
      <c r="W114">
        <v>4</v>
      </c>
      <c r="X114" t="s">
        <v>146</v>
      </c>
    </row>
    <row r="115" spans="1:24" x14ac:dyDescent="0.2">
      <c r="A115" t="str">
        <f t="shared" si="3"/>
        <v>sample_miseq-16S-B-B06-L4_SICap-P5-B6-P5D2-EZ-RDM-C3R2-yesBile-rep2-day2</v>
      </c>
      <c r="B115" s="1" t="s">
        <v>287</v>
      </c>
      <c r="C115" s="3" t="s">
        <v>863</v>
      </c>
      <c r="D115" s="3" t="s">
        <v>1327</v>
      </c>
      <c r="E115" t="s">
        <v>20</v>
      </c>
      <c r="F115" t="s">
        <v>143</v>
      </c>
      <c r="G115" t="s">
        <v>57</v>
      </c>
      <c r="H115" t="str">
        <f t="shared" si="4"/>
        <v>06</v>
      </c>
      <c r="I115" t="str">
        <f t="shared" si="5"/>
        <v>B</v>
      </c>
      <c r="J115" t="s">
        <v>144</v>
      </c>
      <c r="K115" t="s">
        <v>52</v>
      </c>
      <c r="L115" t="s">
        <v>142</v>
      </c>
      <c r="M115" t="s">
        <v>39</v>
      </c>
      <c r="N115">
        <v>2</v>
      </c>
      <c r="O115">
        <v>2</v>
      </c>
      <c r="P115" t="s">
        <v>145</v>
      </c>
      <c r="Q115" t="s">
        <v>28</v>
      </c>
      <c r="R115" t="s">
        <v>28</v>
      </c>
      <c r="S115" t="s">
        <v>28</v>
      </c>
      <c r="T115" t="s">
        <v>28</v>
      </c>
      <c r="U115" t="s">
        <v>28</v>
      </c>
      <c r="V115" t="s">
        <v>28</v>
      </c>
      <c r="W115">
        <v>4</v>
      </c>
      <c r="X115" t="s">
        <v>146</v>
      </c>
    </row>
    <row r="116" spans="1:24" x14ac:dyDescent="0.2">
      <c r="A116" t="str">
        <f t="shared" si="3"/>
        <v>sample_miseq-16S-B-B07-L4_SICap-P5-B7-P5D2-EZ-RDM-C4R1-yesBile-rep2-day2</v>
      </c>
      <c r="B116" s="1" t="s">
        <v>288</v>
      </c>
      <c r="C116" s="3" t="s">
        <v>864</v>
      </c>
      <c r="D116" s="3" t="s">
        <v>1327</v>
      </c>
      <c r="E116" t="s">
        <v>20</v>
      </c>
      <c r="F116" t="s">
        <v>143</v>
      </c>
      <c r="G116" t="s">
        <v>58</v>
      </c>
      <c r="H116" t="str">
        <f t="shared" si="4"/>
        <v>07</v>
      </c>
      <c r="I116" t="str">
        <f t="shared" si="5"/>
        <v>B</v>
      </c>
      <c r="J116" t="s">
        <v>144</v>
      </c>
      <c r="K116" t="s">
        <v>52</v>
      </c>
      <c r="L116" t="s">
        <v>142</v>
      </c>
      <c r="M116" t="s">
        <v>41</v>
      </c>
      <c r="N116">
        <v>2</v>
      </c>
      <c r="O116">
        <v>2</v>
      </c>
      <c r="P116" t="s">
        <v>145</v>
      </c>
      <c r="Q116" t="s">
        <v>28</v>
      </c>
      <c r="R116" t="s">
        <v>28</v>
      </c>
      <c r="S116" t="s">
        <v>28</v>
      </c>
      <c r="T116" t="s">
        <v>28</v>
      </c>
      <c r="U116" t="s">
        <v>28</v>
      </c>
      <c r="V116" t="s">
        <v>28</v>
      </c>
      <c r="W116">
        <v>4</v>
      </c>
      <c r="X116" t="s">
        <v>146</v>
      </c>
    </row>
    <row r="117" spans="1:24" x14ac:dyDescent="0.2">
      <c r="A117" t="str">
        <f t="shared" si="3"/>
        <v>sample_miseq-16S-B-B08-L4_SICap-P5-B8-P5D2-EZ-RDM-C4R2-yesBile-rep2-day2</v>
      </c>
      <c r="B117" s="1" t="s">
        <v>289</v>
      </c>
      <c r="C117" s="3" t="s">
        <v>865</v>
      </c>
      <c r="D117" s="3" t="s">
        <v>1327</v>
      </c>
      <c r="E117" t="s">
        <v>20</v>
      </c>
      <c r="F117" t="s">
        <v>143</v>
      </c>
      <c r="G117" t="s">
        <v>59</v>
      </c>
      <c r="H117" t="str">
        <f t="shared" si="4"/>
        <v>08</v>
      </c>
      <c r="I117" t="str">
        <f t="shared" si="5"/>
        <v>B</v>
      </c>
      <c r="J117" t="s">
        <v>144</v>
      </c>
      <c r="K117" t="s">
        <v>52</v>
      </c>
      <c r="L117" t="s">
        <v>142</v>
      </c>
      <c r="M117" t="s">
        <v>43</v>
      </c>
      <c r="N117">
        <v>2</v>
      </c>
      <c r="O117">
        <v>2</v>
      </c>
      <c r="P117" t="s">
        <v>145</v>
      </c>
      <c r="Q117" t="s">
        <v>28</v>
      </c>
      <c r="R117" t="s">
        <v>28</v>
      </c>
      <c r="S117" t="s">
        <v>28</v>
      </c>
      <c r="T117" t="s">
        <v>28</v>
      </c>
      <c r="U117" t="s">
        <v>28</v>
      </c>
      <c r="V117" t="s">
        <v>28</v>
      </c>
      <c r="W117">
        <v>4</v>
      </c>
      <c r="X117" t="s">
        <v>146</v>
      </c>
    </row>
    <row r="118" spans="1:24" x14ac:dyDescent="0.2">
      <c r="A118" t="str">
        <f t="shared" si="3"/>
        <v>sample_miseq-16S-B-B09-L4_SICap-P5-B9-P5D2-EZ-RDM-S1R2-yesBile-rep2-day2</v>
      </c>
      <c r="B118" s="1" t="s">
        <v>290</v>
      </c>
      <c r="C118" s="3" t="s">
        <v>866</v>
      </c>
      <c r="D118" s="3" t="s">
        <v>1327</v>
      </c>
      <c r="E118" t="s">
        <v>20</v>
      </c>
      <c r="F118" t="s">
        <v>143</v>
      </c>
      <c r="G118" t="s">
        <v>60</v>
      </c>
      <c r="H118" t="str">
        <f t="shared" si="4"/>
        <v>09</v>
      </c>
      <c r="I118" t="str">
        <f t="shared" si="5"/>
        <v>B</v>
      </c>
      <c r="J118" t="s">
        <v>144</v>
      </c>
      <c r="K118" t="s">
        <v>52</v>
      </c>
      <c r="L118" t="s">
        <v>142</v>
      </c>
      <c r="M118" t="s">
        <v>45</v>
      </c>
      <c r="N118">
        <v>2</v>
      </c>
      <c r="O118">
        <v>2</v>
      </c>
      <c r="P118" t="s">
        <v>145</v>
      </c>
      <c r="Q118" t="s">
        <v>28</v>
      </c>
      <c r="R118" t="s">
        <v>28</v>
      </c>
      <c r="S118" t="s">
        <v>28</v>
      </c>
      <c r="T118" t="s">
        <v>28</v>
      </c>
      <c r="U118" t="s">
        <v>28</v>
      </c>
      <c r="V118" t="s">
        <v>28</v>
      </c>
      <c r="W118">
        <v>4</v>
      </c>
      <c r="X118" t="s">
        <v>146</v>
      </c>
    </row>
    <row r="119" spans="1:24" x14ac:dyDescent="0.2">
      <c r="A119" t="str">
        <f t="shared" si="3"/>
        <v>sample_miseq-16S-B-B10-L4_SICap-P5-B10-P5D2-EZ-RDM-StoolPool-yesBile-rep2-day2</v>
      </c>
      <c r="B119" s="1" t="s">
        <v>291</v>
      </c>
      <c r="C119" s="3" t="s">
        <v>867</v>
      </c>
      <c r="D119" s="3" t="s">
        <v>1327</v>
      </c>
      <c r="E119" t="s">
        <v>20</v>
      </c>
      <c r="F119" t="s">
        <v>143</v>
      </c>
      <c r="G119" t="s">
        <v>61</v>
      </c>
      <c r="H119" t="str">
        <f t="shared" si="4"/>
        <v>10</v>
      </c>
      <c r="I119" t="str">
        <f t="shared" si="5"/>
        <v>B</v>
      </c>
      <c r="J119" t="s">
        <v>144</v>
      </c>
      <c r="K119" t="s">
        <v>52</v>
      </c>
      <c r="L119" t="s">
        <v>142</v>
      </c>
      <c r="M119" t="s">
        <v>47</v>
      </c>
      <c r="N119">
        <v>2</v>
      </c>
      <c r="O119">
        <v>2</v>
      </c>
      <c r="P119" t="s">
        <v>145</v>
      </c>
      <c r="Q119" t="s">
        <v>28</v>
      </c>
      <c r="R119" t="s">
        <v>28</v>
      </c>
      <c r="S119" t="s">
        <v>28</v>
      </c>
      <c r="T119" t="s">
        <v>28</v>
      </c>
      <c r="U119" t="s">
        <v>28</v>
      </c>
      <c r="V119" t="s">
        <v>28</v>
      </c>
      <c r="W119">
        <v>4</v>
      </c>
      <c r="X119" t="s">
        <v>146</v>
      </c>
    </row>
    <row r="120" spans="1:24" x14ac:dyDescent="0.2">
      <c r="A120" t="str">
        <f t="shared" si="3"/>
        <v>sample_miseq-16S-B-B11-L4_SICap-P5-B11-P5D2-EZ-RDM-SIPool-yesBile-rep2-day2</v>
      </c>
      <c r="B120" s="1" t="s">
        <v>292</v>
      </c>
      <c r="C120" s="3" t="s">
        <v>868</v>
      </c>
      <c r="D120" s="3" t="s">
        <v>1327</v>
      </c>
      <c r="E120" t="s">
        <v>20</v>
      </c>
      <c r="F120" t="s">
        <v>143</v>
      </c>
      <c r="G120" t="s">
        <v>62</v>
      </c>
      <c r="H120" t="str">
        <f t="shared" si="4"/>
        <v>11</v>
      </c>
      <c r="I120" t="str">
        <f t="shared" si="5"/>
        <v>B</v>
      </c>
      <c r="J120" t="s">
        <v>144</v>
      </c>
      <c r="K120" t="s">
        <v>52</v>
      </c>
      <c r="L120" t="s">
        <v>142</v>
      </c>
      <c r="M120" t="s">
        <v>49</v>
      </c>
      <c r="N120">
        <v>2</v>
      </c>
      <c r="O120">
        <v>2</v>
      </c>
      <c r="P120" t="s">
        <v>145</v>
      </c>
      <c r="Q120" t="s">
        <v>28</v>
      </c>
      <c r="R120" t="s">
        <v>28</v>
      </c>
      <c r="S120" t="s">
        <v>28</v>
      </c>
      <c r="T120" t="s">
        <v>28</v>
      </c>
      <c r="U120" t="s">
        <v>28</v>
      </c>
      <c r="V120" t="s">
        <v>28</v>
      </c>
      <c r="W120">
        <v>4</v>
      </c>
      <c r="X120" t="s">
        <v>146</v>
      </c>
    </row>
    <row r="121" spans="1:24" x14ac:dyDescent="0.2">
      <c r="A121" t="str">
        <f t="shared" si="3"/>
        <v>sample_miseq-16S-B-B12-L4_SICap-P5-B12-P5D2-EZ-RDM-Media-yesBile-rep2-day2</v>
      </c>
      <c r="B121" s="1" t="s">
        <v>293</v>
      </c>
      <c r="C121" s="3" t="s">
        <v>869</v>
      </c>
      <c r="D121" s="3" t="s">
        <v>1327</v>
      </c>
      <c r="E121" t="s">
        <v>20</v>
      </c>
      <c r="F121" t="s">
        <v>143</v>
      </c>
      <c r="G121" t="s">
        <v>63</v>
      </c>
      <c r="H121" t="str">
        <f t="shared" si="4"/>
        <v>12</v>
      </c>
      <c r="I121" t="str">
        <f t="shared" si="5"/>
        <v>B</v>
      </c>
      <c r="J121" t="s">
        <v>144</v>
      </c>
      <c r="K121" t="s">
        <v>52</v>
      </c>
      <c r="L121" t="s">
        <v>142</v>
      </c>
      <c r="M121" t="s">
        <v>6</v>
      </c>
      <c r="N121">
        <v>2</v>
      </c>
      <c r="O121">
        <v>2</v>
      </c>
      <c r="P121" t="s">
        <v>145</v>
      </c>
      <c r="Q121" t="s">
        <v>28</v>
      </c>
      <c r="R121" t="s">
        <v>28</v>
      </c>
      <c r="S121" t="s">
        <v>28</v>
      </c>
      <c r="T121" t="s">
        <v>28</v>
      </c>
      <c r="U121" t="s">
        <v>28</v>
      </c>
      <c r="V121" t="s">
        <v>28</v>
      </c>
      <c r="W121">
        <v>4</v>
      </c>
      <c r="X121" t="s">
        <v>146</v>
      </c>
    </row>
    <row r="122" spans="1:24" x14ac:dyDescent="0.2">
      <c r="A122" t="str">
        <f t="shared" si="3"/>
        <v>sample_miseq-16S-B-C01-L4_SICap-P5-C1-P5D2-BHI-C1R1-yesBile-rep2-day2</v>
      </c>
      <c r="B122" s="1" t="s">
        <v>294</v>
      </c>
      <c r="C122" s="3" t="s">
        <v>870</v>
      </c>
      <c r="D122" s="3" t="s">
        <v>1327</v>
      </c>
      <c r="E122" t="s">
        <v>20</v>
      </c>
      <c r="F122" t="s">
        <v>143</v>
      </c>
      <c r="G122" t="s">
        <v>64</v>
      </c>
      <c r="H122" t="str">
        <f t="shared" si="4"/>
        <v>01</v>
      </c>
      <c r="I122" t="str">
        <f t="shared" si="5"/>
        <v>C</v>
      </c>
      <c r="J122" t="s">
        <v>144</v>
      </c>
      <c r="K122" t="s">
        <v>65</v>
      </c>
      <c r="L122" t="s">
        <v>142</v>
      </c>
      <c r="M122" t="s">
        <v>26</v>
      </c>
      <c r="N122">
        <v>2</v>
      </c>
      <c r="O122">
        <v>2</v>
      </c>
      <c r="P122" t="s">
        <v>145</v>
      </c>
      <c r="Q122" t="s">
        <v>28</v>
      </c>
      <c r="R122" t="s">
        <v>28</v>
      </c>
      <c r="S122" t="s">
        <v>28</v>
      </c>
      <c r="T122" t="s">
        <v>28</v>
      </c>
      <c r="U122" t="s">
        <v>28</v>
      </c>
      <c r="V122" t="s">
        <v>28</v>
      </c>
      <c r="W122">
        <v>4</v>
      </c>
      <c r="X122" t="s">
        <v>146</v>
      </c>
    </row>
    <row r="123" spans="1:24" x14ac:dyDescent="0.2">
      <c r="A123" t="str">
        <f t="shared" si="3"/>
        <v>sample_miseq-16S-B-C02-L4_SICap-P5-C2-P5D2-BHI-C1R2-yesBile-rep2-day2</v>
      </c>
      <c r="B123" s="1" t="s">
        <v>295</v>
      </c>
      <c r="C123" s="3" t="s">
        <v>871</v>
      </c>
      <c r="D123" s="3" t="s">
        <v>1327</v>
      </c>
      <c r="E123" t="s">
        <v>20</v>
      </c>
      <c r="F123" t="s">
        <v>143</v>
      </c>
      <c r="G123" t="s">
        <v>66</v>
      </c>
      <c r="H123" t="str">
        <f t="shared" si="4"/>
        <v>02</v>
      </c>
      <c r="I123" t="str">
        <f t="shared" si="5"/>
        <v>C</v>
      </c>
      <c r="J123" t="s">
        <v>144</v>
      </c>
      <c r="K123" t="s">
        <v>65</v>
      </c>
      <c r="L123" t="s">
        <v>142</v>
      </c>
      <c r="M123" t="s">
        <v>31</v>
      </c>
      <c r="N123">
        <v>2</v>
      </c>
      <c r="O123">
        <v>2</v>
      </c>
      <c r="P123" t="s">
        <v>145</v>
      </c>
      <c r="Q123" t="s">
        <v>28</v>
      </c>
      <c r="R123" t="s">
        <v>28</v>
      </c>
      <c r="S123" t="s">
        <v>28</v>
      </c>
      <c r="T123" t="s">
        <v>28</v>
      </c>
      <c r="U123" t="s">
        <v>28</v>
      </c>
      <c r="V123" t="s">
        <v>28</v>
      </c>
      <c r="W123">
        <v>4</v>
      </c>
      <c r="X123" t="s">
        <v>146</v>
      </c>
    </row>
    <row r="124" spans="1:24" x14ac:dyDescent="0.2">
      <c r="A124" t="str">
        <f t="shared" si="3"/>
        <v>sample_miseq-16S-B-C03-L4_SICap-P5-C3-P5D2-BHI-C2R1-yesBile-rep2-day2</v>
      </c>
      <c r="B124" s="1" t="s">
        <v>296</v>
      </c>
      <c r="C124" s="3" t="s">
        <v>872</v>
      </c>
      <c r="D124" s="3" t="s">
        <v>1327</v>
      </c>
      <c r="E124" t="s">
        <v>20</v>
      </c>
      <c r="F124" t="s">
        <v>143</v>
      </c>
      <c r="G124" t="s">
        <v>67</v>
      </c>
      <c r="H124" t="str">
        <f t="shared" si="4"/>
        <v>03</v>
      </c>
      <c r="I124" t="str">
        <f t="shared" si="5"/>
        <v>C</v>
      </c>
      <c r="J124" t="s">
        <v>144</v>
      </c>
      <c r="K124" t="s">
        <v>65</v>
      </c>
      <c r="L124" t="s">
        <v>142</v>
      </c>
      <c r="M124" t="s">
        <v>33</v>
      </c>
      <c r="N124">
        <v>2</v>
      </c>
      <c r="O124">
        <v>2</v>
      </c>
      <c r="P124" t="s">
        <v>145</v>
      </c>
      <c r="Q124" t="s">
        <v>28</v>
      </c>
      <c r="R124" t="s">
        <v>28</v>
      </c>
      <c r="S124" t="s">
        <v>28</v>
      </c>
      <c r="T124" t="s">
        <v>28</v>
      </c>
      <c r="U124" t="s">
        <v>28</v>
      </c>
      <c r="V124" t="s">
        <v>28</v>
      </c>
      <c r="W124">
        <v>4</v>
      </c>
      <c r="X124" t="s">
        <v>146</v>
      </c>
    </row>
    <row r="125" spans="1:24" x14ac:dyDescent="0.2">
      <c r="A125" t="str">
        <f t="shared" si="3"/>
        <v>sample_miseq-16S-B-C04-L4_SICap-P5-C4-P5D2-BHI-C2R2-yesBile-rep2-day2</v>
      </c>
      <c r="B125" s="1" t="s">
        <v>297</v>
      </c>
      <c r="C125" s="3" t="s">
        <v>873</v>
      </c>
      <c r="D125" s="3" t="s">
        <v>1327</v>
      </c>
      <c r="E125" t="s">
        <v>20</v>
      </c>
      <c r="F125" t="s">
        <v>143</v>
      </c>
      <c r="G125" t="s">
        <v>68</v>
      </c>
      <c r="H125" t="str">
        <f t="shared" si="4"/>
        <v>04</v>
      </c>
      <c r="I125" t="str">
        <f t="shared" si="5"/>
        <v>C</v>
      </c>
      <c r="J125" t="s">
        <v>144</v>
      </c>
      <c r="K125" t="s">
        <v>65</v>
      </c>
      <c r="L125" t="s">
        <v>142</v>
      </c>
      <c r="M125" t="s">
        <v>35</v>
      </c>
      <c r="N125">
        <v>2</v>
      </c>
      <c r="O125">
        <v>2</v>
      </c>
      <c r="P125" t="s">
        <v>145</v>
      </c>
      <c r="Q125" t="s">
        <v>28</v>
      </c>
      <c r="R125" t="s">
        <v>28</v>
      </c>
      <c r="S125" t="s">
        <v>28</v>
      </c>
      <c r="T125" t="s">
        <v>28</v>
      </c>
      <c r="U125" t="s">
        <v>28</v>
      </c>
      <c r="V125" t="s">
        <v>28</v>
      </c>
      <c r="W125">
        <v>4</v>
      </c>
      <c r="X125" t="s">
        <v>146</v>
      </c>
    </row>
    <row r="126" spans="1:24" x14ac:dyDescent="0.2">
      <c r="A126" t="str">
        <f t="shared" si="3"/>
        <v>sample_miseq-16S-B-C05-L4_SICap-P5-C5-P5D2-BHI-C3R1-yesBile-rep2-day2</v>
      </c>
      <c r="B126" s="1" t="s">
        <v>298</v>
      </c>
      <c r="C126" s="3" t="s">
        <v>874</v>
      </c>
      <c r="D126" s="3" t="s">
        <v>1327</v>
      </c>
      <c r="E126" t="s">
        <v>20</v>
      </c>
      <c r="F126" t="s">
        <v>143</v>
      </c>
      <c r="G126" t="s">
        <v>69</v>
      </c>
      <c r="H126" t="str">
        <f t="shared" si="4"/>
        <v>05</v>
      </c>
      <c r="I126" t="str">
        <f t="shared" si="5"/>
        <v>C</v>
      </c>
      <c r="J126" t="s">
        <v>144</v>
      </c>
      <c r="K126" t="s">
        <v>65</v>
      </c>
      <c r="L126" t="s">
        <v>142</v>
      </c>
      <c r="M126" t="s">
        <v>37</v>
      </c>
      <c r="N126">
        <v>2</v>
      </c>
      <c r="O126">
        <v>2</v>
      </c>
      <c r="P126" t="s">
        <v>145</v>
      </c>
      <c r="Q126" t="s">
        <v>28</v>
      </c>
      <c r="R126" t="s">
        <v>28</v>
      </c>
      <c r="S126" t="s">
        <v>28</v>
      </c>
      <c r="T126" t="s">
        <v>28</v>
      </c>
      <c r="U126" t="s">
        <v>28</v>
      </c>
      <c r="V126" t="s">
        <v>28</v>
      </c>
      <c r="W126">
        <v>4</v>
      </c>
      <c r="X126" t="s">
        <v>146</v>
      </c>
    </row>
    <row r="127" spans="1:24" x14ac:dyDescent="0.2">
      <c r="A127" t="str">
        <f t="shared" si="3"/>
        <v>sample_miseq-16S-B-C06-L4_SICap-P5-C6-P5D2-BHI-C3R2-yesBile-rep2-day2</v>
      </c>
      <c r="B127" s="1" t="s">
        <v>299</v>
      </c>
      <c r="C127" s="3" t="s">
        <v>875</v>
      </c>
      <c r="D127" s="3" t="s">
        <v>1327</v>
      </c>
      <c r="E127" t="s">
        <v>20</v>
      </c>
      <c r="F127" t="s">
        <v>143</v>
      </c>
      <c r="G127" t="s">
        <v>70</v>
      </c>
      <c r="H127" t="str">
        <f t="shared" si="4"/>
        <v>06</v>
      </c>
      <c r="I127" t="str">
        <f t="shared" si="5"/>
        <v>C</v>
      </c>
      <c r="J127" t="s">
        <v>144</v>
      </c>
      <c r="K127" t="s">
        <v>65</v>
      </c>
      <c r="L127" t="s">
        <v>142</v>
      </c>
      <c r="M127" t="s">
        <v>39</v>
      </c>
      <c r="N127">
        <v>2</v>
      </c>
      <c r="O127">
        <v>2</v>
      </c>
      <c r="P127" t="s">
        <v>145</v>
      </c>
      <c r="Q127" t="s">
        <v>28</v>
      </c>
      <c r="R127" t="s">
        <v>28</v>
      </c>
      <c r="S127" t="s">
        <v>28</v>
      </c>
      <c r="T127" t="s">
        <v>28</v>
      </c>
      <c r="U127" t="s">
        <v>28</v>
      </c>
      <c r="V127" t="s">
        <v>28</v>
      </c>
      <c r="W127">
        <v>4</v>
      </c>
      <c r="X127" t="s">
        <v>146</v>
      </c>
    </row>
    <row r="128" spans="1:24" x14ac:dyDescent="0.2">
      <c r="A128" t="str">
        <f t="shared" si="3"/>
        <v>sample_miseq-16S-B-C07-L4_SICap-P5-C7-P5D2-BHI-C4R1-yesBile-rep2-day2</v>
      </c>
      <c r="B128" s="1" t="s">
        <v>300</v>
      </c>
      <c r="C128" s="3" t="s">
        <v>876</v>
      </c>
      <c r="D128" s="3" t="s">
        <v>1327</v>
      </c>
      <c r="E128" t="s">
        <v>20</v>
      </c>
      <c r="F128" t="s">
        <v>143</v>
      </c>
      <c r="G128" t="s">
        <v>71</v>
      </c>
      <c r="H128" t="str">
        <f t="shared" si="4"/>
        <v>07</v>
      </c>
      <c r="I128" t="str">
        <f t="shared" si="5"/>
        <v>C</v>
      </c>
      <c r="J128" t="s">
        <v>144</v>
      </c>
      <c r="K128" t="s">
        <v>65</v>
      </c>
      <c r="L128" t="s">
        <v>142</v>
      </c>
      <c r="M128" t="s">
        <v>41</v>
      </c>
      <c r="N128">
        <v>2</v>
      </c>
      <c r="O128">
        <v>2</v>
      </c>
      <c r="P128" t="s">
        <v>145</v>
      </c>
      <c r="Q128" t="s">
        <v>28</v>
      </c>
      <c r="R128" t="s">
        <v>28</v>
      </c>
      <c r="S128" t="s">
        <v>28</v>
      </c>
      <c r="T128" t="s">
        <v>28</v>
      </c>
      <c r="U128" t="s">
        <v>28</v>
      </c>
      <c r="V128" t="s">
        <v>28</v>
      </c>
      <c r="W128">
        <v>4</v>
      </c>
      <c r="X128" t="s">
        <v>146</v>
      </c>
    </row>
    <row r="129" spans="1:24" x14ac:dyDescent="0.2">
      <c r="A129" t="str">
        <f t="shared" si="3"/>
        <v>sample_miseq-16S-B-C08-L4_SICap-P5-C8-P5D2-BHI-C4R2-yesBile-rep2-day2</v>
      </c>
      <c r="B129" s="1" t="s">
        <v>301</v>
      </c>
      <c r="C129" s="3" t="s">
        <v>877</v>
      </c>
      <c r="D129" s="3" t="s">
        <v>1327</v>
      </c>
      <c r="E129" t="s">
        <v>20</v>
      </c>
      <c r="F129" t="s">
        <v>143</v>
      </c>
      <c r="G129" t="s">
        <v>72</v>
      </c>
      <c r="H129" t="str">
        <f t="shared" si="4"/>
        <v>08</v>
      </c>
      <c r="I129" t="str">
        <f t="shared" si="5"/>
        <v>C</v>
      </c>
      <c r="J129" t="s">
        <v>144</v>
      </c>
      <c r="K129" t="s">
        <v>65</v>
      </c>
      <c r="L129" t="s">
        <v>142</v>
      </c>
      <c r="M129" t="s">
        <v>43</v>
      </c>
      <c r="N129">
        <v>2</v>
      </c>
      <c r="O129">
        <v>2</v>
      </c>
      <c r="P129" t="s">
        <v>145</v>
      </c>
      <c r="Q129" t="s">
        <v>28</v>
      </c>
      <c r="R129" t="s">
        <v>28</v>
      </c>
      <c r="S129" t="s">
        <v>28</v>
      </c>
      <c r="T129" t="s">
        <v>28</v>
      </c>
      <c r="U129" t="s">
        <v>28</v>
      </c>
      <c r="V129" t="s">
        <v>28</v>
      </c>
      <c r="W129">
        <v>4</v>
      </c>
      <c r="X129" t="s">
        <v>146</v>
      </c>
    </row>
    <row r="130" spans="1:24" x14ac:dyDescent="0.2">
      <c r="A130" t="str">
        <f t="shared" si="3"/>
        <v>sample_miseq-16S-B-C09-L4_SICap-P5-C9-P5D2-BHI-S1R2-yesBile-rep2-day2</v>
      </c>
      <c r="B130" s="1" t="s">
        <v>302</v>
      </c>
      <c r="C130" s="3" t="s">
        <v>878</v>
      </c>
      <c r="D130" s="3" t="s">
        <v>1327</v>
      </c>
      <c r="E130" t="s">
        <v>20</v>
      </c>
      <c r="F130" t="s">
        <v>143</v>
      </c>
      <c r="G130" t="s">
        <v>73</v>
      </c>
      <c r="H130" t="str">
        <f t="shared" si="4"/>
        <v>09</v>
      </c>
      <c r="I130" t="str">
        <f t="shared" si="5"/>
        <v>C</v>
      </c>
      <c r="J130" t="s">
        <v>144</v>
      </c>
      <c r="K130" t="s">
        <v>65</v>
      </c>
      <c r="L130" t="s">
        <v>142</v>
      </c>
      <c r="M130" t="s">
        <v>45</v>
      </c>
      <c r="N130">
        <v>2</v>
      </c>
      <c r="O130">
        <v>2</v>
      </c>
      <c r="P130" t="s">
        <v>145</v>
      </c>
      <c r="Q130" t="s">
        <v>28</v>
      </c>
      <c r="R130" t="s">
        <v>28</v>
      </c>
      <c r="S130" t="s">
        <v>28</v>
      </c>
      <c r="T130" t="s">
        <v>28</v>
      </c>
      <c r="U130" t="s">
        <v>28</v>
      </c>
      <c r="V130" t="s">
        <v>28</v>
      </c>
      <c r="W130">
        <v>4</v>
      </c>
      <c r="X130" t="s">
        <v>146</v>
      </c>
    </row>
    <row r="131" spans="1:24" x14ac:dyDescent="0.2">
      <c r="A131" t="str">
        <f t="shared" ref="A131:A194" si="6">_xlfn.CONCAT("sample_miseq-",C131)</f>
        <v>sample_miseq-16S-B-C10-L4_SICap-P5-C10-P5D2-BHI-StoolPool-yesBile-rep2-day2</v>
      </c>
      <c r="B131" s="1" t="s">
        <v>303</v>
      </c>
      <c r="C131" s="3" t="s">
        <v>879</v>
      </c>
      <c r="D131" s="3" t="s">
        <v>1327</v>
      </c>
      <c r="E131" t="s">
        <v>20</v>
      </c>
      <c r="F131" t="s">
        <v>143</v>
      </c>
      <c r="G131" t="s">
        <v>74</v>
      </c>
      <c r="H131" t="str">
        <f t="shared" ref="H131:H194" si="7">RIGHT(G131,2)</f>
        <v>10</v>
      </c>
      <c r="I131" t="str">
        <f t="shared" ref="I131:I194" si="8">LEFT(G131)</f>
        <v>C</v>
      </c>
      <c r="J131" t="s">
        <v>144</v>
      </c>
      <c r="K131" t="s">
        <v>65</v>
      </c>
      <c r="L131" t="s">
        <v>142</v>
      </c>
      <c r="M131" t="s">
        <v>47</v>
      </c>
      <c r="N131">
        <v>2</v>
      </c>
      <c r="O131">
        <v>2</v>
      </c>
      <c r="P131" t="s">
        <v>145</v>
      </c>
      <c r="Q131" t="s">
        <v>28</v>
      </c>
      <c r="R131" t="s">
        <v>28</v>
      </c>
      <c r="S131" t="s">
        <v>28</v>
      </c>
      <c r="T131" t="s">
        <v>28</v>
      </c>
      <c r="U131" t="s">
        <v>28</v>
      </c>
      <c r="V131" t="s">
        <v>28</v>
      </c>
      <c r="W131">
        <v>4</v>
      </c>
      <c r="X131" t="s">
        <v>146</v>
      </c>
    </row>
    <row r="132" spans="1:24" x14ac:dyDescent="0.2">
      <c r="A132" t="str">
        <f t="shared" si="6"/>
        <v>sample_miseq-16S-B-C11-L4_SICap-P5-C11-P5D2-BHI-SIPool-yesBile-rep2-day2</v>
      </c>
      <c r="B132" s="1" t="s">
        <v>304</v>
      </c>
      <c r="C132" s="3" t="s">
        <v>880</v>
      </c>
      <c r="D132" s="3" t="s">
        <v>1327</v>
      </c>
      <c r="E132" t="s">
        <v>20</v>
      </c>
      <c r="F132" t="s">
        <v>143</v>
      </c>
      <c r="G132" t="s">
        <v>75</v>
      </c>
      <c r="H132" t="str">
        <f t="shared" si="7"/>
        <v>11</v>
      </c>
      <c r="I132" t="str">
        <f t="shared" si="8"/>
        <v>C</v>
      </c>
      <c r="J132" t="s">
        <v>144</v>
      </c>
      <c r="K132" t="s">
        <v>65</v>
      </c>
      <c r="L132" t="s">
        <v>142</v>
      </c>
      <c r="M132" t="s">
        <v>49</v>
      </c>
      <c r="N132">
        <v>2</v>
      </c>
      <c r="O132">
        <v>2</v>
      </c>
      <c r="P132" t="s">
        <v>145</v>
      </c>
      <c r="Q132" t="s">
        <v>28</v>
      </c>
      <c r="R132" t="s">
        <v>28</v>
      </c>
      <c r="S132" t="s">
        <v>28</v>
      </c>
      <c r="T132" t="s">
        <v>28</v>
      </c>
      <c r="U132" t="s">
        <v>28</v>
      </c>
      <c r="V132" t="s">
        <v>28</v>
      </c>
      <c r="W132">
        <v>4</v>
      </c>
      <c r="X132" t="s">
        <v>146</v>
      </c>
    </row>
    <row r="133" spans="1:24" x14ac:dyDescent="0.2">
      <c r="A133" t="str">
        <f t="shared" si="6"/>
        <v>sample_miseq-16S-B-C12-L4_SICap-P5-C12-P5D2-BHI-Media-yesBile-rep2-day2</v>
      </c>
      <c r="B133" s="1" t="s">
        <v>305</v>
      </c>
      <c r="C133" s="3" t="s">
        <v>881</v>
      </c>
      <c r="D133" s="3" t="s">
        <v>1327</v>
      </c>
      <c r="E133" t="s">
        <v>20</v>
      </c>
      <c r="F133" t="s">
        <v>143</v>
      </c>
      <c r="G133" t="s">
        <v>76</v>
      </c>
      <c r="H133" t="str">
        <f t="shared" si="7"/>
        <v>12</v>
      </c>
      <c r="I133" t="str">
        <f t="shared" si="8"/>
        <v>C</v>
      </c>
      <c r="J133" t="s">
        <v>144</v>
      </c>
      <c r="K133" t="s">
        <v>65</v>
      </c>
      <c r="L133" t="s">
        <v>142</v>
      </c>
      <c r="M133" t="s">
        <v>6</v>
      </c>
      <c r="N133">
        <v>2</v>
      </c>
      <c r="O133">
        <v>2</v>
      </c>
      <c r="P133" t="s">
        <v>145</v>
      </c>
      <c r="Q133" t="s">
        <v>28</v>
      </c>
      <c r="R133" t="s">
        <v>28</v>
      </c>
      <c r="S133" t="s">
        <v>28</v>
      </c>
      <c r="T133" t="s">
        <v>28</v>
      </c>
      <c r="U133" t="s">
        <v>28</v>
      </c>
      <c r="V133" t="s">
        <v>28</v>
      </c>
      <c r="W133">
        <v>4</v>
      </c>
      <c r="X133" t="s">
        <v>146</v>
      </c>
    </row>
    <row r="134" spans="1:24" x14ac:dyDescent="0.2">
      <c r="A134" t="str">
        <f t="shared" si="6"/>
        <v>sample_miseq-16S-B-D01-L4_SICap-P5-D1-P5D2-GAM-C1R1-yesBile-rep2-day2</v>
      </c>
      <c r="B134" s="1" t="s">
        <v>306</v>
      </c>
      <c r="C134" s="3" t="s">
        <v>882</v>
      </c>
      <c r="D134" s="3" t="s">
        <v>1327</v>
      </c>
      <c r="E134" t="s">
        <v>20</v>
      </c>
      <c r="F134" t="s">
        <v>143</v>
      </c>
      <c r="G134" t="s">
        <v>77</v>
      </c>
      <c r="H134" t="str">
        <f t="shared" si="7"/>
        <v>01</v>
      </c>
      <c r="I134" t="str">
        <f t="shared" si="8"/>
        <v>D</v>
      </c>
      <c r="J134" t="s">
        <v>144</v>
      </c>
      <c r="K134" t="s">
        <v>78</v>
      </c>
      <c r="L134" t="s">
        <v>142</v>
      </c>
      <c r="M134" t="s">
        <v>26</v>
      </c>
      <c r="N134">
        <v>2</v>
      </c>
      <c r="O134">
        <v>2</v>
      </c>
      <c r="P134" t="s">
        <v>145</v>
      </c>
      <c r="Q134" t="s">
        <v>28</v>
      </c>
      <c r="R134" t="s">
        <v>28</v>
      </c>
      <c r="S134" t="s">
        <v>28</v>
      </c>
      <c r="T134" t="s">
        <v>28</v>
      </c>
      <c r="U134" t="s">
        <v>28</v>
      </c>
      <c r="V134" t="s">
        <v>28</v>
      </c>
      <c r="W134">
        <v>4</v>
      </c>
      <c r="X134" t="s">
        <v>146</v>
      </c>
    </row>
    <row r="135" spans="1:24" x14ac:dyDescent="0.2">
      <c r="A135" t="str">
        <f t="shared" si="6"/>
        <v>sample_miseq-16S-B-D02-L4_SICap-P5-D2-P5D2-GAM-C1R2-yesBile-rep2-day2</v>
      </c>
      <c r="B135" s="1" t="s">
        <v>307</v>
      </c>
      <c r="C135" s="3" t="s">
        <v>883</v>
      </c>
      <c r="D135" s="3" t="s">
        <v>1327</v>
      </c>
      <c r="E135" t="s">
        <v>20</v>
      </c>
      <c r="F135" t="s">
        <v>143</v>
      </c>
      <c r="G135" t="s">
        <v>79</v>
      </c>
      <c r="H135" t="str">
        <f t="shared" si="7"/>
        <v>02</v>
      </c>
      <c r="I135" t="str">
        <f t="shared" si="8"/>
        <v>D</v>
      </c>
      <c r="J135" t="s">
        <v>144</v>
      </c>
      <c r="K135" t="s">
        <v>78</v>
      </c>
      <c r="L135" t="s">
        <v>142</v>
      </c>
      <c r="M135" t="s">
        <v>31</v>
      </c>
      <c r="N135">
        <v>2</v>
      </c>
      <c r="O135">
        <v>2</v>
      </c>
      <c r="P135" t="s">
        <v>145</v>
      </c>
      <c r="Q135" t="s">
        <v>28</v>
      </c>
      <c r="R135" t="s">
        <v>28</v>
      </c>
      <c r="S135" t="s">
        <v>28</v>
      </c>
      <c r="T135" t="s">
        <v>28</v>
      </c>
      <c r="U135" t="s">
        <v>28</v>
      </c>
      <c r="V135" t="s">
        <v>28</v>
      </c>
      <c r="W135">
        <v>4</v>
      </c>
      <c r="X135" t="s">
        <v>146</v>
      </c>
    </row>
    <row r="136" spans="1:24" x14ac:dyDescent="0.2">
      <c r="A136" t="str">
        <f t="shared" si="6"/>
        <v>sample_miseq-16S-B-D03-L4_SICap-P5-D3-P5D2-GAM-C2R1-yesBile-rep2-day2</v>
      </c>
      <c r="B136" s="1" t="s">
        <v>308</v>
      </c>
      <c r="C136" s="3" t="s">
        <v>884</v>
      </c>
      <c r="D136" s="3" t="s">
        <v>1327</v>
      </c>
      <c r="E136" t="s">
        <v>20</v>
      </c>
      <c r="F136" t="s">
        <v>143</v>
      </c>
      <c r="G136" t="s">
        <v>80</v>
      </c>
      <c r="H136" t="str">
        <f t="shared" si="7"/>
        <v>03</v>
      </c>
      <c r="I136" t="str">
        <f t="shared" si="8"/>
        <v>D</v>
      </c>
      <c r="J136" t="s">
        <v>144</v>
      </c>
      <c r="K136" t="s">
        <v>78</v>
      </c>
      <c r="L136" t="s">
        <v>142</v>
      </c>
      <c r="M136" t="s">
        <v>33</v>
      </c>
      <c r="N136">
        <v>2</v>
      </c>
      <c r="O136">
        <v>2</v>
      </c>
      <c r="P136" t="s">
        <v>145</v>
      </c>
      <c r="Q136" t="s">
        <v>28</v>
      </c>
      <c r="R136" t="s">
        <v>28</v>
      </c>
      <c r="S136" t="s">
        <v>28</v>
      </c>
      <c r="T136" t="s">
        <v>28</v>
      </c>
      <c r="U136" t="s">
        <v>28</v>
      </c>
      <c r="V136" t="s">
        <v>28</v>
      </c>
      <c r="W136">
        <v>4</v>
      </c>
      <c r="X136" t="s">
        <v>146</v>
      </c>
    </row>
    <row r="137" spans="1:24" x14ac:dyDescent="0.2">
      <c r="A137" t="str">
        <f t="shared" si="6"/>
        <v>sample_miseq-16S-B-D04-L4_SICap-P5-D4-P5D2-GAM-C2R2-yesBile-rep2-day2</v>
      </c>
      <c r="B137" s="1" t="s">
        <v>309</v>
      </c>
      <c r="C137" s="3" t="s">
        <v>885</v>
      </c>
      <c r="D137" s="3" t="s">
        <v>1327</v>
      </c>
      <c r="E137" t="s">
        <v>20</v>
      </c>
      <c r="F137" t="s">
        <v>143</v>
      </c>
      <c r="G137" t="s">
        <v>81</v>
      </c>
      <c r="H137" t="str">
        <f t="shared" si="7"/>
        <v>04</v>
      </c>
      <c r="I137" t="str">
        <f t="shared" si="8"/>
        <v>D</v>
      </c>
      <c r="J137" t="s">
        <v>144</v>
      </c>
      <c r="K137" t="s">
        <v>78</v>
      </c>
      <c r="L137" t="s">
        <v>142</v>
      </c>
      <c r="M137" t="s">
        <v>35</v>
      </c>
      <c r="N137">
        <v>2</v>
      </c>
      <c r="O137">
        <v>2</v>
      </c>
      <c r="P137" t="s">
        <v>145</v>
      </c>
      <c r="Q137" t="s">
        <v>28</v>
      </c>
      <c r="R137" t="s">
        <v>28</v>
      </c>
      <c r="S137" t="s">
        <v>28</v>
      </c>
      <c r="T137" t="s">
        <v>28</v>
      </c>
      <c r="U137" t="s">
        <v>28</v>
      </c>
      <c r="V137" t="s">
        <v>28</v>
      </c>
      <c r="W137">
        <v>4</v>
      </c>
      <c r="X137" t="s">
        <v>146</v>
      </c>
    </row>
    <row r="138" spans="1:24" x14ac:dyDescent="0.2">
      <c r="A138" t="str">
        <f t="shared" si="6"/>
        <v>sample_miseq-16S-B-D05-L4_SICap-P5-D5-P5D2-GAM-C3R1-yesBile-rep2-day2</v>
      </c>
      <c r="B138" s="1" t="s">
        <v>310</v>
      </c>
      <c r="C138" s="3" t="s">
        <v>886</v>
      </c>
      <c r="D138" s="3" t="s">
        <v>1327</v>
      </c>
      <c r="E138" t="s">
        <v>20</v>
      </c>
      <c r="F138" t="s">
        <v>143</v>
      </c>
      <c r="G138" t="s">
        <v>82</v>
      </c>
      <c r="H138" t="str">
        <f t="shared" si="7"/>
        <v>05</v>
      </c>
      <c r="I138" t="str">
        <f t="shared" si="8"/>
        <v>D</v>
      </c>
      <c r="J138" t="s">
        <v>144</v>
      </c>
      <c r="K138" t="s">
        <v>78</v>
      </c>
      <c r="L138" t="s">
        <v>142</v>
      </c>
      <c r="M138" t="s">
        <v>37</v>
      </c>
      <c r="N138">
        <v>2</v>
      </c>
      <c r="O138">
        <v>2</v>
      </c>
      <c r="P138" t="s">
        <v>145</v>
      </c>
      <c r="Q138" t="s">
        <v>28</v>
      </c>
      <c r="R138" t="s">
        <v>28</v>
      </c>
      <c r="S138" t="s">
        <v>28</v>
      </c>
      <c r="T138" t="s">
        <v>28</v>
      </c>
      <c r="U138" t="s">
        <v>28</v>
      </c>
      <c r="V138" t="s">
        <v>28</v>
      </c>
      <c r="W138">
        <v>4</v>
      </c>
      <c r="X138" t="s">
        <v>146</v>
      </c>
    </row>
    <row r="139" spans="1:24" x14ac:dyDescent="0.2">
      <c r="A139" t="str">
        <f t="shared" si="6"/>
        <v>sample_miseq-16S-B-D06-L4_SICap-P5-D6-P5D2-GAM-C3R2-yesBile-rep2-day2</v>
      </c>
      <c r="B139" s="1" t="s">
        <v>311</v>
      </c>
      <c r="C139" s="3" t="s">
        <v>887</v>
      </c>
      <c r="D139" s="3" t="s">
        <v>1327</v>
      </c>
      <c r="E139" t="s">
        <v>20</v>
      </c>
      <c r="F139" t="s">
        <v>143</v>
      </c>
      <c r="G139" t="s">
        <v>83</v>
      </c>
      <c r="H139" t="str">
        <f t="shared" si="7"/>
        <v>06</v>
      </c>
      <c r="I139" t="str">
        <f t="shared" si="8"/>
        <v>D</v>
      </c>
      <c r="J139" t="s">
        <v>144</v>
      </c>
      <c r="K139" t="s">
        <v>78</v>
      </c>
      <c r="L139" t="s">
        <v>142</v>
      </c>
      <c r="M139" t="s">
        <v>39</v>
      </c>
      <c r="N139">
        <v>2</v>
      </c>
      <c r="O139">
        <v>2</v>
      </c>
      <c r="P139" t="s">
        <v>145</v>
      </c>
      <c r="Q139" t="s">
        <v>28</v>
      </c>
      <c r="R139" t="s">
        <v>28</v>
      </c>
      <c r="S139" t="s">
        <v>28</v>
      </c>
      <c r="T139" t="s">
        <v>28</v>
      </c>
      <c r="U139" t="s">
        <v>28</v>
      </c>
      <c r="V139" t="s">
        <v>28</v>
      </c>
      <c r="W139">
        <v>4</v>
      </c>
      <c r="X139" t="s">
        <v>146</v>
      </c>
    </row>
    <row r="140" spans="1:24" x14ac:dyDescent="0.2">
      <c r="A140" t="str">
        <f t="shared" si="6"/>
        <v>sample_miseq-16S-B-D07-L4_SICap-P5-D7-P5D2-GAM-C4R1-yesBile-rep2-day2</v>
      </c>
      <c r="B140" s="1" t="s">
        <v>312</v>
      </c>
      <c r="C140" s="3" t="s">
        <v>888</v>
      </c>
      <c r="D140" s="3" t="s">
        <v>1327</v>
      </c>
      <c r="E140" t="s">
        <v>20</v>
      </c>
      <c r="F140" t="s">
        <v>143</v>
      </c>
      <c r="G140" t="s">
        <v>84</v>
      </c>
      <c r="H140" t="str">
        <f t="shared" si="7"/>
        <v>07</v>
      </c>
      <c r="I140" t="str">
        <f t="shared" si="8"/>
        <v>D</v>
      </c>
      <c r="J140" t="s">
        <v>144</v>
      </c>
      <c r="K140" t="s">
        <v>78</v>
      </c>
      <c r="L140" t="s">
        <v>142</v>
      </c>
      <c r="M140" t="s">
        <v>41</v>
      </c>
      <c r="N140">
        <v>2</v>
      </c>
      <c r="O140">
        <v>2</v>
      </c>
      <c r="P140" t="s">
        <v>145</v>
      </c>
      <c r="Q140" t="s">
        <v>28</v>
      </c>
      <c r="R140" t="s">
        <v>28</v>
      </c>
      <c r="S140" t="s">
        <v>28</v>
      </c>
      <c r="T140" t="s">
        <v>28</v>
      </c>
      <c r="U140" t="s">
        <v>28</v>
      </c>
      <c r="V140" t="s">
        <v>28</v>
      </c>
      <c r="W140">
        <v>4</v>
      </c>
      <c r="X140" t="s">
        <v>146</v>
      </c>
    </row>
    <row r="141" spans="1:24" x14ac:dyDescent="0.2">
      <c r="A141" t="str">
        <f t="shared" si="6"/>
        <v>sample_miseq-16S-B-D08-L4_SICap-P5-D8-P5D2-GAM-C4R2-yesBile-rep2-day2</v>
      </c>
      <c r="B141" s="1" t="s">
        <v>313</v>
      </c>
      <c r="C141" s="3" t="s">
        <v>889</v>
      </c>
      <c r="D141" s="3" t="s">
        <v>1327</v>
      </c>
      <c r="E141" t="s">
        <v>20</v>
      </c>
      <c r="F141" t="s">
        <v>143</v>
      </c>
      <c r="G141" t="s">
        <v>85</v>
      </c>
      <c r="H141" t="str">
        <f t="shared" si="7"/>
        <v>08</v>
      </c>
      <c r="I141" t="str">
        <f t="shared" si="8"/>
        <v>D</v>
      </c>
      <c r="J141" t="s">
        <v>144</v>
      </c>
      <c r="K141" t="s">
        <v>78</v>
      </c>
      <c r="L141" t="s">
        <v>142</v>
      </c>
      <c r="M141" t="s">
        <v>43</v>
      </c>
      <c r="N141">
        <v>2</v>
      </c>
      <c r="O141">
        <v>2</v>
      </c>
      <c r="P141" t="s">
        <v>145</v>
      </c>
      <c r="Q141" t="s">
        <v>28</v>
      </c>
      <c r="R141" t="s">
        <v>28</v>
      </c>
      <c r="S141" t="s">
        <v>28</v>
      </c>
      <c r="T141" t="s">
        <v>28</v>
      </c>
      <c r="U141" t="s">
        <v>28</v>
      </c>
      <c r="V141" t="s">
        <v>28</v>
      </c>
      <c r="W141">
        <v>4</v>
      </c>
      <c r="X141" t="s">
        <v>146</v>
      </c>
    </row>
    <row r="142" spans="1:24" x14ac:dyDescent="0.2">
      <c r="A142" t="str">
        <f t="shared" si="6"/>
        <v>sample_miseq-16S-B-D09-L4_SICap-P5-D9-P5D2-GAM-S1R2-yesBile-rep2-day2</v>
      </c>
      <c r="B142" s="1" t="s">
        <v>314</v>
      </c>
      <c r="C142" s="3" t="s">
        <v>890</v>
      </c>
      <c r="D142" s="3" t="s">
        <v>1327</v>
      </c>
      <c r="E142" t="s">
        <v>20</v>
      </c>
      <c r="F142" t="s">
        <v>143</v>
      </c>
      <c r="G142" t="s">
        <v>86</v>
      </c>
      <c r="H142" t="str">
        <f t="shared" si="7"/>
        <v>09</v>
      </c>
      <c r="I142" t="str">
        <f t="shared" si="8"/>
        <v>D</v>
      </c>
      <c r="J142" t="s">
        <v>144</v>
      </c>
      <c r="K142" t="s">
        <v>78</v>
      </c>
      <c r="L142" t="s">
        <v>142</v>
      </c>
      <c r="M142" t="s">
        <v>45</v>
      </c>
      <c r="N142">
        <v>2</v>
      </c>
      <c r="O142">
        <v>2</v>
      </c>
      <c r="P142" t="s">
        <v>145</v>
      </c>
      <c r="Q142" t="s">
        <v>28</v>
      </c>
      <c r="R142" t="s">
        <v>28</v>
      </c>
      <c r="S142" t="s">
        <v>28</v>
      </c>
      <c r="T142" t="s">
        <v>28</v>
      </c>
      <c r="U142" t="s">
        <v>28</v>
      </c>
      <c r="V142" t="s">
        <v>28</v>
      </c>
      <c r="W142">
        <v>4</v>
      </c>
      <c r="X142" t="s">
        <v>146</v>
      </c>
    </row>
    <row r="143" spans="1:24" x14ac:dyDescent="0.2">
      <c r="A143" t="str">
        <f t="shared" si="6"/>
        <v>sample_miseq-16S-B-D10-L4_SICap-P5-D10-P5D2-GAM-StoolPool-yesBile-rep2-day2</v>
      </c>
      <c r="B143" s="1" t="s">
        <v>315</v>
      </c>
      <c r="C143" s="3" t="s">
        <v>891</v>
      </c>
      <c r="D143" s="3" t="s">
        <v>1327</v>
      </c>
      <c r="E143" t="s">
        <v>20</v>
      </c>
      <c r="F143" t="s">
        <v>143</v>
      </c>
      <c r="G143" t="s">
        <v>87</v>
      </c>
      <c r="H143" t="str">
        <f t="shared" si="7"/>
        <v>10</v>
      </c>
      <c r="I143" t="str">
        <f t="shared" si="8"/>
        <v>D</v>
      </c>
      <c r="J143" t="s">
        <v>144</v>
      </c>
      <c r="K143" t="s">
        <v>78</v>
      </c>
      <c r="L143" t="s">
        <v>142</v>
      </c>
      <c r="M143" t="s">
        <v>47</v>
      </c>
      <c r="N143">
        <v>2</v>
      </c>
      <c r="O143">
        <v>2</v>
      </c>
      <c r="P143" t="s">
        <v>145</v>
      </c>
      <c r="Q143" t="s">
        <v>28</v>
      </c>
      <c r="R143" t="s">
        <v>28</v>
      </c>
      <c r="S143" t="s">
        <v>28</v>
      </c>
      <c r="T143" t="s">
        <v>28</v>
      </c>
      <c r="U143" t="s">
        <v>28</v>
      </c>
      <c r="V143" t="s">
        <v>28</v>
      </c>
      <c r="W143">
        <v>4</v>
      </c>
      <c r="X143" t="s">
        <v>146</v>
      </c>
    </row>
    <row r="144" spans="1:24" x14ac:dyDescent="0.2">
      <c r="A144" t="str">
        <f t="shared" si="6"/>
        <v>sample_miseq-16S-B-D11-L4_SICap-P5-D11-P5D2-GAM-SIPool-yesBile-rep2-day2</v>
      </c>
      <c r="B144" s="1" t="s">
        <v>316</v>
      </c>
      <c r="C144" s="3" t="s">
        <v>892</v>
      </c>
      <c r="D144" s="3" t="s">
        <v>1327</v>
      </c>
      <c r="E144" t="s">
        <v>20</v>
      </c>
      <c r="F144" t="s">
        <v>143</v>
      </c>
      <c r="G144" t="s">
        <v>88</v>
      </c>
      <c r="H144" t="str">
        <f t="shared" si="7"/>
        <v>11</v>
      </c>
      <c r="I144" t="str">
        <f t="shared" si="8"/>
        <v>D</v>
      </c>
      <c r="J144" t="s">
        <v>144</v>
      </c>
      <c r="K144" t="s">
        <v>78</v>
      </c>
      <c r="L144" t="s">
        <v>142</v>
      </c>
      <c r="M144" t="s">
        <v>49</v>
      </c>
      <c r="N144">
        <v>2</v>
      </c>
      <c r="O144">
        <v>2</v>
      </c>
      <c r="P144" t="s">
        <v>145</v>
      </c>
      <c r="Q144" t="s">
        <v>28</v>
      </c>
      <c r="R144" t="s">
        <v>28</v>
      </c>
      <c r="S144" t="s">
        <v>28</v>
      </c>
      <c r="T144" t="s">
        <v>28</v>
      </c>
      <c r="U144" t="s">
        <v>28</v>
      </c>
      <c r="V144" t="s">
        <v>28</v>
      </c>
      <c r="W144">
        <v>4</v>
      </c>
      <c r="X144" t="s">
        <v>146</v>
      </c>
    </row>
    <row r="145" spans="1:24" x14ac:dyDescent="0.2">
      <c r="A145" t="str">
        <f t="shared" si="6"/>
        <v>sample_miseq-16S-B-D12-L4_SICap-P5-D12-P5D2-GAM-Media-yesBile-rep2-day2</v>
      </c>
      <c r="B145" s="1" t="s">
        <v>317</v>
      </c>
      <c r="C145" s="3" t="s">
        <v>893</v>
      </c>
      <c r="D145" s="3" t="s">
        <v>1327</v>
      </c>
      <c r="E145" t="s">
        <v>20</v>
      </c>
      <c r="F145" t="s">
        <v>143</v>
      </c>
      <c r="G145" t="s">
        <v>89</v>
      </c>
      <c r="H145" t="str">
        <f t="shared" si="7"/>
        <v>12</v>
      </c>
      <c r="I145" t="str">
        <f t="shared" si="8"/>
        <v>D</v>
      </c>
      <c r="J145" t="s">
        <v>144</v>
      </c>
      <c r="K145" t="s">
        <v>78</v>
      </c>
      <c r="L145" t="s">
        <v>142</v>
      </c>
      <c r="M145" t="s">
        <v>6</v>
      </c>
      <c r="N145">
        <v>2</v>
      </c>
      <c r="O145">
        <v>2</v>
      </c>
      <c r="P145" t="s">
        <v>145</v>
      </c>
      <c r="Q145" t="s">
        <v>28</v>
      </c>
      <c r="R145" t="s">
        <v>28</v>
      </c>
      <c r="S145" t="s">
        <v>28</v>
      </c>
      <c r="T145" t="s">
        <v>28</v>
      </c>
      <c r="U145" t="s">
        <v>28</v>
      </c>
      <c r="V145" t="s">
        <v>28</v>
      </c>
      <c r="W145">
        <v>4</v>
      </c>
      <c r="X145" t="s">
        <v>146</v>
      </c>
    </row>
    <row r="146" spans="1:24" x14ac:dyDescent="0.2">
      <c r="A146" t="str">
        <f t="shared" si="6"/>
        <v>sample_miseq-16S-B-E01-L4_SICap-P5-E1-P5D2-BB-C1R1-yesBile-rep2-day2</v>
      </c>
      <c r="B146" s="1" t="s">
        <v>318</v>
      </c>
      <c r="C146" s="3" t="s">
        <v>894</v>
      </c>
      <c r="D146" s="3" t="s">
        <v>1327</v>
      </c>
      <c r="E146" t="s">
        <v>20</v>
      </c>
      <c r="F146" t="s">
        <v>143</v>
      </c>
      <c r="G146" t="s">
        <v>90</v>
      </c>
      <c r="H146" t="str">
        <f t="shared" si="7"/>
        <v>01</v>
      </c>
      <c r="I146" t="str">
        <f t="shared" si="8"/>
        <v>E</v>
      </c>
      <c r="J146" t="s">
        <v>144</v>
      </c>
      <c r="K146" t="s">
        <v>91</v>
      </c>
      <c r="L146" t="s">
        <v>142</v>
      </c>
      <c r="M146" t="s">
        <v>26</v>
      </c>
      <c r="N146">
        <v>2</v>
      </c>
      <c r="O146">
        <v>2</v>
      </c>
      <c r="P146" t="s">
        <v>145</v>
      </c>
      <c r="Q146" t="s">
        <v>28</v>
      </c>
      <c r="R146" t="s">
        <v>28</v>
      </c>
      <c r="S146" t="s">
        <v>28</v>
      </c>
      <c r="T146" t="s">
        <v>28</v>
      </c>
      <c r="U146" t="s">
        <v>28</v>
      </c>
      <c r="V146" t="s">
        <v>28</v>
      </c>
      <c r="W146">
        <v>4</v>
      </c>
      <c r="X146" t="s">
        <v>146</v>
      </c>
    </row>
    <row r="147" spans="1:24" x14ac:dyDescent="0.2">
      <c r="A147" t="str">
        <f t="shared" si="6"/>
        <v>sample_miseq-16S-B-E02-L4_SICap-P5-E2-P5D2-BB-C1R2-yesBile-rep2-day2</v>
      </c>
      <c r="B147" s="1" t="s">
        <v>319</v>
      </c>
      <c r="C147" s="3" t="s">
        <v>895</v>
      </c>
      <c r="D147" s="3" t="s">
        <v>1327</v>
      </c>
      <c r="E147" t="s">
        <v>20</v>
      </c>
      <c r="F147" t="s">
        <v>143</v>
      </c>
      <c r="G147" t="s">
        <v>92</v>
      </c>
      <c r="H147" t="str">
        <f t="shared" si="7"/>
        <v>02</v>
      </c>
      <c r="I147" t="str">
        <f t="shared" si="8"/>
        <v>E</v>
      </c>
      <c r="J147" t="s">
        <v>144</v>
      </c>
      <c r="K147" t="s">
        <v>91</v>
      </c>
      <c r="L147" t="s">
        <v>142</v>
      </c>
      <c r="M147" t="s">
        <v>31</v>
      </c>
      <c r="N147">
        <v>2</v>
      </c>
      <c r="O147">
        <v>2</v>
      </c>
      <c r="P147" t="s">
        <v>145</v>
      </c>
      <c r="Q147" t="s">
        <v>28</v>
      </c>
      <c r="R147" t="s">
        <v>28</v>
      </c>
      <c r="S147" t="s">
        <v>28</v>
      </c>
      <c r="T147" t="s">
        <v>28</v>
      </c>
      <c r="U147" t="s">
        <v>28</v>
      </c>
      <c r="V147" t="s">
        <v>28</v>
      </c>
      <c r="W147">
        <v>4</v>
      </c>
      <c r="X147" t="s">
        <v>146</v>
      </c>
    </row>
    <row r="148" spans="1:24" x14ac:dyDescent="0.2">
      <c r="A148" t="str">
        <f t="shared" si="6"/>
        <v>sample_miseq-16S-B-E03-L4_SICap-P5-E3-P5D2-BB-C2R1-yesBile-rep2-day2</v>
      </c>
      <c r="B148" s="1" t="s">
        <v>320</v>
      </c>
      <c r="C148" s="3" t="s">
        <v>896</v>
      </c>
      <c r="D148" s="3" t="s">
        <v>1327</v>
      </c>
      <c r="E148" t="s">
        <v>20</v>
      </c>
      <c r="F148" t="s">
        <v>143</v>
      </c>
      <c r="G148" t="s">
        <v>93</v>
      </c>
      <c r="H148" t="str">
        <f t="shared" si="7"/>
        <v>03</v>
      </c>
      <c r="I148" t="str">
        <f t="shared" si="8"/>
        <v>E</v>
      </c>
      <c r="J148" t="s">
        <v>144</v>
      </c>
      <c r="K148" t="s">
        <v>91</v>
      </c>
      <c r="L148" t="s">
        <v>142</v>
      </c>
      <c r="M148" t="s">
        <v>33</v>
      </c>
      <c r="N148">
        <v>2</v>
      </c>
      <c r="O148">
        <v>2</v>
      </c>
      <c r="P148" t="s">
        <v>145</v>
      </c>
      <c r="Q148" t="s">
        <v>28</v>
      </c>
      <c r="R148" t="s">
        <v>28</v>
      </c>
      <c r="S148" t="s">
        <v>28</v>
      </c>
      <c r="T148" t="s">
        <v>28</v>
      </c>
      <c r="U148" t="s">
        <v>28</v>
      </c>
      <c r="V148" t="s">
        <v>28</v>
      </c>
      <c r="W148">
        <v>4</v>
      </c>
      <c r="X148" t="s">
        <v>146</v>
      </c>
    </row>
    <row r="149" spans="1:24" x14ac:dyDescent="0.2">
      <c r="A149" t="str">
        <f t="shared" si="6"/>
        <v>sample_miseq-16S-B-E04-L4_SICap-P5-E4-P5D2-BB-C2R2-yesBile-rep2-day2</v>
      </c>
      <c r="B149" s="1" t="s">
        <v>321</v>
      </c>
      <c r="C149" s="3" t="s">
        <v>897</v>
      </c>
      <c r="D149" s="3" t="s">
        <v>1327</v>
      </c>
      <c r="E149" t="s">
        <v>20</v>
      </c>
      <c r="F149" t="s">
        <v>143</v>
      </c>
      <c r="G149" t="s">
        <v>94</v>
      </c>
      <c r="H149" t="str">
        <f t="shared" si="7"/>
        <v>04</v>
      </c>
      <c r="I149" t="str">
        <f t="shared" si="8"/>
        <v>E</v>
      </c>
      <c r="J149" t="s">
        <v>144</v>
      </c>
      <c r="K149" t="s">
        <v>91</v>
      </c>
      <c r="L149" t="s">
        <v>142</v>
      </c>
      <c r="M149" t="s">
        <v>35</v>
      </c>
      <c r="N149">
        <v>2</v>
      </c>
      <c r="O149">
        <v>2</v>
      </c>
      <c r="P149" t="s">
        <v>145</v>
      </c>
      <c r="Q149" t="s">
        <v>28</v>
      </c>
      <c r="R149" t="s">
        <v>28</v>
      </c>
      <c r="S149" t="s">
        <v>28</v>
      </c>
      <c r="T149" t="s">
        <v>28</v>
      </c>
      <c r="U149" t="s">
        <v>28</v>
      </c>
      <c r="V149" t="s">
        <v>28</v>
      </c>
      <c r="W149">
        <v>4</v>
      </c>
      <c r="X149" t="s">
        <v>146</v>
      </c>
    </row>
    <row r="150" spans="1:24" x14ac:dyDescent="0.2">
      <c r="A150" t="str">
        <f t="shared" si="6"/>
        <v>sample_miseq-16S-B-E05-L4_SICap-P5-E5-P5D2-BB-C3R1-yesBile-rep2-day2</v>
      </c>
      <c r="B150" s="1" t="s">
        <v>322</v>
      </c>
      <c r="C150" s="3" t="s">
        <v>898</v>
      </c>
      <c r="D150" s="3" t="s">
        <v>1327</v>
      </c>
      <c r="E150" t="s">
        <v>20</v>
      </c>
      <c r="F150" t="s">
        <v>143</v>
      </c>
      <c r="G150" t="s">
        <v>95</v>
      </c>
      <c r="H150" t="str">
        <f t="shared" si="7"/>
        <v>05</v>
      </c>
      <c r="I150" t="str">
        <f t="shared" si="8"/>
        <v>E</v>
      </c>
      <c r="J150" t="s">
        <v>144</v>
      </c>
      <c r="K150" t="s">
        <v>91</v>
      </c>
      <c r="L150" t="s">
        <v>142</v>
      </c>
      <c r="M150" t="s">
        <v>37</v>
      </c>
      <c r="N150">
        <v>2</v>
      </c>
      <c r="O150">
        <v>2</v>
      </c>
      <c r="P150" t="s">
        <v>145</v>
      </c>
      <c r="Q150" t="s">
        <v>28</v>
      </c>
      <c r="R150" t="s">
        <v>28</v>
      </c>
      <c r="S150" t="s">
        <v>28</v>
      </c>
      <c r="T150" t="s">
        <v>28</v>
      </c>
      <c r="U150" t="s">
        <v>28</v>
      </c>
      <c r="V150" t="s">
        <v>28</v>
      </c>
      <c r="W150">
        <v>4</v>
      </c>
      <c r="X150" t="s">
        <v>146</v>
      </c>
    </row>
    <row r="151" spans="1:24" x14ac:dyDescent="0.2">
      <c r="A151" t="str">
        <f t="shared" si="6"/>
        <v>sample_miseq-16S-B-E06-L4_SICap-P5-E6-P5D2-BB-C3R2-yesBile-rep2-day2</v>
      </c>
      <c r="B151" s="1" t="s">
        <v>323</v>
      </c>
      <c r="C151" s="3" t="s">
        <v>899</v>
      </c>
      <c r="D151" s="3" t="s">
        <v>1327</v>
      </c>
      <c r="E151" t="s">
        <v>20</v>
      </c>
      <c r="F151" t="s">
        <v>143</v>
      </c>
      <c r="G151" t="s">
        <v>96</v>
      </c>
      <c r="H151" t="str">
        <f t="shared" si="7"/>
        <v>06</v>
      </c>
      <c r="I151" t="str">
        <f t="shared" si="8"/>
        <v>E</v>
      </c>
      <c r="J151" t="s">
        <v>144</v>
      </c>
      <c r="K151" t="s">
        <v>91</v>
      </c>
      <c r="L151" t="s">
        <v>142</v>
      </c>
      <c r="M151" t="s">
        <v>39</v>
      </c>
      <c r="N151">
        <v>2</v>
      </c>
      <c r="O151">
        <v>2</v>
      </c>
      <c r="P151" t="s">
        <v>145</v>
      </c>
      <c r="Q151" t="s">
        <v>28</v>
      </c>
      <c r="R151" t="s">
        <v>28</v>
      </c>
      <c r="S151" t="s">
        <v>28</v>
      </c>
      <c r="T151" t="s">
        <v>28</v>
      </c>
      <c r="U151" t="s">
        <v>28</v>
      </c>
      <c r="V151" t="s">
        <v>28</v>
      </c>
      <c r="W151">
        <v>4</v>
      </c>
      <c r="X151" t="s">
        <v>146</v>
      </c>
    </row>
    <row r="152" spans="1:24" x14ac:dyDescent="0.2">
      <c r="A152" t="str">
        <f t="shared" si="6"/>
        <v>sample_miseq-16S-B-E07-L4_SICap-P5-E7-P5D2-BB-C4R1-yesBile-rep2-day2</v>
      </c>
      <c r="B152" s="1" t="s">
        <v>324</v>
      </c>
      <c r="C152" s="3" t="s">
        <v>900</v>
      </c>
      <c r="D152" s="3" t="s">
        <v>1327</v>
      </c>
      <c r="E152" t="s">
        <v>20</v>
      </c>
      <c r="F152" t="s">
        <v>143</v>
      </c>
      <c r="G152" t="s">
        <v>97</v>
      </c>
      <c r="H152" t="str">
        <f t="shared" si="7"/>
        <v>07</v>
      </c>
      <c r="I152" t="str">
        <f t="shared" si="8"/>
        <v>E</v>
      </c>
      <c r="J152" t="s">
        <v>144</v>
      </c>
      <c r="K152" t="s">
        <v>91</v>
      </c>
      <c r="L152" t="s">
        <v>142</v>
      </c>
      <c r="M152" t="s">
        <v>41</v>
      </c>
      <c r="N152">
        <v>2</v>
      </c>
      <c r="O152">
        <v>2</v>
      </c>
      <c r="P152" t="s">
        <v>145</v>
      </c>
      <c r="Q152" t="s">
        <v>28</v>
      </c>
      <c r="R152" t="s">
        <v>28</v>
      </c>
      <c r="S152" t="s">
        <v>28</v>
      </c>
      <c r="T152" t="s">
        <v>28</v>
      </c>
      <c r="U152" t="s">
        <v>28</v>
      </c>
      <c r="V152" t="s">
        <v>28</v>
      </c>
      <c r="W152">
        <v>4</v>
      </c>
      <c r="X152" t="s">
        <v>146</v>
      </c>
    </row>
    <row r="153" spans="1:24" x14ac:dyDescent="0.2">
      <c r="A153" t="str">
        <f t="shared" si="6"/>
        <v>sample_miseq-16S-B-E08-L4_SICap-P5-E8-P5D2-BB-C4R2-yesBile-rep2-day2</v>
      </c>
      <c r="B153" s="1" t="s">
        <v>325</v>
      </c>
      <c r="C153" s="3" t="s">
        <v>901</v>
      </c>
      <c r="D153" s="3" t="s">
        <v>1327</v>
      </c>
      <c r="E153" t="s">
        <v>20</v>
      </c>
      <c r="F153" t="s">
        <v>143</v>
      </c>
      <c r="G153" t="s">
        <v>98</v>
      </c>
      <c r="H153" t="str">
        <f t="shared" si="7"/>
        <v>08</v>
      </c>
      <c r="I153" t="str">
        <f t="shared" si="8"/>
        <v>E</v>
      </c>
      <c r="J153" t="s">
        <v>144</v>
      </c>
      <c r="K153" t="s">
        <v>91</v>
      </c>
      <c r="L153" t="s">
        <v>142</v>
      </c>
      <c r="M153" t="s">
        <v>43</v>
      </c>
      <c r="N153">
        <v>2</v>
      </c>
      <c r="O153">
        <v>2</v>
      </c>
      <c r="P153" t="s">
        <v>145</v>
      </c>
      <c r="Q153" t="s">
        <v>28</v>
      </c>
      <c r="R153" t="s">
        <v>28</v>
      </c>
      <c r="S153" t="s">
        <v>28</v>
      </c>
      <c r="T153" t="s">
        <v>28</v>
      </c>
      <c r="U153" t="s">
        <v>28</v>
      </c>
      <c r="V153" t="s">
        <v>28</v>
      </c>
      <c r="W153">
        <v>4</v>
      </c>
      <c r="X153" t="s">
        <v>146</v>
      </c>
    </row>
    <row r="154" spans="1:24" x14ac:dyDescent="0.2">
      <c r="A154" t="str">
        <f t="shared" si="6"/>
        <v>sample_miseq-16S-B-E09-L4_SICap-P5-E9-P5D2-BB-S1R2-yesBile-rep2-day2</v>
      </c>
      <c r="B154" s="1" t="s">
        <v>326</v>
      </c>
      <c r="C154" s="3" t="s">
        <v>902</v>
      </c>
      <c r="D154" s="3" t="s">
        <v>1327</v>
      </c>
      <c r="E154" t="s">
        <v>20</v>
      </c>
      <c r="F154" t="s">
        <v>143</v>
      </c>
      <c r="G154" t="s">
        <v>99</v>
      </c>
      <c r="H154" t="str">
        <f t="shared" si="7"/>
        <v>09</v>
      </c>
      <c r="I154" t="str">
        <f t="shared" si="8"/>
        <v>E</v>
      </c>
      <c r="J154" t="s">
        <v>144</v>
      </c>
      <c r="K154" t="s">
        <v>91</v>
      </c>
      <c r="L154" t="s">
        <v>142</v>
      </c>
      <c r="M154" t="s">
        <v>45</v>
      </c>
      <c r="N154">
        <v>2</v>
      </c>
      <c r="O154">
        <v>2</v>
      </c>
      <c r="P154" t="s">
        <v>145</v>
      </c>
      <c r="Q154" t="s">
        <v>28</v>
      </c>
      <c r="R154" t="s">
        <v>28</v>
      </c>
      <c r="S154" t="s">
        <v>28</v>
      </c>
      <c r="T154" t="s">
        <v>28</v>
      </c>
      <c r="U154" t="s">
        <v>28</v>
      </c>
      <c r="V154" t="s">
        <v>28</v>
      </c>
      <c r="W154">
        <v>4</v>
      </c>
      <c r="X154" t="s">
        <v>146</v>
      </c>
    </row>
    <row r="155" spans="1:24" x14ac:dyDescent="0.2">
      <c r="A155" t="str">
        <f t="shared" si="6"/>
        <v>sample_miseq-16S-B-E10-L4_SICap-P5-E10-P5D2-BB-StoolPool-yesBile-rep2-day2</v>
      </c>
      <c r="B155" s="1" t="s">
        <v>327</v>
      </c>
      <c r="C155" s="3" t="s">
        <v>903</v>
      </c>
      <c r="D155" s="3" t="s">
        <v>1327</v>
      </c>
      <c r="E155" t="s">
        <v>20</v>
      </c>
      <c r="F155" t="s">
        <v>143</v>
      </c>
      <c r="G155" t="s">
        <v>100</v>
      </c>
      <c r="H155" t="str">
        <f t="shared" si="7"/>
        <v>10</v>
      </c>
      <c r="I155" t="str">
        <f t="shared" si="8"/>
        <v>E</v>
      </c>
      <c r="J155" t="s">
        <v>144</v>
      </c>
      <c r="K155" t="s">
        <v>91</v>
      </c>
      <c r="L155" t="s">
        <v>142</v>
      </c>
      <c r="M155" t="s">
        <v>47</v>
      </c>
      <c r="N155">
        <v>2</v>
      </c>
      <c r="O155">
        <v>2</v>
      </c>
      <c r="P155" t="s">
        <v>145</v>
      </c>
      <c r="Q155" t="s">
        <v>28</v>
      </c>
      <c r="R155" t="s">
        <v>28</v>
      </c>
      <c r="S155" t="s">
        <v>28</v>
      </c>
      <c r="T155" t="s">
        <v>28</v>
      </c>
      <c r="U155" t="s">
        <v>28</v>
      </c>
      <c r="V155" t="s">
        <v>28</v>
      </c>
      <c r="W155">
        <v>4</v>
      </c>
      <c r="X155" t="s">
        <v>146</v>
      </c>
    </row>
    <row r="156" spans="1:24" x14ac:dyDescent="0.2">
      <c r="A156" t="str">
        <f t="shared" si="6"/>
        <v>sample_miseq-16S-B-E11-L4_SICap-P5-E11-P5D2-BB-SIPool-yesBile-rep2-day2</v>
      </c>
      <c r="B156" s="1" t="s">
        <v>328</v>
      </c>
      <c r="C156" s="3" t="s">
        <v>904</v>
      </c>
      <c r="D156" s="3" t="s">
        <v>1327</v>
      </c>
      <c r="E156" t="s">
        <v>20</v>
      </c>
      <c r="F156" t="s">
        <v>143</v>
      </c>
      <c r="G156" t="s">
        <v>101</v>
      </c>
      <c r="H156" t="str">
        <f t="shared" si="7"/>
        <v>11</v>
      </c>
      <c r="I156" t="str">
        <f t="shared" si="8"/>
        <v>E</v>
      </c>
      <c r="J156" t="s">
        <v>144</v>
      </c>
      <c r="K156" t="s">
        <v>91</v>
      </c>
      <c r="L156" t="s">
        <v>142</v>
      </c>
      <c r="M156" t="s">
        <v>49</v>
      </c>
      <c r="N156">
        <v>2</v>
      </c>
      <c r="O156">
        <v>2</v>
      </c>
      <c r="P156" t="s">
        <v>145</v>
      </c>
      <c r="Q156" t="s">
        <v>28</v>
      </c>
      <c r="R156" t="s">
        <v>28</v>
      </c>
      <c r="S156" t="s">
        <v>28</v>
      </c>
      <c r="T156" t="s">
        <v>28</v>
      </c>
      <c r="U156" t="s">
        <v>28</v>
      </c>
      <c r="V156" t="s">
        <v>28</v>
      </c>
      <c r="W156">
        <v>4</v>
      </c>
      <c r="X156" t="s">
        <v>146</v>
      </c>
    </row>
    <row r="157" spans="1:24" x14ac:dyDescent="0.2">
      <c r="A157" t="str">
        <f t="shared" si="6"/>
        <v>sample_miseq-16S-B-E12-L4_SICap-P5-E12-P5D2-BB-Media-yesBile-rep2-day2</v>
      </c>
      <c r="B157" s="1" t="s">
        <v>329</v>
      </c>
      <c r="C157" s="3" t="s">
        <v>905</v>
      </c>
      <c r="D157" s="3" t="s">
        <v>1327</v>
      </c>
      <c r="E157" t="s">
        <v>20</v>
      </c>
      <c r="F157" t="s">
        <v>143</v>
      </c>
      <c r="G157" t="s">
        <v>102</v>
      </c>
      <c r="H157" t="str">
        <f t="shared" si="7"/>
        <v>12</v>
      </c>
      <c r="I157" t="str">
        <f t="shared" si="8"/>
        <v>E</v>
      </c>
      <c r="J157" t="s">
        <v>144</v>
      </c>
      <c r="K157" t="s">
        <v>91</v>
      </c>
      <c r="L157" t="s">
        <v>142</v>
      </c>
      <c r="M157" t="s">
        <v>6</v>
      </c>
      <c r="N157">
        <v>2</v>
      </c>
      <c r="O157">
        <v>2</v>
      </c>
      <c r="P157" t="s">
        <v>145</v>
      </c>
      <c r="Q157" t="s">
        <v>28</v>
      </c>
      <c r="R157" t="s">
        <v>28</v>
      </c>
      <c r="S157" t="s">
        <v>28</v>
      </c>
      <c r="T157" t="s">
        <v>28</v>
      </c>
      <c r="U157" t="s">
        <v>28</v>
      </c>
      <c r="V157" t="s">
        <v>28</v>
      </c>
      <c r="W157">
        <v>4</v>
      </c>
      <c r="X157" t="s">
        <v>146</v>
      </c>
    </row>
    <row r="158" spans="1:24" x14ac:dyDescent="0.2">
      <c r="A158" t="str">
        <f t="shared" si="6"/>
        <v>sample_miseq-16S-B-F01-L4_SICap-P5-F1-P5D2-YCFAG-C1R1-yesBile-rep2-day2</v>
      </c>
      <c r="B158" s="1" t="s">
        <v>330</v>
      </c>
      <c r="C158" s="3" t="s">
        <v>906</v>
      </c>
      <c r="D158" s="3" t="s">
        <v>1327</v>
      </c>
      <c r="E158" t="s">
        <v>20</v>
      </c>
      <c r="F158" t="s">
        <v>143</v>
      </c>
      <c r="G158" t="s">
        <v>103</v>
      </c>
      <c r="H158" t="str">
        <f t="shared" si="7"/>
        <v>01</v>
      </c>
      <c r="I158" t="str">
        <f t="shared" si="8"/>
        <v>F</v>
      </c>
      <c r="J158" t="s">
        <v>144</v>
      </c>
      <c r="K158" t="s">
        <v>104</v>
      </c>
      <c r="L158" t="s">
        <v>142</v>
      </c>
      <c r="M158" t="s">
        <v>26</v>
      </c>
      <c r="N158">
        <v>2</v>
      </c>
      <c r="O158">
        <v>2</v>
      </c>
      <c r="P158" t="s">
        <v>145</v>
      </c>
      <c r="Q158" t="s">
        <v>28</v>
      </c>
      <c r="R158" t="s">
        <v>28</v>
      </c>
      <c r="S158" t="s">
        <v>28</v>
      </c>
      <c r="T158" t="s">
        <v>28</v>
      </c>
      <c r="U158" t="s">
        <v>28</v>
      </c>
      <c r="V158" t="s">
        <v>28</v>
      </c>
      <c r="W158">
        <v>4</v>
      </c>
      <c r="X158" t="s">
        <v>146</v>
      </c>
    </row>
    <row r="159" spans="1:24" x14ac:dyDescent="0.2">
      <c r="A159" t="str">
        <f t="shared" si="6"/>
        <v>sample_miseq-16S-B-F02-L4_SICap-P5-F2-P5D2-YCFAG-C1R2-yesBile-rep2-day2</v>
      </c>
      <c r="B159" s="1" t="s">
        <v>331</v>
      </c>
      <c r="C159" s="3" t="s">
        <v>907</v>
      </c>
      <c r="D159" s="3" t="s">
        <v>1327</v>
      </c>
      <c r="E159" t="s">
        <v>20</v>
      </c>
      <c r="F159" t="s">
        <v>143</v>
      </c>
      <c r="G159" t="s">
        <v>105</v>
      </c>
      <c r="H159" t="str">
        <f t="shared" si="7"/>
        <v>02</v>
      </c>
      <c r="I159" t="str">
        <f t="shared" si="8"/>
        <v>F</v>
      </c>
      <c r="J159" t="s">
        <v>144</v>
      </c>
      <c r="K159" t="s">
        <v>104</v>
      </c>
      <c r="L159" t="s">
        <v>142</v>
      </c>
      <c r="M159" t="s">
        <v>31</v>
      </c>
      <c r="N159">
        <v>2</v>
      </c>
      <c r="O159">
        <v>2</v>
      </c>
      <c r="P159" t="s">
        <v>145</v>
      </c>
      <c r="Q159" t="s">
        <v>28</v>
      </c>
      <c r="R159" t="s">
        <v>28</v>
      </c>
      <c r="S159" t="s">
        <v>28</v>
      </c>
      <c r="T159" t="s">
        <v>28</v>
      </c>
      <c r="U159" t="s">
        <v>28</v>
      </c>
      <c r="V159" t="s">
        <v>28</v>
      </c>
      <c r="W159">
        <v>4</v>
      </c>
      <c r="X159" t="s">
        <v>146</v>
      </c>
    </row>
    <row r="160" spans="1:24" x14ac:dyDescent="0.2">
      <c r="A160" t="str">
        <f t="shared" si="6"/>
        <v>sample_miseq-16S-B-F03-L4_SICap-P5-F3-P5D2-YCFAG-C2R1-yesBile-rep2-day2</v>
      </c>
      <c r="B160" s="1" t="s">
        <v>332</v>
      </c>
      <c r="C160" s="3" t="s">
        <v>908</v>
      </c>
      <c r="D160" s="3" t="s">
        <v>1327</v>
      </c>
      <c r="E160" t="s">
        <v>20</v>
      </c>
      <c r="F160" t="s">
        <v>143</v>
      </c>
      <c r="G160" t="s">
        <v>106</v>
      </c>
      <c r="H160" t="str">
        <f t="shared" si="7"/>
        <v>03</v>
      </c>
      <c r="I160" t="str">
        <f t="shared" si="8"/>
        <v>F</v>
      </c>
      <c r="J160" t="s">
        <v>144</v>
      </c>
      <c r="K160" t="s">
        <v>104</v>
      </c>
      <c r="L160" t="s">
        <v>142</v>
      </c>
      <c r="M160" t="s">
        <v>33</v>
      </c>
      <c r="N160">
        <v>2</v>
      </c>
      <c r="O160">
        <v>2</v>
      </c>
      <c r="P160" t="s">
        <v>145</v>
      </c>
      <c r="Q160" t="s">
        <v>28</v>
      </c>
      <c r="R160" t="s">
        <v>28</v>
      </c>
      <c r="S160" t="s">
        <v>28</v>
      </c>
      <c r="T160" t="s">
        <v>28</v>
      </c>
      <c r="U160" t="s">
        <v>28</v>
      </c>
      <c r="V160" t="s">
        <v>28</v>
      </c>
      <c r="W160">
        <v>4</v>
      </c>
      <c r="X160" t="s">
        <v>146</v>
      </c>
    </row>
    <row r="161" spans="1:24" x14ac:dyDescent="0.2">
      <c r="A161" t="str">
        <f t="shared" si="6"/>
        <v>sample_miseq-16S-B-F04-L4_SICap-P5-F4-P5D2-YCFAG-C2R2-yesBile-rep2-day2</v>
      </c>
      <c r="B161" s="1" t="s">
        <v>333</v>
      </c>
      <c r="C161" s="3" t="s">
        <v>909</v>
      </c>
      <c r="D161" s="3" t="s">
        <v>1327</v>
      </c>
      <c r="E161" t="s">
        <v>20</v>
      </c>
      <c r="F161" t="s">
        <v>143</v>
      </c>
      <c r="G161" t="s">
        <v>107</v>
      </c>
      <c r="H161" t="str">
        <f t="shared" si="7"/>
        <v>04</v>
      </c>
      <c r="I161" t="str">
        <f t="shared" si="8"/>
        <v>F</v>
      </c>
      <c r="J161" t="s">
        <v>144</v>
      </c>
      <c r="K161" t="s">
        <v>104</v>
      </c>
      <c r="L161" t="s">
        <v>142</v>
      </c>
      <c r="M161" t="s">
        <v>35</v>
      </c>
      <c r="N161">
        <v>2</v>
      </c>
      <c r="O161">
        <v>2</v>
      </c>
      <c r="P161" t="s">
        <v>145</v>
      </c>
      <c r="Q161" t="s">
        <v>28</v>
      </c>
      <c r="R161" t="s">
        <v>28</v>
      </c>
      <c r="S161" t="s">
        <v>28</v>
      </c>
      <c r="T161" t="s">
        <v>28</v>
      </c>
      <c r="U161" t="s">
        <v>28</v>
      </c>
      <c r="V161" t="s">
        <v>28</v>
      </c>
      <c r="W161">
        <v>4</v>
      </c>
      <c r="X161" t="s">
        <v>146</v>
      </c>
    </row>
    <row r="162" spans="1:24" x14ac:dyDescent="0.2">
      <c r="A162" t="str">
        <f t="shared" si="6"/>
        <v>sample_miseq-16S-B-F05-L4_SICap-P5-F5-P5D2-YCFAG-C3R1-yesBile-rep2-day2</v>
      </c>
      <c r="B162" s="1" t="s">
        <v>334</v>
      </c>
      <c r="C162" s="3" t="s">
        <v>910</v>
      </c>
      <c r="D162" s="3" t="s">
        <v>1327</v>
      </c>
      <c r="E162" t="s">
        <v>20</v>
      </c>
      <c r="F162" t="s">
        <v>143</v>
      </c>
      <c r="G162" t="s">
        <v>108</v>
      </c>
      <c r="H162" t="str">
        <f t="shared" si="7"/>
        <v>05</v>
      </c>
      <c r="I162" t="str">
        <f t="shared" si="8"/>
        <v>F</v>
      </c>
      <c r="J162" t="s">
        <v>144</v>
      </c>
      <c r="K162" t="s">
        <v>104</v>
      </c>
      <c r="L162" t="s">
        <v>142</v>
      </c>
      <c r="M162" t="s">
        <v>37</v>
      </c>
      <c r="N162">
        <v>2</v>
      </c>
      <c r="O162">
        <v>2</v>
      </c>
      <c r="P162" t="s">
        <v>145</v>
      </c>
      <c r="Q162" t="s">
        <v>28</v>
      </c>
      <c r="R162" t="s">
        <v>28</v>
      </c>
      <c r="S162" t="s">
        <v>28</v>
      </c>
      <c r="T162" t="s">
        <v>28</v>
      </c>
      <c r="U162" t="s">
        <v>28</v>
      </c>
      <c r="V162" t="s">
        <v>28</v>
      </c>
      <c r="W162">
        <v>4</v>
      </c>
      <c r="X162" t="s">
        <v>146</v>
      </c>
    </row>
    <row r="163" spans="1:24" x14ac:dyDescent="0.2">
      <c r="A163" t="str">
        <f t="shared" si="6"/>
        <v>sample_miseq-16S-B-F06-L4_SICap-P5-F6-P5D2-YCFAG-C3R2-yesBile-rep2-day2</v>
      </c>
      <c r="B163" s="1" t="s">
        <v>335</v>
      </c>
      <c r="C163" s="3" t="s">
        <v>911</v>
      </c>
      <c r="D163" s="3" t="s">
        <v>1327</v>
      </c>
      <c r="E163" t="s">
        <v>20</v>
      </c>
      <c r="F163" t="s">
        <v>143</v>
      </c>
      <c r="G163" t="s">
        <v>109</v>
      </c>
      <c r="H163" t="str">
        <f t="shared" si="7"/>
        <v>06</v>
      </c>
      <c r="I163" t="str">
        <f t="shared" si="8"/>
        <v>F</v>
      </c>
      <c r="J163" t="s">
        <v>144</v>
      </c>
      <c r="K163" t="s">
        <v>104</v>
      </c>
      <c r="L163" t="s">
        <v>142</v>
      </c>
      <c r="M163" t="s">
        <v>39</v>
      </c>
      <c r="N163">
        <v>2</v>
      </c>
      <c r="O163">
        <v>2</v>
      </c>
      <c r="P163" t="s">
        <v>145</v>
      </c>
      <c r="Q163" t="s">
        <v>28</v>
      </c>
      <c r="R163" t="s">
        <v>28</v>
      </c>
      <c r="S163" t="s">
        <v>28</v>
      </c>
      <c r="T163" t="s">
        <v>28</v>
      </c>
      <c r="U163" t="s">
        <v>28</v>
      </c>
      <c r="V163" t="s">
        <v>28</v>
      </c>
      <c r="W163">
        <v>4</v>
      </c>
      <c r="X163" t="s">
        <v>146</v>
      </c>
    </row>
    <row r="164" spans="1:24" x14ac:dyDescent="0.2">
      <c r="A164" t="str">
        <f t="shared" si="6"/>
        <v>sample_miseq-16S-B-F07-L4_SICap-P5-F7-P5D2-YCFAG-C4R1-yesBile-rep2-day2</v>
      </c>
      <c r="B164" s="1" t="s">
        <v>336</v>
      </c>
      <c r="C164" s="3" t="s">
        <v>912</v>
      </c>
      <c r="D164" s="3" t="s">
        <v>1327</v>
      </c>
      <c r="E164" t="s">
        <v>20</v>
      </c>
      <c r="F164" t="s">
        <v>143</v>
      </c>
      <c r="G164" t="s">
        <v>110</v>
      </c>
      <c r="H164" t="str">
        <f t="shared" si="7"/>
        <v>07</v>
      </c>
      <c r="I164" t="str">
        <f t="shared" si="8"/>
        <v>F</v>
      </c>
      <c r="J164" t="s">
        <v>144</v>
      </c>
      <c r="K164" t="s">
        <v>104</v>
      </c>
      <c r="L164" t="s">
        <v>142</v>
      </c>
      <c r="M164" t="s">
        <v>41</v>
      </c>
      <c r="N164">
        <v>2</v>
      </c>
      <c r="O164">
        <v>2</v>
      </c>
      <c r="P164" t="s">
        <v>145</v>
      </c>
      <c r="Q164" t="s">
        <v>28</v>
      </c>
      <c r="R164" t="s">
        <v>28</v>
      </c>
      <c r="S164" t="s">
        <v>28</v>
      </c>
      <c r="T164" t="s">
        <v>28</v>
      </c>
      <c r="U164" t="s">
        <v>28</v>
      </c>
      <c r="V164" t="s">
        <v>28</v>
      </c>
      <c r="W164">
        <v>4</v>
      </c>
      <c r="X164" t="s">
        <v>146</v>
      </c>
    </row>
    <row r="165" spans="1:24" x14ac:dyDescent="0.2">
      <c r="A165" t="str">
        <f t="shared" si="6"/>
        <v>sample_miseq-16S-B-F08-L4_SICap-P5-F8-P5D2-YCFAG-C4R2-yesBile-rep2-day2</v>
      </c>
      <c r="B165" s="1" t="s">
        <v>337</v>
      </c>
      <c r="C165" s="3" t="s">
        <v>913</v>
      </c>
      <c r="D165" s="3" t="s">
        <v>1327</v>
      </c>
      <c r="E165" t="s">
        <v>20</v>
      </c>
      <c r="F165" t="s">
        <v>143</v>
      </c>
      <c r="G165" t="s">
        <v>111</v>
      </c>
      <c r="H165" t="str">
        <f t="shared" si="7"/>
        <v>08</v>
      </c>
      <c r="I165" t="str">
        <f t="shared" si="8"/>
        <v>F</v>
      </c>
      <c r="J165" t="s">
        <v>144</v>
      </c>
      <c r="K165" t="s">
        <v>104</v>
      </c>
      <c r="L165" t="s">
        <v>142</v>
      </c>
      <c r="M165" t="s">
        <v>43</v>
      </c>
      <c r="N165">
        <v>2</v>
      </c>
      <c r="O165">
        <v>2</v>
      </c>
      <c r="P165" t="s">
        <v>145</v>
      </c>
      <c r="Q165" t="s">
        <v>28</v>
      </c>
      <c r="R165" t="s">
        <v>28</v>
      </c>
      <c r="S165" t="s">
        <v>28</v>
      </c>
      <c r="T165" t="s">
        <v>28</v>
      </c>
      <c r="U165" t="s">
        <v>28</v>
      </c>
      <c r="V165" t="s">
        <v>28</v>
      </c>
      <c r="W165">
        <v>4</v>
      </c>
      <c r="X165" t="s">
        <v>146</v>
      </c>
    </row>
    <row r="166" spans="1:24" x14ac:dyDescent="0.2">
      <c r="A166" t="str">
        <f t="shared" si="6"/>
        <v>sample_miseq-16S-B-F09-L4_SICap-P5-F9-P5D2-YCFAG-S1R2-yesBile-rep2-day2</v>
      </c>
      <c r="B166" s="1" t="s">
        <v>338</v>
      </c>
      <c r="C166" s="3" t="s">
        <v>914</v>
      </c>
      <c r="D166" s="3" t="s">
        <v>1327</v>
      </c>
      <c r="E166" t="s">
        <v>20</v>
      </c>
      <c r="F166" t="s">
        <v>143</v>
      </c>
      <c r="G166" t="s">
        <v>112</v>
      </c>
      <c r="H166" t="str">
        <f t="shared" si="7"/>
        <v>09</v>
      </c>
      <c r="I166" t="str">
        <f t="shared" si="8"/>
        <v>F</v>
      </c>
      <c r="J166" t="s">
        <v>144</v>
      </c>
      <c r="K166" t="s">
        <v>104</v>
      </c>
      <c r="L166" t="s">
        <v>142</v>
      </c>
      <c r="M166" t="s">
        <v>45</v>
      </c>
      <c r="N166">
        <v>2</v>
      </c>
      <c r="O166">
        <v>2</v>
      </c>
      <c r="P166" t="s">
        <v>145</v>
      </c>
      <c r="Q166" t="s">
        <v>28</v>
      </c>
      <c r="R166" t="s">
        <v>28</v>
      </c>
      <c r="S166" t="s">
        <v>28</v>
      </c>
      <c r="T166" t="s">
        <v>28</v>
      </c>
      <c r="U166" t="s">
        <v>28</v>
      </c>
      <c r="V166" t="s">
        <v>28</v>
      </c>
      <c r="W166">
        <v>4</v>
      </c>
      <c r="X166" t="s">
        <v>146</v>
      </c>
    </row>
    <row r="167" spans="1:24" x14ac:dyDescent="0.2">
      <c r="A167" t="str">
        <f t="shared" si="6"/>
        <v>sample_miseq-16S-B-F10-L4_SICap-P5-F10-P5D2-YCFAG-StoolPool-yesBile-rep2-day2</v>
      </c>
      <c r="B167" s="1" t="s">
        <v>339</v>
      </c>
      <c r="C167" s="3" t="s">
        <v>915</v>
      </c>
      <c r="D167" s="3" t="s">
        <v>1327</v>
      </c>
      <c r="E167" t="s">
        <v>20</v>
      </c>
      <c r="F167" t="s">
        <v>143</v>
      </c>
      <c r="G167" t="s">
        <v>113</v>
      </c>
      <c r="H167" t="str">
        <f t="shared" si="7"/>
        <v>10</v>
      </c>
      <c r="I167" t="str">
        <f t="shared" si="8"/>
        <v>F</v>
      </c>
      <c r="J167" t="s">
        <v>144</v>
      </c>
      <c r="K167" t="s">
        <v>104</v>
      </c>
      <c r="L167" t="s">
        <v>142</v>
      </c>
      <c r="M167" t="s">
        <v>47</v>
      </c>
      <c r="N167">
        <v>2</v>
      </c>
      <c r="O167">
        <v>2</v>
      </c>
      <c r="P167" t="s">
        <v>145</v>
      </c>
      <c r="Q167" t="s">
        <v>28</v>
      </c>
      <c r="R167" t="s">
        <v>28</v>
      </c>
      <c r="S167" t="s">
        <v>28</v>
      </c>
      <c r="T167" t="s">
        <v>28</v>
      </c>
      <c r="U167" t="s">
        <v>28</v>
      </c>
      <c r="V167" t="s">
        <v>28</v>
      </c>
      <c r="W167">
        <v>4</v>
      </c>
      <c r="X167" t="s">
        <v>146</v>
      </c>
    </row>
    <row r="168" spans="1:24" x14ac:dyDescent="0.2">
      <c r="A168" t="str">
        <f t="shared" si="6"/>
        <v>sample_miseq-16S-B-F11-L4_SICap-P5-F11-P5D2-YCFAG-SIPool-yesBile-rep2-day2</v>
      </c>
      <c r="B168" s="1" t="s">
        <v>340</v>
      </c>
      <c r="C168" s="3" t="s">
        <v>916</v>
      </c>
      <c r="D168" s="3" t="s">
        <v>1327</v>
      </c>
      <c r="E168" t="s">
        <v>20</v>
      </c>
      <c r="F168" t="s">
        <v>143</v>
      </c>
      <c r="G168" t="s">
        <v>114</v>
      </c>
      <c r="H168" t="str">
        <f t="shared" si="7"/>
        <v>11</v>
      </c>
      <c r="I168" t="str">
        <f t="shared" si="8"/>
        <v>F</v>
      </c>
      <c r="J168" t="s">
        <v>144</v>
      </c>
      <c r="K168" t="s">
        <v>104</v>
      </c>
      <c r="L168" t="s">
        <v>142</v>
      </c>
      <c r="M168" t="s">
        <v>49</v>
      </c>
      <c r="N168">
        <v>2</v>
      </c>
      <c r="O168">
        <v>2</v>
      </c>
      <c r="P168" t="s">
        <v>145</v>
      </c>
      <c r="Q168" t="s">
        <v>28</v>
      </c>
      <c r="R168" t="s">
        <v>28</v>
      </c>
      <c r="S168" t="s">
        <v>28</v>
      </c>
      <c r="T168" t="s">
        <v>28</v>
      </c>
      <c r="U168" t="s">
        <v>28</v>
      </c>
      <c r="V168" t="s">
        <v>28</v>
      </c>
      <c r="W168">
        <v>4</v>
      </c>
      <c r="X168" t="s">
        <v>146</v>
      </c>
    </row>
    <row r="169" spans="1:24" x14ac:dyDescent="0.2">
      <c r="A169" t="str">
        <f t="shared" si="6"/>
        <v>sample_miseq-16S-B-F12-L4_SICap-P5-F12-P5D2-YCFAG-Media-yesBile-rep2-day2</v>
      </c>
      <c r="B169" s="1" t="s">
        <v>341</v>
      </c>
      <c r="C169" s="3" t="s">
        <v>917</v>
      </c>
      <c r="D169" s="3" t="s">
        <v>1327</v>
      </c>
      <c r="E169" t="s">
        <v>20</v>
      </c>
      <c r="F169" t="s">
        <v>143</v>
      </c>
      <c r="G169" t="s">
        <v>115</v>
      </c>
      <c r="H169" t="str">
        <f t="shared" si="7"/>
        <v>12</v>
      </c>
      <c r="I169" t="str">
        <f t="shared" si="8"/>
        <v>F</v>
      </c>
      <c r="J169" t="s">
        <v>144</v>
      </c>
      <c r="K169" t="s">
        <v>104</v>
      </c>
      <c r="L169" t="s">
        <v>142</v>
      </c>
      <c r="M169" t="s">
        <v>6</v>
      </c>
      <c r="N169">
        <v>2</v>
      </c>
      <c r="O169">
        <v>2</v>
      </c>
      <c r="P169" t="s">
        <v>145</v>
      </c>
      <c r="Q169" t="s">
        <v>28</v>
      </c>
      <c r="R169" t="s">
        <v>28</v>
      </c>
      <c r="S169" t="s">
        <v>28</v>
      </c>
      <c r="T169" t="s">
        <v>28</v>
      </c>
      <c r="U169" t="s">
        <v>28</v>
      </c>
      <c r="V169" t="s">
        <v>28</v>
      </c>
      <c r="W169">
        <v>4</v>
      </c>
      <c r="X169" t="s">
        <v>146</v>
      </c>
    </row>
    <row r="170" spans="1:24" x14ac:dyDescent="0.2">
      <c r="A170" t="str">
        <f t="shared" si="6"/>
        <v>sample_miseq-16S-B-G01-L4_SICap-P5-G1-P5D2-TYG-C1R1-yesBile-rep2-day2</v>
      </c>
      <c r="B170" s="1" t="s">
        <v>342</v>
      </c>
      <c r="C170" s="3" t="s">
        <v>918</v>
      </c>
      <c r="D170" s="3" t="s">
        <v>1327</v>
      </c>
      <c r="E170" t="s">
        <v>20</v>
      </c>
      <c r="F170" t="s">
        <v>143</v>
      </c>
      <c r="G170" t="s">
        <v>116</v>
      </c>
      <c r="H170" t="str">
        <f t="shared" si="7"/>
        <v>01</v>
      </c>
      <c r="I170" t="str">
        <f t="shared" si="8"/>
        <v>G</v>
      </c>
      <c r="J170" t="s">
        <v>144</v>
      </c>
      <c r="K170" t="s">
        <v>117</v>
      </c>
      <c r="L170" t="s">
        <v>142</v>
      </c>
      <c r="M170" t="s">
        <v>26</v>
      </c>
      <c r="N170">
        <v>2</v>
      </c>
      <c r="O170">
        <v>2</v>
      </c>
      <c r="P170" t="s">
        <v>145</v>
      </c>
      <c r="Q170" t="s">
        <v>28</v>
      </c>
      <c r="R170" t="s">
        <v>28</v>
      </c>
      <c r="S170" t="s">
        <v>28</v>
      </c>
      <c r="T170" t="s">
        <v>28</v>
      </c>
      <c r="U170" t="s">
        <v>28</v>
      </c>
      <c r="V170" t="s">
        <v>28</v>
      </c>
      <c r="W170">
        <v>4</v>
      </c>
      <c r="X170" t="s">
        <v>146</v>
      </c>
    </row>
    <row r="171" spans="1:24" x14ac:dyDescent="0.2">
      <c r="A171" t="str">
        <f t="shared" si="6"/>
        <v>sample_miseq-16S-B-G02-L4_SICap-P5-G2-P5D2-TYG-C1R2-yesBile-rep2-day2</v>
      </c>
      <c r="B171" s="1" t="s">
        <v>343</v>
      </c>
      <c r="C171" s="3" t="s">
        <v>919</v>
      </c>
      <c r="D171" s="3" t="s">
        <v>1327</v>
      </c>
      <c r="E171" t="s">
        <v>20</v>
      </c>
      <c r="F171" t="s">
        <v>143</v>
      </c>
      <c r="G171" t="s">
        <v>118</v>
      </c>
      <c r="H171" t="str">
        <f t="shared" si="7"/>
        <v>02</v>
      </c>
      <c r="I171" t="str">
        <f t="shared" si="8"/>
        <v>G</v>
      </c>
      <c r="J171" t="s">
        <v>144</v>
      </c>
      <c r="K171" t="s">
        <v>117</v>
      </c>
      <c r="L171" t="s">
        <v>142</v>
      </c>
      <c r="M171" t="s">
        <v>31</v>
      </c>
      <c r="N171">
        <v>2</v>
      </c>
      <c r="O171">
        <v>2</v>
      </c>
      <c r="P171" t="s">
        <v>145</v>
      </c>
      <c r="Q171" t="s">
        <v>28</v>
      </c>
      <c r="R171" t="s">
        <v>28</v>
      </c>
      <c r="S171" t="s">
        <v>28</v>
      </c>
      <c r="T171" t="s">
        <v>28</v>
      </c>
      <c r="U171" t="s">
        <v>28</v>
      </c>
      <c r="V171" t="s">
        <v>28</v>
      </c>
      <c r="W171">
        <v>4</v>
      </c>
      <c r="X171" t="s">
        <v>146</v>
      </c>
    </row>
    <row r="172" spans="1:24" x14ac:dyDescent="0.2">
      <c r="A172" t="str">
        <f t="shared" si="6"/>
        <v>sample_miseq-16S-B-G03-L4_SICap-P5-G3-P5D2-TYG-C2R1-yesBile-rep2-day2</v>
      </c>
      <c r="B172" s="1" t="s">
        <v>344</v>
      </c>
      <c r="C172" s="3" t="s">
        <v>920</v>
      </c>
      <c r="D172" s="3" t="s">
        <v>1327</v>
      </c>
      <c r="E172" t="s">
        <v>20</v>
      </c>
      <c r="F172" t="s">
        <v>143</v>
      </c>
      <c r="G172" t="s">
        <v>119</v>
      </c>
      <c r="H172" t="str">
        <f t="shared" si="7"/>
        <v>03</v>
      </c>
      <c r="I172" t="str">
        <f t="shared" si="8"/>
        <v>G</v>
      </c>
      <c r="J172" t="s">
        <v>144</v>
      </c>
      <c r="K172" t="s">
        <v>117</v>
      </c>
      <c r="L172" t="s">
        <v>142</v>
      </c>
      <c r="M172" t="s">
        <v>33</v>
      </c>
      <c r="N172">
        <v>2</v>
      </c>
      <c r="O172">
        <v>2</v>
      </c>
      <c r="P172" t="s">
        <v>145</v>
      </c>
      <c r="Q172" t="s">
        <v>28</v>
      </c>
      <c r="R172" t="s">
        <v>28</v>
      </c>
      <c r="S172" t="s">
        <v>28</v>
      </c>
      <c r="T172" t="s">
        <v>28</v>
      </c>
      <c r="U172" t="s">
        <v>28</v>
      </c>
      <c r="V172" t="s">
        <v>28</v>
      </c>
      <c r="W172">
        <v>4</v>
      </c>
      <c r="X172" t="s">
        <v>146</v>
      </c>
    </row>
    <row r="173" spans="1:24" x14ac:dyDescent="0.2">
      <c r="A173" t="str">
        <f t="shared" si="6"/>
        <v>sample_miseq-16S-B-G04-L4_SICap-P5-G4-P5D2-TYG-C2R2-yesBile-rep2-day2</v>
      </c>
      <c r="B173" s="1" t="s">
        <v>345</v>
      </c>
      <c r="C173" s="3" t="s">
        <v>921</v>
      </c>
      <c r="D173" s="3" t="s">
        <v>1327</v>
      </c>
      <c r="E173" t="s">
        <v>20</v>
      </c>
      <c r="F173" t="s">
        <v>143</v>
      </c>
      <c r="G173" t="s">
        <v>120</v>
      </c>
      <c r="H173" t="str">
        <f t="shared" si="7"/>
        <v>04</v>
      </c>
      <c r="I173" t="str">
        <f t="shared" si="8"/>
        <v>G</v>
      </c>
      <c r="J173" t="s">
        <v>144</v>
      </c>
      <c r="K173" t="s">
        <v>117</v>
      </c>
      <c r="L173" t="s">
        <v>142</v>
      </c>
      <c r="M173" t="s">
        <v>35</v>
      </c>
      <c r="N173">
        <v>2</v>
      </c>
      <c r="O173">
        <v>2</v>
      </c>
      <c r="P173" t="s">
        <v>145</v>
      </c>
      <c r="Q173" t="s">
        <v>28</v>
      </c>
      <c r="R173" t="s">
        <v>28</v>
      </c>
      <c r="S173" t="s">
        <v>28</v>
      </c>
      <c r="T173" t="s">
        <v>28</v>
      </c>
      <c r="U173" t="s">
        <v>28</v>
      </c>
      <c r="V173" t="s">
        <v>28</v>
      </c>
      <c r="W173">
        <v>4</v>
      </c>
      <c r="X173" t="s">
        <v>146</v>
      </c>
    </row>
    <row r="174" spans="1:24" x14ac:dyDescent="0.2">
      <c r="A174" t="str">
        <f t="shared" si="6"/>
        <v>sample_miseq-16S-B-G05-L4_SICap-P5-G5-P5D2-TYG-C3R1-yesBile-rep2-day2</v>
      </c>
      <c r="B174" s="1" t="s">
        <v>346</v>
      </c>
      <c r="C174" s="3" t="s">
        <v>922</v>
      </c>
      <c r="D174" s="3" t="s">
        <v>1327</v>
      </c>
      <c r="E174" t="s">
        <v>20</v>
      </c>
      <c r="F174" t="s">
        <v>143</v>
      </c>
      <c r="G174" t="s">
        <v>121</v>
      </c>
      <c r="H174" t="str">
        <f t="shared" si="7"/>
        <v>05</v>
      </c>
      <c r="I174" t="str">
        <f t="shared" si="8"/>
        <v>G</v>
      </c>
      <c r="J174" t="s">
        <v>144</v>
      </c>
      <c r="K174" t="s">
        <v>117</v>
      </c>
      <c r="L174" t="s">
        <v>142</v>
      </c>
      <c r="M174" t="s">
        <v>37</v>
      </c>
      <c r="N174">
        <v>2</v>
      </c>
      <c r="O174">
        <v>2</v>
      </c>
      <c r="P174" t="s">
        <v>145</v>
      </c>
      <c r="Q174" t="s">
        <v>28</v>
      </c>
      <c r="R174" t="s">
        <v>28</v>
      </c>
      <c r="S174" t="s">
        <v>28</v>
      </c>
      <c r="T174" t="s">
        <v>28</v>
      </c>
      <c r="U174" t="s">
        <v>28</v>
      </c>
      <c r="V174" t="s">
        <v>28</v>
      </c>
      <c r="W174">
        <v>4</v>
      </c>
      <c r="X174" t="s">
        <v>146</v>
      </c>
    </row>
    <row r="175" spans="1:24" x14ac:dyDescent="0.2">
      <c r="A175" t="str">
        <f t="shared" si="6"/>
        <v>sample_miseq-16S-B-G06-L4_SICap-P5-G6-P5D2-TYG-C3R2-yesBile-rep2-day2</v>
      </c>
      <c r="B175" s="1" t="s">
        <v>347</v>
      </c>
      <c r="C175" s="3" t="s">
        <v>923</v>
      </c>
      <c r="D175" s="3" t="s">
        <v>1327</v>
      </c>
      <c r="E175" t="s">
        <v>20</v>
      </c>
      <c r="F175" t="s">
        <v>143</v>
      </c>
      <c r="G175" t="s">
        <v>122</v>
      </c>
      <c r="H175" t="str">
        <f t="shared" si="7"/>
        <v>06</v>
      </c>
      <c r="I175" t="str">
        <f t="shared" si="8"/>
        <v>G</v>
      </c>
      <c r="J175" t="s">
        <v>144</v>
      </c>
      <c r="K175" t="s">
        <v>117</v>
      </c>
      <c r="L175" t="s">
        <v>142</v>
      </c>
      <c r="M175" t="s">
        <v>39</v>
      </c>
      <c r="N175">
        <v>2</v>
      </c>
      <c r="O175">
        <v>2</v>
      </c>
      <c r="P175" t="s">
        <v>145</v>
      </c>
      <c r="Q175" t="s">
        <v>28</v>
      </c>
      <c r="R175" t="s">
        <v>28</v>
      </c>
      <c r="S175" t="s">
        <v>28</v>
      </c>
      <c r="T175" t="s">
        <v>28</v>
      </c>
      <c r="U175" t="s">
        <v>28</v>
      </c>
      <c r="V175" t="s">
        <v>28</v>
      </c>
      <c r="W175">
        <v>4</v>
      </c>
      <c r="X175" t="s">
        <v>146</v>
      </c>
    </row>
    <row r="176" spans="1:24" x14ac:dyDescent="0.2">
      <c r="A176" t="str">
        <f t="shared" si="6"/>
        <v>sample_miseq-16S-B-G07-L4_SICap-P5-G7-P5D2-TYG-C4R1-yesBile-rep2-day2</v>
      </c>
      <c r="B176" s="1" t="s">
        <v>348</v>
      </c>
      <c r="C176" s="3" t="s">
        <v>924</v>
      </c>
      <c r="D176" s="3" t="s">
        <v>1327</v>
      </c>
      <c r="E176" t="s">
        <v>20</v>
      </c>
      <c r="F176" t="s">
        <v>143</v>
      </c>
      <c r="G176" t="s">
        <v>123</v>
      </c>
      <c r="H176" t="str">
        <f t="shared" si="7"/>
        <v>07</v>
      </c>
      <c r="I176" t="str">
        <f t="shared" si="8"/>
        <v>G</v>
      </c>
      <c r="J176" t="s">
        <v>144</v>
      </c>
      <c r="K176" t="s">
        <v>117</v>
      </c>
      <c r="L176" t="s">
        <v>142</v>
      </c>
      <c r="M176" t="s">
        <v>41</v>
      </c>
      <c r="N176">
        <v>2</v>
      </c>
      <c r="O176">
        <v>2</v>
      </c>
      <c r="P176" t="s">
        <v>145</v>
      </c>
      <c r="Q176" t="s">
        <v>28</v>
      </c>
      <c r="R176" t="s">
        <v>28</v>
      </c>
      <c r="S176" t="s">
        <v>28</v>
      </c>
      <c r="T176" t="s">
        <v>28</v>
      </c>
      <c r="U176" t="s">
        <v>28</v>
      </c>
      <c r="V176" t="s">
        <v>28</v>
      </c>
      <c r="W176">
        <v>4</v>
      </c>
      <c r="X176" t="s">
        <v>146</v>
      </c>
    </row>
    <row r="177" spans="1:24" x14ac:dyDescent="0.2">
      <c r="A177" t="str">
        <f t="shared" si="6"/>
        <v>sample_miseq-16S-B-G08-L4_SICap-P5-G8-P5D2-TYG-C4R2-yesBile-rep2-day2</v>
      </c>
      <c r="B177" s="1" t="s">
        <v>349</v>
      </c>
      <c r="C177" s="3" t="s">
        <v>925</v>
      </c>
      <c r="D177" s="3" t="s">
        <v>1327</v>
      </c>
      <c r="E177" t="s">
        <v>20</v>
      </c>
      <c r="F177" t="s">
        <v>143</v>
      </c>
      <c r="G177" t="s">
        <v>124</v>
      </c>
      <c r="H177" t="str">
        <f t="shared" si="7"/>
        <v>08</v>
      </c>
      <c r="I177" t="str">
        <f t="shared" si="8"/>
        <v>G</v>
      </c>
      <c r="J177" t="s">
        <v>144</v>
      </c>
      <c r="K177" t="s">
        <v>117</v>
      </c>
      <c r="L177" t="s">
        <v>142</v>
      </c>
      <c r="M177" t="s">
        <v>43</v>
      </c>
      <c r="N177">
        <v>2</v>
      </c>
      <c r="O177">
        <v>2</v>
      </c>
      <c r="P177" t="s">
        <v>145</v>
      </c>
      <c r="Q177" t="s">
        <v>28</v>
      </c>
      <c r="R177" t="s">
        <v>28</v>
      </c>
      <c r="S177" t="s">
        <v>28</v>
      </c>
      <c r="T177" t="s">
        <v>28</v>
      </c>
      <c r="U177" t="s">
        <v>28</v>
      </c>
      <c r="V177" t="s">
        <v>28</v>
      </c>
      <c r="W177">
        <v>4</v>
      </c>
      <c r="X177" t="s">
        <v>146</v>
      </c>
    </row>
    <row r="178" spans="1:24" x14ac:dyDescent="0.2">
      <c r="A178" t="str">
        <f t="shared" si="6"/>
        <v>sample_miseq-16S-B-G09-L4_SICap-P5-G9-P5D2-TYG-S1R2-yesBile-rep2-day2</v>
      </c>
      <c r="B178" s="1" t="s">
        <v>350</v>
      </c>
      <c r="C178" s="3" t="s">
        <v>926</v>
      </c>
      <c r="D178" s="3" t="s">
        <v>1327</v>
      </c>
      <c r="E178" t="s">
        <v>20</v>
      </c>
      <c r="F178" t="s">
        <v>143</v>
      </c>
      <c r="G178" t="s">
        <v>125</v>
      </c>
      <c r="H178" t="str">
        <f t="shared" si="7"/>
        <v>09</v>
      </c>
      <c r="I178" t="str">
        <f t="shared" si="8"/>
        <v>G</v>
      </c>
      <c r="J178" t="s">
        <v>144</v>
      </c>
      <c r="K178" t="s">
        <v>117</v>
      </c>
      <c r="L178" t="s">
        <v>142</v>
      </c>
      <c r="M178" t="s">
        <v>45</v>
      </c>
      <c r="N178">
        <v>2</v>
      </c>
      <c r="O178">
        <v>2</v>
      </c>
      <c r="P178" t="s">
        <v>145</v>
      </c>
      <c r="Q178" t="s">
        <v>28</v>
      </c>
      <c r="R178" t="s">
        <v>28</v>
      </c>
      <c r="S178" t="s">
        <v>28</v>
      </c>
      <c r="T178" t="s">
        <v>28</v>
      </c>
      <c r="U178" t="s">
        <v>28</v>
      </c>
      <c r="V178" t="s">
        <v>28</v>
      </c>
      <c r="W178">
        <v>4</v>
      </c>
      <c r="X178" t="s">
        <v>146</v>
      </c>
    </row>
    <row r="179" spans="1:24" x14ac:dyDescent="0.2">
      <c r="A179" t="str">
        <f t="shared" si="6"/>
        <v>sample_miseq-16S-B-G10-L4_SICap-P5-G10-P5D2-TYG-StoolPool-yesBile-rep2-day2</v>
      </c>
      <c r="B179" s="1" t="s">
        <v>351</v>
      </c>
      <c r="C179" s="3" t="s">
        <v>927</v>
      </c>
      <c r="D179" s="3" t="s">
        <v>1327</v>
      </c>
      <c r="E179" t="s">
        <v>20</v>
      </c>
      <c r="F179" t="s">
        <v>143</v>
      </c>
      <c r="G179" t="s">
        <v>126</v>
      </c>
      <c r="H179" t="str">
        <f t="shared" si="7"/>
        <v>10</v>
      </c>
      <c r="I179" t="str">
        <f t="shared" si="8"/>
        <v>G</v>
      </c>
      <c r="J179" t="s">
        <v>144</v>
      </c>
      <c r="K179" t="s">
        <v>117</v>
      </c>
      <c r="L179" t="s">
        <v>142</v>
      </c>
      <c r="M179" t="s">
        <v>47</v>
      </c>
      <c r="N179">
        <v>2</v>
      </c>
      <c r="O179">
        <v>2</v>
      </c>
      <c r="P179" t="s">
        <v>145</v>
      </c>
      <c r="Q179" t="s">
        <v>28</v>
      </c>
      <c r="R179" t="s">
        <v>28</v>
      </c>
      <c r="S179" t="s">
        <v>28</v>
      </c>
      <c r="T179" t="s">
        <v>28</v>
      </c>
      <c r="U179" t="s">
        <v>28</v>
      </c>
      <c r="V179" t="s">
        <v>28</v>
      </c>
      <c r="W179">
        <v>4</v>
      </c>
      <c r="X179" t="s">
        <v>146</v>
      </c>
    </row>
    <row r="180" spans="1:24" x14ac:dyDescent="0.2">
      <c r="A180" t="str">
        <f t="shared" si="6"/>
        <v>sample_miseq-16S-B-G11-L4_SICap-P5-G11-P5D2-TYG-SIPool-yesBile-rep2-day2</v>
      </c>
      <c r="B180" s="1" t="s">
        <v>352</v>
      </c>
      <c r="C180" s="3" t="s">
        <v>928</v>
      </c>
      <c r="D180" s="3" t="s">
        <v>1327</v>
      </c>
      <c r="E180" t="s">
        <v>20</v>
      </c>
      <c r="F180" t="s">
        <v>143</v>
      </c>
      <c r="G180" t="s">
        <v>127</v>
      </c>
      <c r="H180" t="str">
        <f t="shared" si="7"/>
        <v>11</v>
      </c>
      <c r="I180" t="str">
        <f t="shared" si="8"/>
        <v>G</v>
      </c>
      <c r="J180" t="s">
        <v>144</v>
      </c>
      <c r="K180" t="s">
        <v>117</v>
      </c>
      <c r="L180" t="s">
        <v>142</v>
      </c>
      <c r="M180" t="s">
        <v>49</v>
      </c>
      <c r="N180">
        <v>2</v>
      </c>
      <c r="O180">
        <v>2</v>
      </c>
      <c r="P180" t="s">
        <v>145</v>
      </c>
      <c r="Q180" t="s">
        <v>28</v>
      </c>
      <c r="R180" t="s">
        <v>28</v>
      </c>
      <c r="S180" t="s">
        <v>28</v>
      </c>
      <c r="T180" t="s">
        <v>28</v>
      </c>
      <c r="U180" t="s">
        <v>28</v>
      </c>
      <c r="V180" t="s">
        <v>28</v>
      </c>
      <c r="W180">
        <v>4</v>
      </c>
      <c r="X180" t="s">
        <v>146</v>
      </c>
    </row>
    <row r="181" spans="1:24" x14ac:dyDescent="0.2">
      <c r="A181" t="str">
        <f t="shared" si="6"/>
        <v>sample_miseq-16S-B-G12-L4_SICap-P5-G12-P5D2-TYG-Media-yesBile-rep2-day2</v>
      </c>
      <c r="B181" s="1" t="s">
        <v>353</v>
      </c>
      <c r="C181" s="3" t="s">
        <v>929</v>
      </c>
      <c r="D181" s="3" t="s">
        <v>1327</v>
      </c>
      <c r="E181" t="s">
        <v>20</v>
      </c>
      <c r="F181" t="s">
        <v>143</v>
      </c>
      <c r="G181" t="s">
        <v>128</v>
      </c>
      <c r="H181" t="str">
        <f t="shared" si="7"/>
        <v>12</v>
      </c>
      <c r="I181" t="str">
        <f t="shared" si="8"/>
        <v>G</v>
      </c>
      <c r="J181" t="s">
        <v>144</v>
      </c>
      <c r="K181" t="s">
        <v>117</v>
      </c>
      <c r="L181" t="s">
        <v>142</v>
      </c>
      <c r="M181" t="s">
        <v>6</v>
      </c>
      <c r="N181">
        <v>2</v>
      </c>
      <c r="O181">
        <v>2</v>
      </c>
      <c r="P181" t="s">
        <v>145</v>
      </c>
      <c r="Q181" t="s">
        <v>28</v>
      </c>
      <c r="R181" t="s">
        <v>28</v>
      </c>
      <c r="S181" t="s">
        <v>28</v>
      </c>
      <c r="T181" t="s">
        <v>28</v>
      </c>
      <c r="U181" t="s">
        <v>28</v>
      </c>
      <c r="V181" t="s">
        <v>28</v>
      </c>
      <c r="W181">
        <v>4</v>
      </c>
      <c r="X181" t="s">
        <v>146</v>
      </c>
    </row>
    <row r="182" spans="1:24" x14ac:dyDescent="0.2">
      <c r="A182" t="str">
        <f t="shared" si="6"/>
        <v>sample_miseq-16S-B-H01-L4_SICap-P5-H1-P5D2-RCM-C1R1-yesBile-rep2-day2</v>
      </c>
      <c r="B182" s="1" t="s">
        <v>354</v>
      </c>
      <c r="C182" s="3" t="s">
        <v>930</v>
      </c>
      <c r="D182" s="3" t="s">
        <v>1327</v>
      </c>
      <c r="E182" t="s">
        <v>20</v>
      </c>
      <c r="F182" t="s">
        <v>143</v>
      </c>
      <c r="G182" t="s">
        <v>129</v>
      </c>
      <c r="H182" t="str">
        <f t="shared" si="7"/>
        <v>01</v>
      </c>
      <c r="I182" t="str">
        <f t="shared" si="8"/>
        <v>H</v>
      </c>
      <c r="J182" t="s">
        <v>144</v>
      </c>
      <c r="K182" t="s">
        <v>130</v>
      </c>
      <c r="L182" t="s">
        <v>142</v>
      </c>
      <c r="M182" t="s">
        <v>26</v>
      </c>
      <c r="N182">
        <v>2</v>
      </c>
      <c r="O182">
        <v>2</v>
      </c>
      <c r="P182" t="s">
        <v>145</v>
      </c>
      <c r="Q182" t="s">
        <v>28</v>
      </c>
      <c r="R182" t="s">
        <v>28</v>
      </c>
      <c r="S182" t="s">
        <v>28</v>
      </c>
      <c r="T182" t="s">
        <v>28</v>
      </c>
      <c r="U182" t="s">
        <v>28</v>
      </c>
      <c r="V182" t="s">
        <v>28</v>
      </c>
      <c r="W182">
        <v>4</v>
      </c>
      <c r="X182" t="s">
        <v>146</v>
      </c>
    </row>
    <row r="183" spans="1:24" x14ac:dyDescent="0.2">
      <c r="A183" t="str">
        <f t="shared" si="6"/>
        <v>sample_miseq-16S-B-H02-L4_SICap-P5-H2-P5D2-RCM-C1R2-yesBile-rep2-day2</v>
      </c>
      <c r="B183" s="1" t="s">
        <v>355</v>
      </c>
      <c r="C183" s="3" t="s">
        <v>931</v>
      </c>
      <c r="D183" s="3" t="s">
        <v>1327</v>
      </c>
      <c r="E183" t="s">
        <v>20</v>
      </c>
      <c r="F183" t="s">
        <v>143</v>
      </c>
      <c r="G183" t="s">
        <v>131</v>
      </c>
      <c r="H183" t="str">
        <f t="shared" si="7"/>
        <v>02</v>
      </c>
      <c r="I183" t="str">
        <f t="shared" si="8"/>
        <v>H</v>
      </c>
      <c r="J183" t="s">
        <v>144</v>
      </c>
      <c r="K183" t="s">
        <v>130</v>
      </c>
      <c r="L183" t="s">
        <v>142</v>
      </c>
      <c r="M183" t="s">
        <v>31</v>
      </c>
      <c r="N183">
        <v>2</v>
      </c>
      <c r="O183">
        <v>2</v>
      </c>
      <c r="P183" t="s">
        <v>145</v>
      </c>
      <c r="Q183" t="s">
        <v>28</v>
      </c>
      <c r="R183" t="s">
        <v>28</v>
      </c>
      <c r="S183" t="s">
        <v>28</v>
      </c>
      <c r="T183" t="s">
        <v>28</v>
      </c>
      <c r="U183" t="s">
        <v>28</v>
      </c>
      <c r="V183" t="s">
        <v>28</v>
      </c>
      <c r="W183">
        <v>4</v>
      </c>
      <c r="X183" t="s">
        <v>146</v>
      </c>
    </row>
    <row r="184" spans="1:24" x14ac:dyDescent="0.2">
      <c r="A184" t="str">
        <f t="shared" si="6"/>
        <v>sample_miseq-16S-B-H03-L4_SICap-P5-H3-P5D2-RCM-C2R1-yesBile-rep2-day2</v>
      </c>
      <c r="B184" s="1" t="s">
        <v>356</v>
      </c>
      <c r="C184" s="3" t="s">
        <v>932</v>
      </c>
      <c r="D184" s="3" t="s">
        <v>1327</v>
      </c>
      <c r="E184" t="s">
        <v>20</v>
      </c>
      <c r="F184" t="s">
        <v>143</v>
      </c>
      <c r="G184" t="s">
        <v>132</v>
      </c>
      <c r="H184" t="str">
        <f t="shared" si="7"/>
        <v>03</v>
      </c>
      <c r="I184" t="str">
        <f t="shared" si="8"/>
        <v>H</v>
      </c>
      <c r="J184" t="s">
        <v>144</v>
      </c>
      <c r="K184" t="s">
        <v>130</v>
      </c>
      <c r="L184" t="s">
        <v>142</v>
      </c>
      <c r="M184" t="s">
        <v>33</v>
      </c>
      <c r="N184">
        <v>2</v>
      </c>
      <c r="O184">
        <v>2</v>
      </c>
      <c r="P184" t="s">
        <v>145</v>
      </c>
      <c r="Q184" t="s">
        <v>28</v>
      </c>
      <c r="R184" t="s">
        <v>28</v>
      </c>
      <c r="S184" t="s">
        <v>28</v>
      </c>
      <c r="T184" t="s">
        <v>28</v>
      </c>
      <c r="U184" t="s">
        <v>28</v>
      </c>
      <c r="V184" t="s">
        <v>28</v>
      </c>
      <c r="W184">
        <v>4</v>
      </c>
      <c r="X184" t="s">
        <v>146</v>
      </c>
    </row>
    <row r="185" spans="1:24" x14ac:dyDescent="0.2">
      <c r="A185" t="str">
        <f t="shared" si="6"/>
        <v>sample_miseq-16S-B-H04-L4_SICap-P5-H4-P5D2-RCM-C2R2-yesBile-rep2-day2</v>
      </c>
      <c r="B185" s="1" t="s">
        <v>357</v>
      </c>
      <c r="C185" s="3" t="s">
        <v>933</v>
      </c>
      <c r="D185" s="3" t="s">
        <v>1327</v>
      </c>
      <c r="E185" t="s">
        <v>20</v>
      </c>
      <c r="F185" t="s">
        <v>143</v>
      </c>
      <c r="G185" t="s">
        <v>133</v>
      </c>
      <c r="H185" t="str">
        <f t="shared" si="7"/>
        <v>04</v>
      </c>
      <c r="I185" t="str">
        <f t="shared" si="8"/>
        <v>H</v>
      </c>
      <c r="J185" t="s">
        <v>144</v>
      </c>
      <c r="K185" t="s">
        <v>130</v>
      </c>
      <c r="L185" t="s">
        <v>142</v>
      </c>
      <c r="M185" t="s">
        <v>35</v>
      </c>
      <c r="N185">
        <v>2</v>
      </c>
      <c r="O185">
        <v>2</v>
      </c>
      <c r="P185" t="s">
        <v>145</v>
      </c>
      <c r="Q185" t="s">
        <v>28</v>
      </c>
      <c r="R185" t="s">
        <v>28</v>
      </c>
      <c r="S185" t="s">
        <v>28</v>
      </c>
      <c r="T185" t="s">
        <v>28</v>
      </c>
      <c r="U185" t="s">
        <v>28</v>
      </c>
      <c r="V185" t="s">
        <v>28</v>
      </c>
      <c r="W185">
        <v>4</v>
      </c>
      <c r="X185" t="s">
        <v>146</v>
      </c>
    </row>
    <row r="186" spans="1:24" x14ac:dyDescent="0.2">
      <c r="A186" t="str">
        <f t="shared" si="6"/>
        <v>sample_miseq-16S-B-H05-L4_SICap-P5-H5-P5D2-RCM-C3R1-yesBile-rep2-day2</v>
      </c>
      <c r="B186" s="1" t="s">
        <v>358</v>
      </c>
      <c r="C186" s="3" t="s">
        <v>934</v>
      </c>
      <c r="D186" s="3" t="s">
        <v>1327</v>
      </c>
      <c r="E186" t="s">
        <v>20</v>
      </c>
      <c r="F186" t="s">
        <v>143</v>
      </c>
      <c r="G186" t="s">
        <v>134</v>
      </c>
      <c r="H186" t="str">
        <f t="shared" si="7"/>
        <v>05</v>
      </c>
      <c r="I186" t="str">
        <f t="shared" si="8"/>
        <v>H</v>
      </c>
      <c r="J186" t="s">
        <v>144</v>
      </c>
      <c r="K186" t="s">
        <v>130</v>
      </c>
      <c r="L186" t="s">
        <v>142</v>
      </c>
      <c r="M186" t="s">
        <v>37</v>
      </c>
      <c r="N186">
        <v>2</v>
      </c>
      <c r="O186">
        <v>2</v>
      </c>
      <c r="P186" t="s">
        <v>145</v>
      </c>
      <c r="Q186" t="s">
        <v>28</v>
      </c>
      <c r="R186" t="s">
        <v>28</v>
      </c>
      <c r="S186" t="s">
        <v>28</v>
      </c>
      <c r="T186" t="s">
        <v>28</v>
      </c>
      <c r="U186" t="s">
        <v>28</v>
      </c>
      <c r="V186" t="s">
        <v>28</v>
      </c>
      <c r="W186">
        <v>4</v>
      </c>
      <c r="X186" t="s">
        <v>146</v>
      </c>
    </row>
    <row r="187" spans="1:24" x14ac:dyDescent="0.2">
      <c r="A187" t="str">
        <f t="shared" si="6"/>
        <v>sample_miseq-16S-B-H06-L4_SICap-P5-H6-P5D2-RCM-C3R2-yesBile-rep2-day2</v>
      </c>
      <c r="B187" s="1" t="s">
        <v>359</v>
      </c>
      <c r="C187" s="3" t="s">
        <v>935</v>
      </c>
      <c r="D187" s="3" t="s">
        <v>1327</v>
      </c>
      <c r="E187" t="s">
        <v>20</v>
      </c>
      <c r="F187" t="s">
        <v>143</v>
      </c>
      <c r="G187" t="s">
        <v>135</v>
      </c>
      <c r="H187" t="str">
        <f t="shared" si="7"/>
        <v>06</v>
      </c>
      <c r="I187" t="str">
        <f t="shared" si="8"/>
        <v>H</v>
      </c>
      <c r="J187" t="s">
        <v>144</v>
      </c>
      <c r="K187" t="s">
        <v>130</v>
      </c>
      <c r="L187" t="s">
        <v>142</v>
      </c>
      <c r="M187" t="s">
        <v>39</v>
      </c>
      <c r="N187">
        <v>2</v>
      </c>
      <c r="O187">
        <v>2</v>
      </c>
      <c r="P187" t="s">
        <v>145</v>
      </c>
      <c r="Q187" t="s">
        <v>28</v>
      </c>
      <c r="R187" t="s">
        <v>28</v>
      </c>
      <c r="S187" t="s">
        <v>28</v>
      </c>
      <c r="T187" t="s">
        <v>28</v>
      </c>
      <c r="U187" t="s">
        <v>28</v>
      </c>
      <c r="V187" t="s">
        <v>28</v>
      </c>
      <c r="W187">
        <v>4</v>
      </c>
      <c r="X187" t="s">
        <v>146</v>
      </c>
    </row>
    <row r="188" spans="1:24" x14ac:dyDescent="0.2">
      <c r="A188" t="str">
        <f t="shared" si="6"/>
        <v>sample_miseq-16S-B-H07-L4_SICap-P5-H7-P5D2-RCM-C4R1-yesBile-rep2-day2</v>
      </c>
      <c r="B188" s="1" t="s">
        <v>360</v>
      </c>
      <c r="C188" s="3" t="s">
        <v>936</v>
      </c>
      <c r="D188" s="3" t="s">
        <v>1327</v>
      </c>
      <c r="E188" t="s">
        <v>20</v>
      </c>
      <c r="F188" t="s">
        <v>143</v>
      </c>
      <c r="G188" t="s">
        <v>136</v>
      </c>
      <c r="H188" t="str">
        <f t="shared" si="7"/>
        <v>07</v>
      </c>
      <c r="I188" t="str">
        <f t="shared" si="8"/>
        <v>H</v>
      </c>
      <c r="J188" t="s">
        <v>144</v>
      </c>
      <c r="K188" t="s">
        <v>130</v>
      </c>
      <c r="L188" t="s">
        <v>142</v>
      </c>
      <c r="M188" t="s">
        <v>41</v>
      </c>
      <c r="N188">
        <v>2</v>
      </c>
      <c r="O188">
        <v>2</v>
      </c>
      <c r="P188" t="s">
        <v>145</v>
      </c>
      <c r="Q188" t="s">
        <v>28</v>
      </c>
      <c r="R188" t="s">
        <v>28</v>
      </c>
      <c r="S188" t="s">
        <v>28</v>
      </c>
      <c r="T188" t="s">
        <v>28</v>
      </c>
      <c r="U188" t="s">
        <v>28</v>
      </c>
      <c r="V188" t="s">
        <v>28</v>
      </c>
      <c r="W188">
        <v>4</v>
      </c>
      <c r="X188" t="s">
        <v>146</v>
      </c>
    </row>
    <row r="189" spans="1:24" x14ac:dyDescent="0.2">
      <c r="A189" t="str">
        <f t="shared" si="6"/>
        <v>sample_miseq-16S-B-H08-L4_SICap-P5-H8-P5D2-RCM-C4R2-yesBile-rep2-day2</v>
      </c>
      <c r="B189" s="1" t="s">
        <v>361</v>
      </c>
      <c r="C189" s="3" t="s">
        <v>937</v>
      </c>
      <c r="D189" s="3" t="s">
        <v>1327</v>
      </c>
      <c r="E189" t="s">
        <v>20</v>
      </c>
      <c r="F189" t="s">
        <v>143</v>
      </c>
      <c r="G189" t="s">
        <v>137</v>
      </c>
      <c r="H189" t="str">
        <f t="shared" si="7"/>
        <v>08</v>
      </c>
      <c r="I189" t="str">
        <f t="shared" si="8"/>
        <v>H</v>
      </c>
      <c r="J189" t="s">
        <v>144</v>
      </c>
      <c r="K189" t="s">
        <v>130</v>
      </c>
      <c r="L189" t="s">
        <v>142</v>
      </c>
      <c r="M189" t="s">
        <v>43</v>
      </c>
      <c r="N189">
        <v>2</v>
      </c>
      <c r="O189">
        <v>2</v>
      </c>
      <c r="P189" t="s">
        <v>145</v>
      </c>
      <c r="Q189" t="s">
        <v>28</v>
      </c>
      <c r="R189" t="s">
        <v>28</v>
      </c>
      <c r="S189" t="s">
        <v>28</v>
      </c>
      <c r="T189" t="s">
        <v>28</v>
      </c>
      <c r="U189" t="s">
        <v>28</v>
      </c>
      <c r="V189" t="s">
        <v>28</v>
      </c>
      <c r="W189">
        <v>4</v>
      </c>
      <c r="X189" t="s">
        <v>146</v>
      </c>
    </row>
    <row r="190" spans="1:24" x14ac:dyDescent="0.2">
      <c r="A190" t="str">
        <f t="shared" si="6"/>
        <v>sample_miseq-16S-B-H09-L4_SICap-P5-H9-P5D2-RCM-S1R2-yesBile-rep2-day2</v>
      </c>
      <c r="B190" s="1" t="s">
        <v>362</v>
      </c>
      <c r="C190" s="3" t="s">
        <v>938</v>
      </c>
      <c r="D190" s="3" t="s">
        <v>1327</v>
      </c>
      <c r="E190" t="s">
        <v>20</v>
      </c>
      <c r="F190" t="s">
        <v>143</v>
      </c>
      <c r="G190" t="s">
        <v>138</v>
      </c>
      <c r="H190" t="str">
        <f t="shared" si="7"/>
        <v>09</v>
      </c>
      <c r="I190" t="str">
        <f t="shared" si="8"/>
        <v>H</v>
      </c>
      <c r="J190" t="s">
        <v>144</v>
      </c>
      <c r="K190" t="s">
        <v>130</v>
      </c>
      <c r="L190" t="s">
        <v>142</v>
      </c>
      <c r="M190" t="s">
        <v>45</v>
      </c>
      <c r="N190">
        <v>2</v>
      </c>
      <c r="O190">
        <v>2</v>
      </c>
      <c r="P190" t="s">
        <v>145</v>
      </c>
      <c r="Q190" t="s">
        <v>28</v>
      </c>
      <c r="R190" t="s">
        <v>28</v>
      </c>
      <c r="S190" t="s">
        <v>28</v>
      </c>
      <c r="T190" t="s">
        <v>28</v>
      </c>
      <c r="U190" t="s">
        <v>28</v>
      </c>
      <c r="V190" t="s">
        <v>28</v>
      </c>
      <c r="W190">
        <v>4</v>
      </c>
      <c r="X190" t="s">
        <v>146</v>
      </c>
    </row>
    <row r="191" spans="1:24" x14ac:dyDescent="0.2">
      <c r="A191" t="str">
        <f t="shared" si="6"/>
        <v>sample_miseq-16S-B-H10-L4_SICap-P5-H10-P5D2-RCM-StoolPool-yesBile-rep2-day2</v>
      </c>
      <c r="B191" s="1" t="s">
        <v>363</v>
      </c>
      <c r="C191" s="3" t="s">
        <v>939</v>
      </c>
      <c r="D191" s="3" t="s">
        <v>1327</v>
      </c>
      <c r="E191" t="s">
        <v>20</v>
      </c>
      <c r="F191" t="s">
        <v>143</v>
      </c>
      <c r="G191" t="s">
        <v>139</v>
      </c>
      <c r="H191" t="str">
        <f t="shared" si="7"/>
        <v>10</v>
      </c>
      <c r="I191" t="str">
        <f t="shared" si="8"/>
        <v>H</v>
      </c>
      <c r="J191" t="s">
        <v>144</v>
      </c>
      <c r="K191" t="s">
        <v>130</v>
      </c>
      <c r="L191" t="s">
        <v>142</v>
      </c>
      <c r="M191" t="s">
        <v>47</v>
      </c>
      <c r="N191">
        <v>2</v>
      </c>
      <c r="O191">
        <v>2</v>
      </c>
      <c r="P191" t="s">
        <v>145</v>
      </c>
      <c r="Q191" t="s">
        <v>28</v>
      </c>
      <c r="R191" t="s">
        <v>28</v>
      </c>
      <c r="S191" t="s">
        <v>28</v>
      </c>
      <c r="T191" t="s">
        <v>28</v>
      </c>
      <c r="U191" t="s">
        <v>28</v>
      </c>
      <c r="V191" t="s">
        <v>28</v>
      </c>
      <c r="W191">
        <v>4</v>
      </c>
      <c r="X191" t="s">
        <v>146</v>
      </c>
    </row>
    <row r="192" spans="1:24" x14ac:dyDescent="0.2">
      <c r="A192" t="str">
        <f t="shared" si="6"/>
        <v>sample_miseq-16S-B-H11-L4_SICap-P5-H11-P5D2-RCM-SIPool-yesBile-rep2-day2</v>
      </c>
      <c r="B192" s="1" t="s">
        <v>364</v>
      </c>
      <c r="C192" s="3" t="s">
        <v>940</v>
      </c>
      <c r="D192" s="3" t="s">
        <v>1327</v>
      </c>
      <c r="E192" t="s">
        <v>20</v>
      </c>
      <c r="F192" t="s">
        <v>143</v>
      </c>
      <c r="G192" t="s">
        <v>140</v>
      </c>
      <c r="H192" t="str">
        <f t="shared" si="7"/>
        <v>11</v>
      </c>
      <c r="I192" t="str">
        <f t="shared" si="8"/>
        <v>H</v>
      </c>
      <c r="J192" t="s">
        <v>144</v>
      </c>
      <c r="K192" t="s">
        <v>130</v>
      </c>
      <c r="L192" t="s">
        <v>142</v>
      </c>
      <c r="M192" t="s">
        <v>49</v>
      </c>
      <c r="N192">
        <v>2</v>
      </c>
      <c r="O192">
        <v>2</v>
      </c>
      <c r="P192" t="s">
        <v>145</v>
      </c>
      <c r="Q192" t="s">
        <v>28</v>
      </c>
      <c r="R192" t="s">
        <v>28</v>
      </c>
      <c r="S192" t="s">
        <v>28</v>
      </c>
      <c r="T192" t="s">
        <v>28</v>
      </c>
      <c r="U192" t="s">
        <v>28</v>
      </c>
      <c r="V192" t="s">
        <v>28</v>
      </c>
      <c r="W192">
        <v>4</v>
      </c>
      <c r="X192" t="s">
        <v>146</v>
      </c>
    </row>
    <row r="193" spans="1:24" x14ac:dyDescent="0.2">
      <c r="A193" t="str">
        <f t="shared" si="6"/>
        <v>sample_miseq-16S-B-H12-L4_SICap-P5-H12-P5D2-RCM-Media-yesBile-rep2-day2</v>
      </c>
      <c r="B193" s="1" t="s">
        <v>365</v>
      </c>
      <c r="C193" s="3" t="s">
        <v>941</v>
      </c>
      <c r="D193" s="3" t="s">
        <v>1327</v>
      </c>
      <c r="E193" t="s">
        <v>20</v>
      </c>
      <c r="F193" t="s">
        <v>143</v>
      </c>
      <c r="G193" t="s">
        <v>141</v>
      </c>
      <c r="H193" t="str">
        <f t="shared" si="7"/>
        <v>12</v>
      </c>
      <c r="I193" t="str">
        <f t="shared" si="8"/>
        <v>H</v>
      </c>
      <c r="J193" t="s">
        <v>144</v>
      </c>
      <c r="K193" t="s">
        <v>130</v>
      </c>
      <c r="L193" t="s">
        <v>142</v>
      </c>
      <c r="M193" t="s">
        <v>6</v>
      </c>
      <c r="N193">
        <v>2</v>
      </c>
      <c r="O193">
        <v>2</v>
      </c>
      <c r="P193" t="s">
        <v>145</v>
      </c>
      <c r="Q193" t="s">
        <v>28</v>
      </c>
      <c r="R193" t="s">
        <v>28</v>
      </c>
      <c r="S193" t="s">
        <v>28</v>
      </c>
      <c r="T193" t="s">
        <v>28</v>
      </c>
      <c r="U193" t="s">
        <v>28</v>
      </c>
      <c r="V193" t="s">
        <v>28</v>
      </c>
      <c r="W193">
        <v>4</v>
      </c>
      <c r="X193" t="s">
        <v>146</v>
      </c>
    </row>
    <row r="194" spans="1:24" x14ac:dyDescent="0.2">
      <c r="A194" t="str">
        <f t="shared" si="6"/>
        <v>sample_miseq-16S-C-A01-L3_SICap-P12-A1-P1D14-M9-C1R1-noBile-rep1-day14</v>
      </c>
      <c r="B194" s="1" t="s">
        <v>366</v>
      </c>
      <c r="C194" s="3" t="s">
        <v>942</v>
      </c>
      <c r="D194" s="3" t="s">
        <v>1327</v>
      </c>
      <c r="E194" t="s">
        <v>20</v>
      </c>
      <c r="F194" t="s">
        <v>148</v>
      </c>
      <c r="G194" t="s">
        <v>22</v>
      </c>
      <c r="H194" t="str">
        <f t="shared" si="7"/>
        <v>01</v>
      </c>
      <c r="I194" t="str">
        <f t="shared" si="8"/>
        <v>A</v>
      </c>
      <c r="J194" t="s">
        <v>149</v>
      </c>
      <c r="K194" t="s">
        <v>24</v>
      </c>
      <c r="L194" t="s">
        <v>25</v>
      </c>
      <c r="M194" t="s">
        <v>26</v>
      </c>
      <c r="N194">
        <v>1</v>
      </c>
      <c r="O194">
        <v>14</v>
      </c>
      <c r="P194" t="s">
        <v>150</v>
      </c>
      <c r="Q194" t="s">
        <v>28</v>
      </c>
      <c r="R194" t="s">
        <v>28</v>
      </c>
      <c r="S194" t="s">
        <v>28</v>
      </c>
      <c r="T194" t="s">
        <v>28</v>
      </c>
      <c r="U194" t="s">
        <v>28</v>
      </c>
      <c r="V194" t="s">
        <v>28</v>
      </c>
      <c r="W194">
        <v>3</v>
      </c>
      <c r="X194" t="s">
        <v>147</v>
      </c>
    </row>
    <row r="195" spans="1:24" x14ac:dyDescent="0.2">
      <c r="A195" t="str">
        <f t="shared" ref="A195:A258" si="9">_xlfn.CONCAT("sample_miseq-",C195)</f>
        <v>sample_miseq-16S-C-A02-L3_SICap-P12-A2-P1D14-M9-C1R2-noBile-rep1-day14</v>
      </c>
      <c r="B195" s="1" t="s">
        <v>367</v>
      </c>
      <c r="C195" s="3" t="s">
        <v>943</v>
      </c>
      <c r="D195" s="3" t="s">
        <v>1327</v>
      </c>
      <c r="E195" t="s">
        <v>20</v>
      </c>
      <c r="F195" t="s">
        <v>148</v>
      </c>
      <c r="G195" t="s">
        <v>30</v>
      </c>
      <c r="H195" t="str">
        <f t="shared" ref="H195:H258" si="10">RIGHT(G195,2)</f>
        <v>02</v>
      </c>
      <c r="I195" t="str">
        <f t="shared" ref="I195:I258" si="11">LEFT(G195)</f>
        <v>A</v>
      </c>
      <c r="J195" t="s">
        <v>149</v>
      </c>
      <c r="K195" t="s">
        <v>24</v>
      </c>
      <c r="L195" t="s">
        <v>25</v>
      </c>
      <c r="M195" t="s">
        <v>31</v>
      </c>
      <c r="N195">
        <v>1</v>
      </c>
      <c r="O195">
        <v>14</v>
      </c>
      <c r="P195" t="s">
        <v>150</v>
      </c>
      <c r="Q195" t="s">
        <v>28</v>
      </c>
      <c r="R195" t="s">
        <v>28</v>
      </c>
      <c r="S195" t="s">
        <v>28</v>
      </c>
      <c r="T195" t="s">
        <v>28</v>
      </c>
      <c r="U195" t="s">
        <v>28</v>
      </c>
      <c r="V195" t="s">
        <v>28</v>
      </c>
      <c r="W195">
        <v>3</v>
      </c>
      <c r="X195" t="s">
        <v>147</v>
      </c>
    </row>
    <row r="196" spans="1:24" x14ac:dyDescent="0.2">
      <c r="A196" t="str">
        <f t="shared" si="9"/>
        <v>sample_miseq-16S-C-A03-L3_SICap-P12-A3-P1D14-M9-C2R1-noBile-rep1-day14</v>
      </c>
      <c r="B196" s="1" t="s">
        <v>368</v>
      </c>
      <c r="C196" s="3" t="s">
        <v>944</v>
      </c>
      <c r="D196" s="3" t="s">
        <v>1327</v>
      </c>
      <c r="E196" t="s">
        <v>20</v>
      </c>
      <c r="F196" t="s">
        <v>148</v>
      </c>
      <c r="G196" t="s">
        <v>32</v>
      </c>
      <c r="H196" t="str">
        <f t="shared" si="10"/>
        <v>03</v>
      </c>
      <c r="I196" t="str">
        <f t="shared" si="11"/>
        <v>A</v>
      </c>
      <c r="J196" t="s">
        <v>149</v>
      </c>
      <c r="K196" t="s">
        <v>24</v>
      </c>
      <c r="L196" t="s">
        <v>25</v>
      </c>
      <c r="M196" t="s">
        <v>33</v>
      </c>
      <c r="N196">
        <v>1</v>
      </c>
      <c r="O196">
        <v>14</v>
      </c>
      <c r="P196" t="s">
        <v>150</v>
      </c>
      <c r="Q196" t="s">
        <v>28</v>
      </c>
      <c r="R196" t="s">
        <v>28</v>
      </c>
      <c r="S196" t="s">
        <v>28</v>
      </c>
      <c r="T196" t="s">
        <v>28</v>
      </c>
      <c r="U196" t="s">
        <v>28</v>
      </c>
      <c r="V196" t="s">
        <v>28</v>
      </c>
      <c r="W196">
        <v>3</v>
      </c>
      <c r="X196" t="s">
        <v>147</v>
      </c>
    </row>
    <row r="197" spans="1:24" x14ac:dyDescent="0.2">
      <c r="A197" t="str">
        <f t="shared" si="9"/>
        <v>sample_miseq-16S-C-A04-L3_SICap-P12-A4-P1D14-M9-C2R2-noBile-rep1-day14</v>
      </c>
      <c r="B197" s="1" t="s">
        <v>369</v>
      </c>
      <c r="C197" s="3" t="s">
        <v>945</v>
      </c>
      <c r="D197" s="3" t="s">
        <v>1327</v>
      </c>
      <c r="E197" t="s">
        <v>20</v>
      </c>
      <c r="F197" t="s">
        <v>148</v>
      </c>
      <c r="G197" t="s">
        <v>34</v>
      </c>
      <c r="H197" t="str">
        <f t="shared" si="10"/>
        <v>04</v>
      </c>
      <c r="I197" t="str">
        <f t="shared" si="11"/>
        <v>A</v>
      </c>
      <c r="J197" t="s">
        <v>149</v>
      </c>
      <c r="K197" t="s">
        <v>24</v>
      </c>
      <c r="L197" t="s">
        <v>25</v>
      </c>
      <c r="M197" t="s">
        <v>35</v>
      </c>
      <c r="N197">
        <v>1</v>
      </c>
      <c r="O197">
        <v>14</v>
      </c>
      <c r="P197" t="s">
        <v>150</v>
      </c>
      <c r="Q197" t="s">
        <v>28</v>
      </c>
      <c r="R197" t="s">
        <v>28</v>
      </c>
      <c r="S197" t="s">
        <v>28</v>
      </c>
      <c r="T197" t="s">
        <v>28</v>
      </c>
      <c r="U197" t="s">
        <v>28</v>
      </c>
      <c r="V197" t="s">
        <v>28</v>
      </c>
      <c r="W197">
        <v>3</v>
      </c>
      <c r="X197" t="s">
        <v>147</v>
      </c>
    </row>
    <row r="198" spans="1:24" x14ac:dyDescent="0.2">
      <c r="A198" t="str">
        <f t="shared" si="9"/>
        <v>sample_miseq-16S-C-A05-L3_SICap-P12-A5-P1D14-M9-C3R1-noBile-rep1-day14</v>
      </c>
      <c r="B198" s="1" t="s">
        <v>370</v>
      </c>
      <c r="C198" s="3" t="s">
        <v>946</v>
      </c>
      <c r="D198" s="3" t="s">
        <v>1327</v>
      </c>
      <c r="E198" t="s">
        <v>20</v>
      </c>
      <c r="F198" t="s">
        <v>148</v>
      </c>
      <c r="G198" t="s">
        <v>36</v>
      </c>
      <c r="H198" t="str">
        <f t="shared" si="10"/>
        <v>05</v>
      </c>
      <c r="I198" t="str">
        <f t="shared" si="11"/>
        <v>A</v>
      </c>
      <c r="J198" t="s">
        <v>149</v>
      </c>
      <c r="K198" t="s">
        <v>24</v>
      </c>
      <c r="L198" t="s">
        <v>25</v>
      </c>
      <c r="M198" t="s">
        <v>37</v>
      </c>
      <c r="N198">
        <v>1</v>
      </c>
      <c r="O198">
        <v>14</v>
      </c>
      <c r="P198" t="s">
        <v>150</v>
      </c>
      <c r="Q198" t="s">
        <v>28</v>
      </c>
      <c r="R198" t="s">
        <v>28</v>
      </c>
      <c r="S198" t="s">
        <v>28</v>
      </c>
      <c r="T198" t="s">
        <v>28</v>
      </c>
      <c r="U198" t="s">
        <v>28</v>
      </c>
      <c r="V198" t="s">
        <v>28</v>
      </c>
      <c r="W198">
        <v>3</v>
      </c>
      <c r="X198" t="s">
        <v>147</v>
      </c>
    </row>
    <row r="199" spans="1:24" x14ac:dyDescent="0.2">
      <c r="A199" t="str">
        <f t="shared" si="9"/>
        <v>sample_miseq-16S-C-A06-L3_SICap-P12-A6-P1D14-M9-C3R2-noBile-rep1-day14</v>
      </c>
      <c r="B199" s="1" t="s">
        <v>371</v>
      </c>
      <c r="C199" s="3" t="s">
        <v>947</v>
      </c>
      <c r="D199" s="3" t="s">
        <v>1327</v>
      </c>
      <c r="E199" t="s">
        <v>20</v>
      </c>
      <c r="F199" t="s">
        <v>148</v>
      </c>
      <c r="G199" t="s">
        <v>38</v>
      </c>
      <c r="H199" t="str">
        <f t="shared" si="10"/>
        <v>06</v>
      </c>
      <c r="I199" t="str">
        <f t="shared" si="11"/>
        <v>A</v>
      </c>
      <c r="J199" t="s">
        <v>149</v>
      </c>
      <c r="K199" t="s">
        <v>24</v>
      </c>
      <c r="L199" t="s">
        <v>25</v>
      </c>
      <c r="M199" t="s">
        <v>39</v>
      </c>
      <c r="N199">
        <v>1</v>
      </c>
      <c r="O199">
        <v>14</v>
      </c>
      <c r="P199" t="s">
        <v>150</v>
      </c>
      <c r="Q199" t="s">
        <v>28</v>
      </c>
      <c r="R199" t="s">
        <v>28</v>
      </c>
      <c r="S199" t="s">
        <v>28</v>
      </c>
      <c r="T199" t="s">
        <v>28</v>
      </c>
      <c r="U199" t="s">
        <v>28</v>
      </c>
      <c r="V199" t="s">
        <v>28</v>
      </c>
      <c r="W199">
        <v>3</v>
      </c>
      <c r="X199" t="s">
        <v>147</v>
      </c>
    </row>
    <row r="200" spans="1:24" x14ac:dyDescent="0.2">
      <c r="A200" t="str">
        <f t="shared" si="9"/>
        <v>sample_miseq-16S-C-A07-L3_SICap-P12-A7-P1D14-M9-C4R1-noBile-rep1-day14</v>
      </c>
      <c r="B200" s="1" t="s">
        <v>372</v>
      </c>
      <c r="C200" s="3" t="s">
        <v>948</v>
      </c>
      <c r="D200" s="3" t="s">
        <v>1327</v>
      </c>
      <c r="E200" t="s">
        <v>20</v>
      </c>
      <c r="F200" t="s">
        <v>148</v>
      </c>
      <c r="G200" t="s">
        <v>40</v>
      </c>
      <c r="H200" t="str">
        <f t="shared" si="10"/>
        <v>07</v>
      </c>
      <c r="I200" t="str">
        <f t="shared" si="11"/>
        <v>A</v>
      </c>
      <c r="J200" t="s">
        <v>149</v>
      </c>
      <c r="K200" t="s">
        <v>24</v>
      </c>
      <c r="L200" t="s">
        <v>25</v>
      </c>
      <c r="M200" t="s">
        <v>41</v>
      </c>
      <c r="N200">
        <v>1</v>
      </c>
      <c r="O200">
        <v>14</v>
      </c>
      <c r="P200" t="s">
        <v>150</v>
      </c>
      <c r="Q200" t="s">
        <v>28</v>
      </c>
      <c r="R200" t="s">
        <v>28</v>
      </c>
      <c r="S200" t="s">
        <v>28</v>
      </c>
      <c r="T200" t="s">
        <v>28</v>
      </c>
      <c r="U200" t="s">
        <v>28</v>
      </c>
      <c r="V200" t="s">
        <v>28</v>
      </c>
      <c r="W200">
        <v>3</v>
      </c>
      <c r="X200" t="s">
        <v>147</v>
      </c>
    </row>
    <row r="201" spans="1:24" x14ac:dyDescent="0.2">
      <c r="A201" t="str">
        <f t="shared" si="9"/>
        <v>sample_miseq-16S-C-A08-L3_SICap-P12-A8-P1D14-M9-C4R2-noBile-rep1-day14</v>
      </c>
      <c r="B201" s="1" t="s">
        <v>373</v>
      </c>
      <c r="C201" s="3" t="s">
        <v>949</v>
      </c>
      <c r="D201" s="3" t="s">
        <v>1327</v>
      </c>
      <c r="E201" t="s">
        <v>20</v>
      </c>
      <c r="F201" t="s">
        <v>148</v>
      </c>
      <c r="G201" t="s">
        <v>42</v>
      </c>
      <c r="H201" t="str">
        <f t="shared" si="10"/>
        <v>08</v>
      </c>
      <c r="I201" t="str">
        <f t="shared" si="11"/>
        <v>A</v>
      </c>
      <c r="J201" t="s">
        <v>149</v>
      </c>
      <c r="K201" t="s">
        <v>24</v>
      </c>
      <c r="L201" t="s">
        <v>25</v>
      </c>
      <c r="M201" t="s">
        <v>43</v>
      </c>
      <c r="N201">
        <v>1</v>
      </c>
      <c r="O201">
        <v>14</v>
      </c>
      <c r="P201" t="s">
        <v>150</v>
      </c>
      <c r="Q201" t="s">
        <v>28</v>
      </c>
      <c r="R201" t="s">
        <v>28</v>
      </c>
      <c r="S201" t="s">
        <v>28</v>
      </c>
      <c r="T201" t="s">
        <v>28</v>
      </c>
      <c r="U201" t="s">
        <v>28</v>
      </c>
      <c r="V201" t="s">
        <v>28</v>
      </c>
      <c r="W201">
        <v>3</v>
      </c>
      <c r="X201" t="s">
        <v>147</v>
      </c>
    </row>
    <row r="202" spans="1:24" x14ac:dyDescent="0.2">
      <c r="A202" t="str">
        <f t="shared" si="9"/>
        <v>sample_miseq-16S-C-A09-L3_SICap-P12-A9-P1D14-M9-S1R2-noBile-rep1-day14</v>
      </c>
      <c r="B202" s="1" t="s">
        <v>374</v>
      </c>
      <c r="C202" s="3" t="s">
        <v>950</v>
      </c>
      <c r="D202" s="3" t="s">
        <v>1327</v>
      </c>
      <c r="E202" t="s">
        <v>20</v>
      </c>
      <c r="F202" t="s">
        <v>148</v>
      </c>
      <c r="G202" t="s">
        <v>44</v>
      </c>
      <c r="H202" t="str">
        <f t="shared" si="10"/>
        <v>09</v>
      </c>
      <c r="I202" t="str">
        <f t="shared" si="11"/>
        <v>A</v>
      </c>
      <c r="J202" t="s">
        <v>149</v>
      </c>
      <c r="K202" t="s">
        <v>24</v>
      </c>
      <c r="L202" t="s">
        <v>25</v>
      </c>
      <c r="M202" t="s">
        <v>45</v>
      </c>
      <c r="N202">
        <v>1</v>
      </c>
      <c r="O202">
        <v>14</v>
      </c>
      <c r="P202" t="s">
        <v>150</v>
      </c>
      <c r="Q202" t="s">
        <v>28</v>
      </c>
      <c r="R202" t="s">
        <v>28</v>
      </c>
      <c r="S202" t="s">
        <v>28</v>
      </c>
      <c r="T202" t="s">
        <v>28</v>
      </c>
      <c r="U202" t="s">
        <v>28</v>
      </c>
      <c r="V202" t="s">
        <v>28</v>
      </c>
      <c r="W202">
        <v>3</v>
      </c>
      <c r="X202" t="s">
        <v>147</v>
      </c>
    </row>
    <row r="203" spans="1:24" x14ac:dyDescent="0.2">
      <c r="A203" t="str">
        <f t="shared" si="9"/>
        <v>sample_miseq-16S-C-A10-L3_SICap-P12-A10-P1D14-M9-StoolPool-noBile-rep1-day14</v>
      </c>
      <c r="B203" s="1" t="s">
        <v>375</v>
      </c>
      <c r="C203" s="3" t="s">
        <v>951</v>
      </c>
      <c r="D203" s="3" t="s">
        <v>1327</v>
      </c>
      <c r="E203" t="s">
        <v>20</v>
      </c>
      <c r="F203" t="s">
        <v>148</v>
      </c>
      <c r="G203" t="s">
        <v>46</v>
      </c>
      <c r="H203" t="str">
        <f t="shared" si="10"/>
        <v>10</v>
      </c>
      <c r="I203" t="str">
        <f t="shared" si="11"/>
        <v>A</v>
      </c>
      <c r="J203" t="s">
        <v>149</v>
      </c>
      <c r="K203" t="s">
        <v>24</v>
      </c>
      <c r="L203" t="s">
        <v>25</v>
      </c>
      <c r="M203" t="s">
        <v>47</v>
      </c>
      <c r="N203">
        <v>1</v>
      </c>
      <c r="O203">
        <v>14</v>
      </c>
      <c r="P203" t="s">
        <v>150</v>
      </c>
      <c r="Q203" t="s">
        <v>28</v>
      </c>
      <c r="R203" t="s">
        <v>28</v>
      </c>
      <c r="S203" t="s">
        <v>28</v>
      </c>
      <c r="T203" t="s">
        <v>28</v>
      </c>
      <c r="U203" t="s">
        <v>28</v>
      </c>
      <c r="V203" t="s">
        <v>28</v>
      </c>
      <c r="W203">
        <v>3</v>
      </c>
      <c r="X203" t="s">
        <v>147</v>
      </c>
    </row>
    <row r="204" spans="1:24" x14ac:dyDescent="0.2">
      <c r="A204" t="str">
        <f t="shared" si="9"/>
        <v>sample_miseq-16S-C-A11-L3_SICap-P12-A11-P1D14-M9-SIPool-noBile-rep1-day14</v>
      </c>
      <c r="B204" s="1" t="s">
        <v>376</v>
      </c>
      <c r="C204" s="3" t="s">
        <v>952</v>
      </c>
      <c r="D204" s="3" t="s">
        <v>1327</v>
      </c>
      <c r="E204" t="s">
        <v>20</v>
      </c>
      <c r="F204" t="s">
        <v>148</v>
      </c>
      <c r="G204" t="s">
        <v>48</v>
      </c>
      <c r="H204" t="str">
        <f t="shared" si="10"/>
        <v>11</v>
      </c>
      <c r="I204" t="str">
        <f t="shared" si="11"/>
        <v>A</v>
      </c>
      <c r="J204" t="s">
        <v>149</v>
      </c>
      <c r="K204" t="s">
        <v>24</v>
      </c>
      <c r="L204" t="s">
        <v>25</v>
      </c>
      <c r="M204" t="s">
        <v>49</v>
      </c>
      <c r="N204">
        <v>1</v>
      </c>
      <c r="O204">
        <v>14</v>
      </c>
      <c r="P204" t="s">
        <v>150</v>
      </c>
      <c r="Q204" t="s">
        <v>28</v>
      </c>
      <c r="R204" t="s">
        <v>28</v>
      </c>
      <c r="S204" t="s">
        <v>28</v>
      </c>
      <c r="T204" t="s">
        <v>28</v>
      </c>
      <c r="U204" t="s">
        <v>28</v>
      </c>
      <c r="V204" t="s">
        <v>28</v>
      </c>
      <c r="W204">
        <v>3</v>
      </c>
      <c r="X204" t="s">
        <v>147</v>
      </c>
    </row>
    <row r="205" spans="1:24" x14ac:dyDescent="0.2">
      <c r="A205" t="str">
        <f t="shared" si="9"/>
        <v>sample_miseq-16S-C-A12-L3_SICap-P12-A12-P1D14-M9-Media-noBile-rep1-day14</v>
      </c>
      <c r="B205" s="1" t="s">
        <v>377</v>
      </c>
      <c r="C205" s="3" t="s">
        <v>953</v>
      </c>
      <c r="D205" s="3" t="s">
        <v>1327</v>
      </c>
      <c r="E205" t="s">
        <v>20</v>
      </c>
      <c r="F205" t="s">
        <v>148</v>
      </c>
      <c r="G205" t="s">
        <v>50</v>
      </c>
      <c r="H205" t="str">
        <f t="shared" si="10"/>
        <v>12</v>
      </c>
      <c r="I205" t="str">
        <f t="shared" si="11"/>
        <v>A</v>
      </c>
      <c r="J205" t="s">
        <v>149</v>
      </c>
      <c r="K205" t="s">
        <v>24</v>
      </c>
      <c r="L205" t="s">
        <v>25</v>
      </c>
      <c r="M205" t="s">
        <v>6</v>
      </c>
      <c r="N205">
        <v>1</v>
      </c>
      <c r="O205">
        <v>14</v>
      </c>
      <c r="P205" t="s">
        <v>150</v>
      </c>
      <c r="Q205" t="s">
        <v>28</v>
      </c>
      <c r="R205" t="s">
        <v>28</v>
      </c>
      <c r="S205" t="s">
        <v>28</v>
      </c>
      <c r="T205" t="s">
        <v>28</v>
      </c>
      <c r="U205" t="s">
        <v>28</v>
      </c>
      <c r="V205" t="s">
        <v>28</v>
      </c>
      <c r="W205">
        <v>3</v>
      </c>
      <c r="X205" t="s">
        <v>147</v>
      </c>
    </row>
    <row r="206" spans="1:24" x14ac:dyDescent="0.2">
      <c r="A206" t="str">
        <f t="shared" si="9"/>
        <v>sample_miseq-16S-C-B01-L3_SICap-P12-B1-P1D14-EZ-RDM-C1R1-noBile-rep1-day14</v>
      </c>
      <c r="B206" s="1" t="s">
        <v>378</v>
      </c>
      <c r="C206" s="3" t="s">
        <v>954</v>
      </c>
      <c r="D206" s="3" t="s">
        <v>1327</v>
      </c>
      <c r="E206" t="s">
        <v>20</v>
      </c>
      <c r="F206" t="s">
        <v>148</v>
      </c>
      <c r="G206" t="s">
        <v>51</v>
      </c>
      <c r="H206" t="str">
        <f t="shared" si="10"/>
        <v>01</v>
      </c>
      <c r="I206" t="str">
        <f t="shared" si="11"/>
        <v>B</v>
      </c>
      <c r="J206" t="s">
        <v>149</v>
      </c>
      <c r="K206" t="s">
        <v>52</v>
      </c>
      <c r="L206" t="s">
        <v>25</v>
      </c>
      <c r="M206" t="s">
        <v>26</v>
      </c>
      <c r="N206">
        <v>1</v>
      </c>
      <c r="O206">
        <v>14</v>
      </c>
      <c r="P206" t="s">
        <v>150</v>
      </c>
      <c r="Q206" t="s">
        <v>28</v>
      </c>
      <c r="R206" t="s">
        <v>28</v>
      </c>
      <c r="S206" t="s">
        <v>28</v>
      </c>
      <c r="T206" t="s">
        <v>28</v>
      </c>
      <c r="U206" t="s">
        <v>28</v>
      </c>
      <c r="V206" t="s">
        <v>28</v>
      </c>
      <c r="W206">
        <v>3</v>
      </c>
      <c r="X206" t="s">
        <v>147</v>
      </c>
    </row>
    <row r="207" spans="1:24" x14ac:dyDescent="0.2">
      <c r="A207" t="str">
        <f t="shared" si="9"/>
        <v>sample_miseq-16S-C-B02-L3_SICap-P12-B2-P1D14-EZ-RDM-C1R2-noBile-rep1-day14</v>
      </c>
      <c r="B207" s="1" t="s">
        <v>379</v>
      </c>
      <c r="C207" s="3" t="s">
        <v>955</v>
      </c>
      <c r="D207" s="3" t="s">
        <v>1327</v>
      </c>
      <c r="E207" t="s">
        <v>20</v>
      </c>
      <c r="F207" t="s">
        <v>148</v>
      </c>
      <c r="G207" t="s">
        <v>53</v>
      </c>
      <c r="H207" t="str">
        <f t="shared" si="10"/>
        <v>02</v>
      </c>
      <c r="I207" t="str">
        <f t="shared" si="11"/>
        <v>B</v>
      </c>
      <c r="J207" t="s">
        <v>149</v>
      </c>
      <c r="K207" t="s">
        <v>52</v>
      </c>
      <c r="L207" t="s">
        <v>25</v>
      </c>
      <c r="M207" t="s">
        <v>31</v>
      </c>
      <c r="N207">
        <v>1</v>
      </c>
      <c r="O207">
        <v>14</v>
      </c>
      <c r="P207" t="s">
        <v>150</v>
      </c>
      <c r="Q207" t="s">
        <v>28</v>
      </c>
      <c r="R207" t="s">
        <v>28</v>
      </c>
      <c r="S207" t="s">
        <v>28</v>
      </c>
      <c r="T207" t="s">
        <v>28</v>
      </c>
      <c r="U207" t="s">
        <v>28</v>
      </c>
      <c r="V207" t="s">
        <v>28</v>
      </c>
      <c r="W207">
        <v>3</v>
      </c>
      <c r="X207" t="s">
        <v>147</v>
      </c>
    </row>
    <row r="208" spans="1:24" x14ac:dyDescent="0.2">
      <c r="A208" t="str">
        <f t="shared" si="9"/>
        <v>sample_miseq-16S-C-B03-L3_SICap-P12-B3-P1D14-EZ-RDM-C2R1-noBile-rep1-day14</v>
      </c>
      <c r="B208" s="1" t="s">
        <v>380</v>
      </c>
      <c r="C208" s="3" t="s">
        <v>956</v>
      </c>
      <c r="D208" s="3" t="s">
        <v>1327</v>
      </c>
      <c r="E208" t="s">
        <v>20</v>
      </c>
      <c r="F208" t="s">
        <v>148</v>
      </c>
      <c r="G208" t="s">
        <v>54</v>
      </c>
      <c r="H208" t="str">
        <f t="shared" si="10"/>
        <v>03</v>
      </c>
      <c r="I208" t="str">
        <f t="shared" si="11"/>
        <v>B</v>
      </c>
      <c r="J208" t="s">
        <v>149</v>
      </c>
      <c r="K208" t="s">
        <v>52</v>
      </c>
      <c r="L208" t="s">
        <v>25</v>
      </c>
      <c r="M208" t="s">
        <v>33</v>
      </c>
      <c r="N208">
        <v>1</v>
      </c>
      <c r="O208">
        <v>14</v>
      </c>
      <c r="P208" t="s">
        <v>150</v>
      </c>
      <c r="Q208" t="s">
        <v>28</v>
      </c>
      <c r="R208" t="s">
        <v>28</v>
      </c>
      <c r="S208" t="s">
        <v>28</v>
      </c>
      <c r="T208" t="s">
        <v>28</v>
      </c>
      <c r="U208" t="s">
        <v>28</v>
      </c>
      <c r="V208" t="s">
        <v>28</v>
      </c>
      <c r="W208">
        <v>3</v>
      </c>
      <c r="X208" t="s">
        <v>147</v>
      </c>
    </row>
    <row r="209" spans="1:24" x14ac:dyDescent="0.2">
      <c r="A209" t="str">
        <f t="shared" si="9"/>
        <v>sample_miseq-16S-C-B04-L3_SICap-P12-B4-P1D14-EZ-RDM-C2R2-noBile-rep1-day14</v>
      </c>
      <c r="B209" s="1" t="s">
        <v>381</v>
      </c>
      <c r="C209" s="3" t="s">
        <v>957</v>
      </c>
      <c r="D209" s="3" t="s">
        <v>1327</v>
      </c>
      <c r="E209" t="s">
        <v>20</v>
      </c>
      <c r="F209" t="s">
        <v>148</v>
      </c>
      <c r="G209" t="s">
        <v>55</v>
      </c>
      <c r="H209" t="str">
        <f t="shared" si="10"/>
        <v>04</v>
      </c>
      <c r="I209" t="str">
        <f t="shared" si="11"/>
        <v>B</v>
      </c>
      <c r="J209" t="s">
        <v>149</v>
      </c>
      <c r="K209" t="s">
        <v>52</v>
      </c>
      <c r="L209" t="s">
        <v>25</v>
      </c>
      <c r="M209" t="s">
        <v>35</v>
      </c>
      <c r="N209">
        <v>1</v>
      </c>
      <c r="O209">
        <v>14</v>
      </c>
      <c r="P209" t="s">
        <v>150</v>
      </c>
      <c r="Q209" t="s">
        <v>28</v>
      </c>
      <c r="R209" t="s">
        <v>28</v>
      </c>
      <c r="S209" t="s">
        <v>28</v>
      </c>
      <c r="T209" t="s">
        <v>28</v>
      </c>
      <c r="U209" t="s">
        <v>28</v>
      </c>
      <c r="V209" t="s">
        <v>28</v>
      </c>
      <c r="W209">
        <v>3</v>
      </c>
      <c r="X209" t="s">
        <v>147</v>
      </c>
    </row>
    <row r="210" spans="1:24" x14ac:dyDescent="0.2">
      <c r="A210" t="str">
        <f t="shared" si="9"/>
        <v>sample_miseq-16S-C-B05-L3_SICap-P12-B5-P1D14-EZ-RDM-C3R1-noBile-rep1-day14</v>
      </c>
      <c r="B210" s="1" t="s">
        <v>382</v>
      </c>
      <c r="C210" s="3" t="s">
        <v>958</v>
      </c>
      <c r="D210" s="3" t="s">
        <v>1327</v>
      </c>
      <c r="E210" t="s">
        <v>20</v>
      </c>
      <c r="F210" t="s">
        <v>148</v>
      </c>
      <c r="G210" t="s">
        <v>56</v>
      </c>
      <c r="H210" t="str">
        <f t="shared" si="10"/>
        <v>05</v>
      </c>
      <c r="I210" t="str">
        <f t="shared" si="11"/>
        <v>B</v>
      </c>
      <c r="J210" t="s">
        <v>149</v>
      </c>
      <c r="K210" t="s">
        <v>52</v>
      </c>
      <c r="L210" t="s">
        <v>25</v>
      </c>
      <c r="M210" t="s">
        <v>37</v>
      </c>
      <c r="N210">
        <v>1</v>
      </c>
      <c r="O210">
        <v>14</v>
      </c>
      <c r="P210" t="s">
        <v>150</v>
      </c>
      <c r="Q210" t="s">
        <v>28</v>
      </c>
      <c r="R210" t="s">
        <v>28</v>
      </c>
      <c r="S210" t="s">
        <v>28</v>
      </c>
      <c r="T210" t="s">
        <v>28</v>
      </c>
      <c r="U210" t="s">
        <v>28</v>
      </c>
      <c r="V210" t="s">
        <v>28</v>
      </c>
      <c r="W210">
        <v>3</v>
      </c>
      <c r="X210" t="s">
        <v>147</v>
      </c>
    </row>
    <row r="211" spans="1:24" x14ac:dyDescent="0.2">
      <c r="A211" t="str">
        <f t="shared" si="9"/>
        <v>sample_miseq-16S-C-B06-L3_SICap-P12-B6-P1D14-EZ-RDM-C3R2-noBile-rep1-day14</v>
      </c>
      <c r="B211" s="1" t="s">
        <v>383</v>
      </c>
      <c r="C211" s="3" t="s">
        <v>959</v>
      </c>
      <c r="D211" s="3" t="s">
        <v>1327</v>
      </c>
      <c r="E211" t="s">
        <v>20</v>
      </c>
      <c r="F211" t="s">
        <v>148</v>
      </c>
      <c r="G211" t="s">
        <v>57</v>
      </c>
      <c r="H211" t="str">
        <f t="shared" si="10"/>
        <v>06</v>
      </c>
      <c r="I211" t="str">
        <f t="shared" si="11"/>
        <v>B</v>
      </c>
      <c r="J211" t="s">
        <v>149</v>
      </c>
      <c r="K211" t="s">
        <v>52</v>
      </c>
      <c r="L211" t="s">
        <v>25</v>
      </c>
      <c r="M211" t="s">
        <v>39</v>
      </c>
      <c r="N211">
        <v>1</v>
      </c>
      <c r="O211">
        <v>14</v>
      </c>
      <c r="P211" t="s">
        <v>150</v>
      </c>
      <c r="Q211" t="s">
        <v>28</v>
      </c>
      <c r="R211" t="s">
        <v>28</v>
      </c>
      <c r="S211" t="s">
        <v>28</v>
      </c>
      <c r="T211" t="s">
        <v>28</v>
      </c>
      <c r="U211" t="s">
        <v>28</v>
      </c>
      <c r="V211" t="s">
        <v>28</v>
      </c>
      <c r="W211">
        <v>3</v>
      </c>
      <c r="X211" t="s">
        <v>147</v>
      </c>
    </row>
    <row r="212" spans="1:24" x14ac:dyDescent="0.2">
      <c r="A212" t="str">
        <f t="shared" si="9"/>
        <v>sample_miseq-16S-C-B07-L3_SICap-P12-B7-P1D14-EZ-RDM-C4R1-noBile-rep1-day14</v>
      </c>
      <c r="B212" s="1" t="s">
        <v>384</v>
      </c>
      <c r="C212" s="3" t="s">
        <v>960</v>
      </c>
      <c r="D212" s="3" t="s">
        <v>1327</v>
      </c>
      <c r="E212" t="s">
        <v>20</v>
      </c>
      <c r="F212" t="s">
        <v>148</v>
      </c>
      <c r="G212" t="s">
        <v>58</v>
      </c>
      <c r="H212" t="str">
        <f t="shared" si="10"/>
        <v>07</v>
      </c>
      <c r="I212" t="str">
        <f t="shared" si="11"/>
        <v>B</v>
      </c>
      <c r="J212" t="s">
        <v>149</v>
      </c>
      <c r="K212" t="s">
        <v>52</v>
      </c>
      <c r="L212" t="s">
        <v>25</v>
      </c>
      <c r="M212" t="s">
        <v>41</v>
      </c>
      <c r="N212">
        <v>1</v>
      </c>
      <c r="O212">
        <v>14</v>
      </c>
      <c r="P212" t="s">
        <v>150</v>
      </c>
      <c r="Q212" t="s">
        <v>28</v>
      </c>
      <c r="R212" t="s">
        <v>28</v>
      </c>
      <c r="S212" t="s">
        <v>28</v>
      </c>
      <c r="T212" t="s">
        <v>28</v>
      </c>
      <c r="U212" t="s">
        <v>28</v>
      </c>
      <c r="V212" t="s">
        <v>28</v>
      </c>
      <c r="W212">
        <v>3</v>
      </c>
      <c r="X212" t="s">
        <v>147</v>
      </c>
    </row>
    <row r="213" spans="1:24" x14ac:dyDescent="0.2">
      <c r="A213" t="str">
        <f t="shared" si="9"/>
        <v>sample_miseq-16S-C-B08-L3_SICap-P12-B8-P1D14-EZ-RDM-C4R2-noBile-rep1-day14</v>
      </c>
      <c r="B213" s="1" t="s">
        <v>385</v>
      </c>
      <c r="C213" s="3" t="s">
        <v>961</v>
      </c>
      <c r="D213" s="3" t="s">
        <v>1327</v>
      </c>
      <c r="E213" t="s">
        <v>20</v>
      </c>
      <c r="F213" t="s">
        <v>148</v>
      </c>
      <c r="G213" t="s">
        <v>59</v>
      </c>
      <c r="H213" t="str">
        <f t="shared" si="10"/>
        <v>08</v>
      </c>
      <c r="I213" t="str">
        <f t="shared" si="11"/>
        <v>B</v>
      </c>
      <c r="J213" t="s">
        <v>149</v>
      </c>
      <c r="K213" t="s">
        <v>52</v>
      </c>
      <c r="L213" t="s">
        <v>25</v>
      </c>
      <c r="M213" t="s">
        <v>43</v>
      </c>
      <c r="N213">
        <v>1</v>
      </c>
      <c r="O213">
        <v>14</v>
      </c>
      <c r="P213" t="s">
        <v>150</v>
      </c>
      <c r="Q213" t="s">
        <v>28</v>
      </c>
      <c r="R213" t="s">
        <v>28</v>
      </c>
      <c r="S213" t="s">
        <v>28</v>
      </c>
      <c r="T213" t="s">
        <v>28</v>
      </c>
      <c r="U213" t="s">
        <v>28</v>
      </c>
      <c r="V213" t="s">
        <v>28</v>
      </c>
      <c r="W213">
        <v>3</v>
      </c>
      <c r="X213" t="s">
        <v>147</v>
      </c>
    </row>
    <row r="214" spans="1:24" x14ac:dyDescent="0.2">
      <c r="A214" t="str">
        <f t="shared" si="9"/>
        <v>sample_miseq-16S-C-B09-L3_SICap-P12-B9-P1D14-EZ-RDM-S1R2-noBile-rep1-day14</v>
      </c>
      <c r="B214" s="1" t="s">
        <v>386</v>
      </c>
      <c r="C214" s="3" t="s">
        <v>962</v>
      </c>
      <c r="D214" s="3" t="s">
        <v>1327</v>
      </c>
      <c r="E214" t="s">
        <v>20</v>
      </c>
      <c r="F214" t="s">
        <v>148</v>
      </c>
      <c r="G214" t="s">
        <v>60</v>
      </c>
      <c r="H214" t="str">
        <f t="shared" si="10"/>
        <v>09</v>
      </c>
      <c r="I214" t="str">
        <f t="shared" si="11"/>
        <v>B</v>
      </c>
      <c r="J214" t="s">
        <v>149</v>
      </c>
      <c r="K214" t="s">
        <v>52</v>
      </c>
      <c r="L214" t="s">
        <v>25</v>
      </c>
      <c r="M214" t="s">
        <v>45</v>
      </c>
      <c r="N214">
        <v>1</v>
      </c>
      <c r="O214">
        <v>14</v>
      </c>
      <c r="P214" t="s">
        <v>150</v>
      </c>
      <c r="Q214" t="s">
        <v>28</v>
      </c>
      <c r="R214" t="s">
        <v>28</v>
      </c>
      <c r="S214" t="s">
        <v>28</v>
      </c>
      <c r="T214" t="s">
        <v>28</v>
      </c>
      <c r="U214" t="s">
        <v>28</v>
      </c>
      <c r="V214" t="s">
        <v>28</v>
      </c>
      <c r="W214">
        <v>3</v>
      </c>
      <c r="X214" t="s">
        <v>147</v>
      </c>
    </row>
    <row r="215" spans="1:24" x14ac:dyDescent="0.2">
      <c r="A215" t="str">
        <f t="shared" si="9"/>
        <v>sample_miseq-16S-C-B10-L3_SICap-P12-B10-P1D14-EZ-RDM-StoolPool-noBile-rep1-day14</v>
      </c>
      <c r="B215" s="1" t="s">
        <v>387</v>
      </c>
      <c r="C215" s="3" t="s">
        <v>963</v>
      </c>
      <c r="D215" s="3" t="s">
        <v>1327</v>
      </c>
      <c r="E215" t="s">
        <v>20</v>
      </c>
      <c r="F215" t="s">
        <v>148</v>
      </c>
      <c r="G215" t="s">
        <v>61</v>
      </c>
      <c r="H215" t="str">
        <f t="shared" si="10"/>
        <v>10</v>
      </c>
      <c r="I215" t="str">
        <f t="shared" si="11"/>
        <v>B</v>
      </c>
      <c r="J215" t="s">
        <v>149</v>
      </c>
      <c r="K215" t="s">
        <v>52</v>
      </c>
      <c r="L215" t="s">
        <v>25</v>
      </c>
      <c r="M215" t="s">
        <v>47</v>
      </c>
      <c r="N215">
        <v>1</v>
      </c>
      <c r="O215">
        <v>14</v>
      </c>
      <c r="P215" t="s">
        <v>150</v>
      </c>
      <c r="Q215" t="s">
        <v>28</v>
      </c>
      <c r="R215" t="s">
        <v>28</v>
      </c>
      <c r="S215" t="s">
        <v>28</v>
      </c>
      <c r="T215" t="s">
        <v>28</v>
      </c>
      <c r="U215" t="s">
        <v>28</v>
      </c>
      <c r="V215" t="s">
        <v>28</v>
      </c>
      <c r="W215">
        <v>3</v>
      </c>
      <c r="X215" t="s">
        <v>147</v>
      </c>
    </row>
    <row r="216" spans="1:24" x14ac:dyDescent="0.2">
      <c r="A216" t="str">
        <f t="shared" si="9"/>
        <v>sample_miseq-16S-C-B11-L3_SICap-P12-B11-P1D14-EZ-RDM-SIPool-noBile-rep1-day14</v>
      </c>
      <c r="B216" s="1" t="s">
        <v>388</v>
      </c>
      <c r="C216" s="3" t="s">
        <v>964</v>
      </c>
      <c r="D216" s="3" t="s">
        <v>1327</v>
      </c>
      <c r="E216" t="s">
        <v>20</v>
      </c>
      <c r="F216" t="s">
        <v>148</v>
      </c>
      <c r="G216" t="s">
        <v>62</v>
      </c>
      <c r="H216" t="str">
        <f t="shared" si="10"/>
        <v>11</v>
      </c>
      <c r="I216" t="str">
        <f t="shared" si="11"/>
        <v>B</v>
      </c>
      <c r="J216" t="s">
        <v>149</v>
      </c>
      <c r="K216" t="s">
        <v>52</v>
      </c>
      <c r="L216" t="s">
        <v>25</v>
      </c>
      <c r="M216" t="s">
        <v>49</v>
      </c>
      <c r="N216">
        <v>1</v>
      </c>
      <c r="O216">
        <v>14</v>
      </c>
      <c r="P216" t="s">
        <v>150</v>
      </c>
      <c r="Q216" t="s">
        <v>28</v>
      </c>
      <c r="R216" t="s">
        <v>28</v>
      </c>
      <c r="S216" t="s">
        <v>28</v>
      </c>
      <c r="T216" t="s">
        <v>28</v>
      </c>
      <c r="U216" t="s">
        <v>28</v>
      </c>
      <c r="V216" t="s">
        <v>28</v>
      </c>
      <c r="W216">
        <v>3</v>
      </c>
      <c r="X216" t="s">
        <v>147</v>
      </c>
    </row>
    <row r="217" spans="1:24" x14ac:dyDescent="0.2">
      <c r="A217" t="str">
        <f t="shared" si="9"/>
        <v>sample_miseq-16S-C-B12-L3_SICap-P12-B12-P1D14-EZ-RDM-Media-noBile-rep1-day14</v>
      </c>
      <c r="B217" s="1" t="s">
        <v>389</v>
      </c>
      <c r="C217" s="3" t="s">
        <v>965</v>
      </c>
      <c r="D217" s="3" t="s">
        <v>1327</v>
      </c>
      <c r="E217" t="s">
        <v>20</v>
      </c>
      <c r="F217" t="s">
        <v>148</v>
      </c>
      <c r="G217" t="s">
        <v>63</v>
      </c>
      <c r="H217" t="str">
        <f t="shared" si="10"/>
        <v>12</v>
      </c>
      <c r="I217" t="str">
        <f t="shared" si="11"/>
        <v>B</v>
      </c>
      <c r="J217" t="s">
        <v>149</v>
      </c>
      <c r="K217" t="s">
        <v>52</v>
      </c>
      <c r="L217" t="s">
        <v>25</v>
      </c>
      <c r="M217" t="s">
        <v>6</v>
      </c>
      <c r="N217">
        <v>1</v>
      </c>
      <c r="O217">
        <v>14</v>
      </c>
      <c r="P217" t="s">
        <v>150</v>
      </c>
      <c r="Q217" t="s">
        <v>28</v>
      </c>
      <c r="R217" t="s">
        <v>28</v>
      </c>
      <c r="S217" t="s">
        <v>28</v>
      </c>
      <c r="T217" t="s">
        <v>28</v>
      </c>
      <c r="U217" t="s">
        <v>28</v>
      </c>
      <c r="V217" t="s">
        <v>28</v>
      </c>
      <c r="W217">
        <v>3</v>
      </c>
      <c r="X217" t="s">
        <v>147</v>
      </c>
    </row>
    <row r="218" spans="1:24" x14ac:dyDescent="0.2">
      <c r="A218" t="str">
        <f t="shared" si="9"/>
        <v>sample_miseq-16S-C-C01-L3_SICap-P12-C1-P1D14-BHI-C1R1-noBile-rep1-day14</v>
      </c>
      <c r="B218" s="1" t="s">
        <v>390</v>
      </c>
      <c r="C218" s="3" t="s">
        <v>966</v>
      </c>
      <c r="D218" s="3" t="s">
        <v>1327</v>
      </c>
      <c r="E218" t="s">
        <v>20</v>
      </c>
      <c r="F218" t="s">
        <v>148</v>
      </c>
      <c r="G218" t="s">
        <v>64</v>
      </c>
      <c r="H218" t="str">
        <f t="shared" si="10"/>
        <v>01</v>
      </c>
      <c r="I218" t="str">
        <f t="shared" si="11"/>
        <v>C</v>
      </c>
      <c r="J218" t="s">
        <v>149</v>
      </c>
      <c r="K218" t="s">
        <v>65</v>
      </c>
      <c r="L218" t="s">
        <v>25</v>
      </c>
      <c r="M218" t="s">
        <v>26</v>
      </c>
      <c r="N218">
        <v>1</v>
      </c>
      <c r="O218">
        <v>14</v>
      </c>
      <c r="P218" t="s">
        <v>150</v>
      </c>
      <c r="Q218" t="s">
        <v>28</v>
      </c>
      <c r="R218" t="s">
        <v>28</v>
      </c>
      <c r="S218" t="s">
        <v>28</v>
      </c>
      <c r="T218" t="s">
        <v>28</v>
      </c>
      <c r="U218" t="s">
        <v>28</v>
      </c>
      <c r="V218" t="s">
        <v>28</v>
      </c>
      <c r="W218">
        <v>3</v>
      </c>
      <c r="X218" t="s">
        <v>147</v>
      </c>
    </row>
    <row r="219" spans="1:24" x14ac:dyDescent="0.2">
      <c r="A219" t="str">
        <f t="shared" si="9"/>
        <v>sample_miseq-16S-C-C02-L3_SICap-P12-C2-P1D14-BHI-C1R2-noBile-rep1-day14</v>
      </c>
      <c r="B219" s="1" t="s">
        <v>391</v>
      </c>
      <c r="C219" s="3" t="s">
        <v>967</v>
      </c>
      <c r="D219" s="3" t="s">
        <v>1327</v>
      </c>
      <c r="E219" t="s">
        <v>20</v>
      </c>
      <c r="F219" t="s">
        <v>148</v>
      </c>
      <c r="G219" t="s">
        <v>66</v>
      </c>
      <c r="H219" t="str">
        <f t="shared" si="10"/>
        <v>02</v>
      </c>
      <c r="I219" t="str">
        <f t="shared" si="11"/>
        <v>C</v>
      </c>
      <c r="J219" t="s">
        <v>149</v>
      </c>
      <c r="K219" t="s">
        <v>65</v>
      </c>
      <c r="L219" t="s">
        <v>25</v>
      </c>
      <c r="M219" t="s">
        <v>31</v>
      </c>
      <c r="N219">
        <v>1</v>
      </c>
      <c r="O219">
        <v>14</v>
      </c>
      <c r="P219" t="s">
        <v>150</v>
      </c>
      <c r="Q219" t="s">
        <v>28</v>
      </c>
      <c r="R219" t="s">
        <v>28</v>
      </c>
      <c r="S219" t="s">
        <v>28</v>
      </c>
      <c r="T219" t="s">
        <v>28</v>
      </c>
      <c r="U219" t="s">
        <v>28</v>
      </c>
      <c r="V219" t="s">
        <v>28</v>
      </c>
      <c r="W219">
        <v>3</v>
      </c>
      <c r="X219" t="s">
        <v>147</v>
      </c>
    </row>
    <row r="220" spans="1:24" x14ac:dyDescent="0.2">
      <c r="A220" t="str">
        <f t="shared" si="9"/>
        <v>sample_miseq-16S-C-C03-L3_SICap-P12-C3-P1D14-BHI-C2R1-noBile-rep1-day14</v>
      </c>
      <c r="B220" s="1" t="s">
        <v>392</v>
      </c>
      <c r="C220" s="3" t="s">
        <v>968</v>
      </c>
      <c r="D220" s="3" t="s">
        <v>1327</v>
      </c>
      <c r="E220" t="s">
        <v>20</v>
      </c>
      <c r="F220" t="s">
        <v>148</v>
      </c>
      <c r="G220" t="s">
        <v>67</v>
      </c>
      <c r="H220" t="str">
        <f t="shared" si="10"/>
        <v>03</v>
      </c>
      <c r="I220" t="str">
        <f t="shared" si="11"/>
        <v>C</v>
      </c>
      <c r="J220" t="s">
        <v>149</v>
      </c>
      <c r="K220" t="s">
        <v>65</v>
      </c>
      <c r="L220" t="s">
        <v>25</v>
      </c>
      <c r="M220" t="s">
        <v>33</v>
      </c>
      <c r="N220">
        <v>1</v>
      </c>
      <c r="O220">
        <v>14</v>
      </c>
      <c r="P220" t="s">
        <v>150</v>
      </c>
      <c r="Q220" t="s">
        <v>28</v>
      </c>
      <c r="R220" t="s">
        <v>28</v>
      </c>
      <c r="S220" t="s">
        <v>28</v>
      </c>
      <c r="T220" t="s">
        <v>28</v>
      </c>
      <c r="U220" t="s">
        <v>28</v>
      </c>
      <c r="V220" t="s">
        <v>28</v>
      </c>
      <c r="W220">
        <v>3</v>
      </c>
      <c r="X220" t="s">
        <v>147</v>
      </c>
    </row>
    <row r="221" spans="1:24" x14ac:dyDescent="0.2">
      <c r="A221" t="str">
        <f t="shared" si="9"/>
        <v>sample_miseq-16S-C-C04-L3_SICap-P12-C4-P1D14-BHI-C2R2-noBile-rep1-day14</v>
      </c>
      <c r="B221" s="1" t="s">
        <v>393</v>
      </c>
      <c r="C221" s="3" t="s">
        <v>969</v>
      </c>
      <c r="D221" s="3" t="s">
        <v>1327</v>
      </c>
      <c r="E221" t="s">
        <v>20</v>
      </c>
      <c r="F221" t="s">
        <v>148</v>
      </c>
      <c r="G221" t="s">
        <v>68</v>
      </c>
      <c r="H221" t="str">
        <f t="shared" si="10"/>
        <v>04</v>
      </c>
      <c r="I221" t="str">
        <f t="shared" si="11"/>
        <v>C</v>
      </c>
      <c r="J221" t="s">
        <v>149</v>
      </c>
      <c r="K221" t="s">
        <v>65</v>
      </c>
      <c r="L221" t="s">
        <v>25</v>
      </c>
      <c r="M221" t="s">
        <v>35</v>
      </c>
      <c r="N221">
        <v>1</v>
      </c>
      <c r="O221">
        <v>14</v>
      </c>
      <c r="P221" t="s">
        <v>150</v>
      </c>
      <c r="Q221" t="s">
        <v>28</v>
      </c>
      <c r="R221" t="s">
        <v>28</v>
      </c>
      <c r="S221" t="s">
        <v>28</v>
      </c>
      <c r="T221" t="s">
        <v>28</v>
      </c>
      <c r="U221" t="s">
        <v>28</v>
      </c>
      <c r="V221" t="s">
        <v>28</v>
      </c>
      <c r="W221">
        <v>3</v>
      </c>
      <c r="X221" t="s">
        <v>147</v>
      </c>
    </row>
    <row r="222" spans="1:24" x14ac:dyDescent="0.2">
      <c r="A222" t="str">
        <f t="shared" si="9"/>
        <v>sample_miseq-16S-C-C05-L3_SICap-P12-C5-P1D14-BHI-C3R1-noBile-rep1-day14</v>
      </c>
      <c r="B222" s="1" t="s">
        <v>394</v>
      </c>
      <c r="C222" s="3" t="s">
        <v>970</v>
      </c>
      <c r="D222" s="3" t="s">
        <v>1327</v>
      </c>
      <c r="E222" t="s">
        <v>20</v>
      </c>
      <c r="F222" t="s">
        <v>148</v>
      </c>
      <c r="G222" t="s">
        <v>69</v>
      </c>
      <c r="H222" t="str">
        <f t="shared" si="10"/>
        <v>05</v>
      </c>
      <c r="I222" t="str">
        <f t="shared" si="11"/>
        <v>C</v>
      </c>
      <c r="J222" t="s">
        <v>149</v>
      </c>
      <c r="K222" t="s">
        <v>65</v>
      </c>
      <c r="L222" t="s">
        <v>25</v>
      </c>
      <c r="M222" t="s">
        <v>37</v>
      </c>
      <c r="N222">
        <v>1</v>
      </c>
      <c r="O222">
        <v>14</v>
      </c>
      <c r="P222" t="s">
        <v>150</v>
      </c>
      <c r="Q222" t="s">
        <v>28</v>
      </c>
      <c r="R222" t="s">
        <v>28</v>
      </c>
      <c r="S222" t="s">
        <v>28</v>
      </c>
      <c r="T222" t="s">
        <v>28</v>
      </c>
      <c r="U222" t="s">
        <v>28</v>
      </c>
      <c r="V222" t="s">
        <v>28</v>
      </c>
      <c r="W222">
        <v>3</v>
      </c>
      <c r="X222" t="s">
        <v>147</v>
      </c>
    </row>
    <row r="223" spans="1:24" x14ac:dyDescent="0.2">
      <c r="A223" t="str">
        <f t="shared" si="9"/>
        <v>sample_miseq-16S-C-C06-L3_SICap-P12-C6-P1D14-BHI-C3R2-noBile-rep1-day14</v>
      </c>
      <c r="B223" s="1" t="s">
        <v>395</v>
      </c>
      <c r="C223" s="3" t="s">
        <v>971</v>
      </c>
      <c r="D223" s="3" t="s">
        <v>1327</v>
      </c>
      <c r="E223" t="s">
        <v>20</v>
      </c>
      <c r="F223" t="s">
        <v>148</v>
      </c>
      <c r="G223" t="s">
        <v>70</v>
      </c>
      <c r="H223" t="str">
        <f t="shared" si="10"/>
        <v>06</v>
      </c>
      <c r="I223" t="str">
        <f t="shared" si="11"/>
        <v>C</v>
      </c>
      <c r="J223" t="s">
        <v>149</v>
      </c>
      <c r="K223" t="s">
        <v>65</v>
      </c>
      <c r="L223" t="s">
        <v>25</v>
      </c>
      <c r="M223" t="s">
        <v>39</v>
      </c>
      <c r="N223">
        <v>1</v>
      </c>
      <c r="O223">
        <v>14</v>
      </c>
      <c r="P223" t="s">
        <v>150</v>
      </c>
      <c r="Q223" t="s">
        <v>28</v>
      </c>
      <c r="R223" t="s">
        <v>28</v>
      </c>
      <c r="S223" t="s">
        <v>28</v>
      </c>
      <c r="T223" t="s">
        <v>28</v>
      </c>
      <c r="U223" t="s">
        <v>28</v>
      </c>
      <c r="V223" t="s">
        <v>28</v>
      </c>
      <c r="W223">
        <v>3</v>
      </c>
      <c r="X223" t="s">
        <v>147</v>
      </c>
    </row>
    <row r="224" spans="1:24" x14ac:dyDescent="0.2">
      <c r="A224" t="str">
        <f t="shared" si="9"/>
        <v>sample_miseq-16S-C-C07-L3_SICap-P12-C7-P1D14-BHI-C4R1-noBile-rep1-day14</v>
      </c>
      <c r="B224" s="1" t="s">
        <v>396</v>
      </c>
      <c r="C224" s="3" t="s">
        <v>972</v>
      </c>
      <c r="D224" s="3" t="s">
        <v>1327</v>
      </c>
      <c r="E224" t="s">
        <v>20</v>
      </c>
      <c r="F224" t="s">
        <v>148</v>
      </c>
      <c r="G224" t="s">
        <v>71</v>
      </c>
      <c r="H224" t="str">
        <f t="shared" si="10"/>
        <v>07</v>
      </c>
      <c r="I224" t="str">
        <f t="shared" si="11"/>
        <v>C</v>
      </c>
      <c r="J224" t="s">
        <v>149</v>
      </c>
      <c r="K224" t="s">
        <v>65</v>
      </c>
      <c r="L224" t="s">
        <v>25</v>
      </c>
      <c r="M224" t="s">
        <v>41</v>
      </c>
      <c r="N224">
        <v>1</v>
      </c>
      <c r="O224">
        <v>14</v>
      </c>
      <c r="P224" t="s">
        <v>150</v>
      </c>
      <c r="Q224" t="s">
        <v>28</v>
      </c>
      <c r="R224" t="s">
        <v>28</v>
      </c>
      <c r="S224" t="s">
        <v>28</v>
      </c>
      <c r="T224" t="s">
        <v>28</v>
      </c>
      <c r="U224" t="s">
        <v>28</v>
      </c>
      <c r="V224" t="s">
        <v>28</v>
      </c>
      <c r="W224">
        <v>3</v>
      </c>
      <c r="X224" t="s">
        <v>147</v>
      </c>
    </row>
    <row r="225" spans="1:24" x14ac:dyDescent="0.2">
      <c r="A225" t="str">
        <f t="shared" si="9"/>
        <v>sample_miseq-16S-C-C08-L3_SICap-P12-C8-P1D14-BHI-C4R2-noBile-rep1-day14</v>
      </c>
      <c r="B225" s="1" t="s">
        <v>397</v>
      </c>
      <c r="C225" s="3" t="s">
        <v>973</v>
      </c>
      <c r="D225" s="3" t="s">
        <v>1327</v>
      </c>
      <c r="E225" t="s">
        <v>20</v>
      </c>
      <c r="F225" t="s">
        <v>148</v>
      </c>
      <c r="G225" t="s">
        <v>72</v>
      </c>
      <c r="H225" t="str">
        <f t="shared" si="10"/>
        <v>08</v>
      </c>
      <c r="I225" t="str">
        <f t="shared" si="11"/>
        <v>C</v>
      </c>
      <c r="J225" t="s">
        <v>149</v>
      </c>
      <c r="K225" t="s">
        <v>65</v>
      </c>
      <c r="L225" t="s">
        <v>25</v>
      </c>
      <c r="M225" t="s">
        <v>43</v>
      </c>
      <c r="N225">
        <v>1</v>
      </c>
      <c r="O225">
        <v>14</v>
      </c>
      <c r="P225" t="s">
        <v>150</v>
      </c>
      <c r="Q225" t="s">
        <v>28</v>
      </c>
      <c r="R225" t="s">
        <v>28</v>
      </c>
      <c r="S225" t="s">
        <v>28</v>
      </c>
      <c r="T225" t="s">
        <v>28</v>
      </c>
      <c r="U225" t="s">
        <v>28</v>
      </c>
      <c r="V225" t="s">
        <v>28</v>
      </c>
      <c r="W225">
        <v>3</v>
      </c>
      <c r="X225" t="s">
        <v>147</v>
      </c>
    </row>
    <row r="226" spans="1:24" x14ac:dyDescent="0.2">
      <c r="A226" t="str">
        <f t="shared" si="9"/>
        <v>sample_miseq-16S-C-C09-L3_SICap-P12-C9-P1D14-BHI-S1R2-noBile-rep1-day14</v>
      </c>
      <c r="B226" s="1" t="s">
        <v>398</v>
      </c>
      <c r="C226" s="3" t="s">
        <v>974</v>
      </c>
      <c r="D226" s="3" t="s">
        <v>1327</v>
      </c>
      <c r="E226" t="s">
        <v>20</v>
      </c>
      <c r="F226" t="s">
        <v>148</v>
      </c>
      <c r="G226" t="s">
        <v>73</v>
      </c>
      <c r="H226" t="str">
        <f t="shared" si="10"/>
        <v>09</v>
      </c>
      <c r="I226" t="str">
        <f t="shared" si="11"/>
        <v>C</v>
      </c>
      <c r="J226" t="s">
        <v>149</v>
      </c>
      <c r="K226" t="s">
        <v>65</v>
      </c>
      <c r="L226" t="s">
        <v>25</v>
      </c>
      <c r="M226" t="s">
        <v>45</v>
      </c>
      <c r="N226">
        <v>1</v>
      </c>
      <c r="O226">
        <v>14</v>
      </c>
      <c r="P226" t="s">
        <v>150</v>
      </c>
      <c r="Q226" t="s">
        <v>28</v>
      </c>
      <c r="R226" t="s">
        <v>28</v>
      </c>
      <c r="S226" t="s">
        <v>28</v>
      </c>
      <c r="T226" t="s">
        <v>28</v>
      </c>
      <c r="U226" t="s">
        <v>28</v>
      </c>
      <c r="V226" t="s">
        <v>28</v>
      </c>
      <c r="W226">
        <v>3</v>
      </c>
      <c r="X226" t="s">
        <v>147</v>
      </c>
    </row>
    <row r="227" spans="1:24" x14ac:dyDescent="0.2">
      <c r="A227" t="str">
        <f t="shared" si="9"/>
        <v>sample_miseq-16S-C-C10-L3_SICap-P12-C10-P1D14-BHI-StoolPool-noBile-rep1-day14</v>
      </c>
      <c r="B227" s="1" t="s">
        <v>399</v>
      </c>
      <c r="C227" s="3" t="s">
        <v>975</v>
      </c>
      <c r="D227" s="3" t="s">
        <v>1327</v>
      </c>
      <c r="E227" t="s">
        <v>20</v>
      </c>
      <c r="F227" t="s">
        <v>148</v>
      </c>
      <c r="G227" t="s">
        <v>74</v>
      </c>
      <c r="H227" t="str">
        <f t="shared" si="10"/>
        <v>10</v>
      </c>
      <c r="I227" t="str">
        <f t="shared" si="11"/>
        <v>C</v>
      </c>
      <c r="J227" t="s">
        <v>149</v>
      </c>
      <c r="K227" t="s">
        <v>65</v>
      </c>
      <c r="L227" t="s">
        <v>25</v>
      </c>
      <c r="M227" t="s">
        <v>47</v>
      </c>
      <c r="N227">
        <v>1</v>
      </c>
      <c r="O227">
        <v>14</v>
      </c>
      <c r="P227" t="s">
        <v>150</v>
      </c>
      <c r="Q227" t="s">
        <v>28</v>
      </c>
      <c r="R227" t="s">
        <v>28</v>
      </c>
      <c r="S227" t="s">
        <v>28</v>
      </c>
      <c r="T227" t="s">
        <v>28</v>
      </c>
      <c r="U227" t="s">
        <v>28</v>
      </c>
      <c r="V227" t="s">
        <v>28</v>
      </c>
      <c r="W227">
        <v>3</v>
      </c>
      <c r="X227" t="s">
        <v>147</v>
      </c>
    </row>
    <row r="228" spans="1:24" x14ac:dyDescent="0.2">
      <c r="A228" t="str">
        <f t="shared" si="9"/>
        <v>sample_miseq-16S-C-C11-L3_SICap-P12-C11-P1D14-BHI-SIPool-noBile-rep1-day14</v>
      </c>
      <c r="B228" s="1" t="s">
        <v>400</v>
      </c>
      <c r="C228" s="3" t="s">
        <v>976</v>
      </c>
      <c r="D228" s="3" t="s">
        <v>1327</v>
      </c>
      <c r="E228" t="s">
        <v>20</v>
      </c>
      <c r="F228" t="s">
        <v>148</v>
      </c>
      <c r="G228" t="s">
        <v>75</v>
      </c>
      <c r="H228" t="str">
        <f t="shared" si="10"/>
        <v>11</v>
      </c>
      <c r="I228" t="str">
        <f t="shared" si="11"/>
        <v>C</v>
      </c>
      <c r="J228" t="s">
        <v>149</v>
      </c>
      <c r="K228" t="s">
        <v>65</v>
      </c>
      <c r="L228" t="s">
        <v>25</v>
      </c>
      <c r="M228" t="s">
        <v>49</v>
      </c>
      <c r="N228">
        <v>1</v>
      </c>
      <c r="O228">
        <v>14</v>
      </c>
      <c r="P228" t="s">
        <v>150</v>
      </c>
      <c r="Q228" t="s">
        <v>28</v>
      </c>
      <c r="R228" t="s">
        <v>28</v>
      </c>
      <c r="S228" t="s">
        <v>28</v>
      </c>
      <c r="T228" t="s">
        <v>28</v>
      </c>
      <c r="U228" t="s">
        <v>28</v>
      </c>
      <c r="V228" t="s">
        <v>28</v>
      </c>
      <c r="W228">
        <v>3</v>
      </c>
      <c r="X228" t="s">
        <v>147</v>
      </c>
    </row>
    <row r="229" spans="1:24" x14ac:dyDescent="0.2">
      <c r="A229" t="str">
        <f t="shared" si="9"/>
        <v>sample_miseq-16S-C-C12-L3_SICap-P12-C12-P1D14-BHI-Media-noBile-rep1-day14</v>
      </c>
      <c r="B229" s="1" t="s">
        <v>401</v>
      </c>
      <c r="C229" s="3" t="s">
        <v>977</v>
      </c>
      <c r="D229" s="3" t="s">
        <v>1327</v>
      </c>
      <c r="E229" t="s">
        <v>20</v>
      </c>
      <c r="F229" t="s">
        <v>148</v>
      </c>
      <c r="G229" t="s">
        <v>76</v>
      </c>
      <c r="H229" t="str">
        <f t="shared" si="10"/>
        <v>12</v>
      </c>
      <c r="I229" t="str">
        <f t="shared" si="11"/>
        <v>C</v>
      </c>
      <c r="J229" t="s">
        <v>149</v>
      </c>
      <c r="K229" t="s">
        <v>65</v>
      </c>
      <c r="L229" t="s">
        <v>25</v>
      </c>
      <c r="M229" t="s">
        <v>6</v>
      </c>
      <c r="N229">
        <v>1</v>
      </c>
      <c r="O229">
        <v>14</v>
      </c>
      <c r="P229" t="s">
        <v>150</v>
      </c>
      <c r="Q229" t="s">
        <v>28</v>
      </c>
      <c r="R229" t="s">
        <v>28</v>
      </c>
      <c r="S229" t="s">
        <v>28</v>
      </c>
      <c r="T229" t="s">
        <v>28</v>
      </c>
      <c r="U229" t="s">
        <v>28</v>
      </c>
      <c r="V229" t="s">
        <v>28</v>
      </c>
      <c r="W229">
        <v>3</v>
      </c>
      <c r="X229" t="s">
        <v>147</v>
      </c>
    </row>
    <row r="230" spans="1:24" x14ac:dyDescent="0.2">
      <c r="A230" t="str">
        <f t="shared" si="9"/>
        <v>sample_miseq-16S-C-D01-L3_SICap-P12-D1-P1D14-GAM-C1R1-noBile-rep1-day14</v>
      </c>
      <c r="B230" s="1" t="s">
        <v>402</v>
      </c>
      <c r="C230" s="3" t="s">
        <v>978</v>
      </c>
      <c r="D230" s="3" t="s">
        <v>1327</v>
      </c>
      <c r="E230" t="s">
        <v>20</v>
      </c>
      <c r="F230" t="s">
        <v>148</v>
      </c>
      <c r="G230" t="s">
        <v>77</v>
      </c>
      <c r="H230" t="str">
        <f t="shared" si="10"/>
        <v>01</v>
      </c>
      <c r="I230" t="str">
        <f t="shared" si="11"/>
        <v>D</v>
      </c>
      <c r="J230" t="s">
        <v>149</v>
      </c>
      <c r="K230" t="s">
        <v>78</v>
      </c>
      <c r="L230" t="s">
        <v>25</v>
      </c>
      <c r="M230" t="s">
        <v>26</v>
      </c>
      <c r="N230">
        <v>1</v>
      </c>
      <c r="O230">
        <v>14</v>
      </c>
      <c r="P230" t="s">
        <v>150</v>
      </c>
      <c r="Q230" t="s">
        <v>28</v>
      </c>
      <c r="R230" t="s">
        <v>28</v>
      </c>
      <c r="S230" t="s">
        <v>28</v>
      </c>
      <c r="T230" t="s">
        <v>28</v>
      </c>
      <c r="U230" t="s">
        <v>28</v>
      </c>
      <c r="V230" t="s">
        <v>28</v>
      </c>
      <c r="W230">
        <v>3</v>
      </c>
      <c r="X230" t="s">
        <v>147</v>
      </c>
    </row>
    <row r="231" spans="1:24" x14ac:dyDescent="0.2">
      <c r="A231" t="str">
        <f t="shared" si="9"/>
        <v>sample_miseq-16S-C-D02-L3_SICap-P12-D2-P1D14-GAM-C1R2-noBile-rep1-day14</v>
      </c>
      <c r="B231" s="1" t="s">
        <v>403</v>
      </c>
      <c r="C231" s="3" t="s">
        <v>979</v>
      </c>
      <c r="D231" s="3" t="s">
        <v>1327</v>
      </c>
      <c r="E231" t="s">
        <v>20</v>
      </c>
      <c r="F231" t="s">
        <v>148</v>
      </c>
      <c r="G231" t="s">
        <v>79</v>
      </c>
      <c r="H231" t="str">
        <f t="shared" si="10"/>
        <v>02</v>
      </c>
      <c r="I231" t="str">
        <f t="shared" si="11"/>
        <v>D</v>
      </c>
      <c r="J231" t="s">
        <v>149</v>
      </c>
      <c r="K231" t="s">
        <v>78</v>
      </c>
      <c r="L231" t="s">
        <v>25</v>
      </c>
      <c r="M231" t="s">
        <v>31</v>
      </c>
      <c r="N231">
        <v>1</v>
      </c>
      <c r="O231">
        <v>14</v>
      </c>
      <c r="P231" t="s">
        <v>150</v>
      </c>
      <c r="Q231" t="s">
        <v>28</v>
      </c>
      <c r="R231" t="s">
        <v>28</v>
      </c>
      <c r="S231" t="s">
        <v>28</v>
      </c>
      <c r="T231" t="s">
        <v>28</v>
      </c>
      <c r="U231" t="s">
        <v>28</v>
      </c>
      <c r="V231" t="s">
        <v>28</v>
      </c>
      <c r="W231">
        <v>3</v>
      </c>
      <c r="X231" t="s">
        <v>147</v>
      </c>
    </row>
    <row r="232" spans="1:24" x14ac:dyDescent="0.2">
      <c r="A232" t="str">
        <f t="shared" si="9"/>
        <v>sample_miseq-16S-C-D03-L3_SICap-P12-D3-P1D14-GAM-C2R1-noBile-rep1-day14</v>
      </c>
      <c r="B232" s="1" t="s">
        <v>404</v>
      </c>
      <c r="C232" s="3" t="s">
        <v>980</v>
      </c>
      <c r="D232" s="3" t="s">
        <v>1327</v>
      </c>
      <c r="E232" t="s">
        <v>20</v>
      </c>
      <c r="F232" t="s">
        <v>148</v>
      </c>
      <c r="G232" t="s">
        <v>80</v>
      </c>
      <c r="H232" t="str">
        <f t="shared" si="10"/>
        <v>03</v>
      </c>
      <c r="I232" t="str">
        <f t="shared" si="11"/>
        <v>D</v>
      </c>
      <c r="J232" t="s">
        <v>149</v>
      </c>
      <c r="K232" t="s">
        <v>78</v>
      </c>
      <c r="L232" t="s">
        <v>25</v>
      </c>
      <c r="M232" t="s">
        <v>33</v>
      </c>
      <c r="N232">
        <v>1</v>
      </c>
      <c r="O232">
        <v>14</v>
      </c>
      <c r="P232" t="s">
        <v>150</v>
      </c>
      <c r="Q232" t="s">
        <v>28</v>
      </c>
      <c r="R232" t="s">
        <v>28</v>
      </c>
      <c r="S232" t="s">
        <v>28</v>
      </c>
      <c r="T232" t="s">
        <v>28</v>
      </c>
      <c r="U232" t="s">
        <v>28</v>
      </c>
      <c r="V232" t="s">
        <v>28</v>
      </c>
      <c r="W232">
        <v>3</v>
      </c>
      <c r="X232" t="s">
        <v>147</v>
      </c>
    </row>
    <row r="233" spans="1:24" x14ac:dyDescent="0.2">
      <c r="A233" t="str">
        <f t="shared" si="9"/>
        <v>sample_miseq-16S-C-D04-L3_SICap-P12-D4-P1D14-GAM-C2R2-noBile-rep1-day14</v>
      </c>
      <c r="B233" s="1" t="s">
        <v>405</v>
      </c>
      <c r="C233" s="3" t="s">
        <v>981</v>
      </c>
      <c r="D233" s="3" t="s">
        <v>1327</v>
      </c>
      <c r="E233" t="s">
        <v>20</v>
      </c>
      <c r="F233" t="s">
        <v>148</v>
      </c>
      <c r="G233" t="s">
        <v>81</v>
      </c>
      <c r="H233" t="str">
        <f t="shared" si="10"/>
        <v>04</v>
      </c>
      <c r="I233" t="str">
        <f t="shared" si="11"/>
        <v>D</v>
      </c>
      <c r="J233" t="s">
        <v>149</v>
      </c>
      <c r="K233" t="s">
        <v>78</v>
      </c>
      <c r="L233" t="s">
        <v>25</v>
      </c>
      <c r="M233" t="s">
        <v>35</v>
      </c>
      <c r="N233">
        <v>1</v>
      </c>
      <c r="O233">
        <v>14</v>
      </c>
      <c r="P233" t="s">
        <v>150</v>
      </c>
      <c r="Q233" t="s">
        <v>28</v>
      </c>
      <c r="R233" t="s">
        <v>28</v>
      </c>
      <c r="S233" t="s">
        <v>28</v>
      </c>
      <c r="T233" t="s">
        <v>28</v>
      </c>
      <c r="U233" t="s">
        <v>28</v>
      </c>
      <c r="V233" t="s">
        <v>28</v>
      </c>
      <c r="W233">
        <v>3</v>
      </c>
      <c r="X233" t="s">
        <v>147</v>
      </c>
    </row>
    <row r="234" spans="1:24" x14ac:dyDescent="0.2">
      <c r="A234" t="str">
        <f t="shared" si="9"/>
        <v>sample_miseq-16S-C-D05-L3_SICap-P12-D5-P1D14-GAM-C3R1-noBile-rep1-day14</v>
      </c>
      <c r="B234" s="1" t="s">
        <v>406</v>
      </c>
      <c r="C234" s="3" t="s">
        <v>982</v>
      </c>
      <c r="D234" s="3" t="s">
        <v>1327</v>
      </c>
      <c r="E234" t="s">
        <v>20</v>
      </c>
      <c r="F234" t="s">
        <v>148</v>
      </c>
      <c r="G234" t="s">
        <v>82</v>
      </c>
      <c r="H234" t="str">
        <f t="shared" si="10"/>
        <v>05</v>
      </c>
      <c r="I234" t="str">
        <f t="shared" si="11"/>
        <v>D</v>
      </c>
      <c r="J234" t="s">
        <v>149</v>
      </c>
      <c r="K234" t="s">
        <v>78</v>
      </c>
      <c r="L234" t="s">
        <v>25</v>
      </c>
      <c r="M234" t="s">
        <v>37</v>
      </c>
      <c r="N234">
        <v>1</v>
      </c>
      <c r="O234">
        <v>14</v>
      </c>
      <c r="P234" t="s">
        <v>150</v>
      </c>
      <c r="Q234" t="s">
        <v>28</v>
      </c>
      <c r="R234" t="s">
        <v>28</v>
      </c>
      <c r="S234" t="s">
        <v>28</v>
      </c>
      <c r="T234" t="s">
        <v>28</v>
      </c>
      <c r="U234" t="s">
        <v>28</v>
      </c>
      <c r="V234" t="s">
        <v>28</v>
      </c>
      <c r="W234">
        <v>3</v>
      </c>
      <c r="X234" t="s">
        <v>147</v>
      </c>
    </row>
    <row r="235" spans="1:24" x14ac:dyDescent="0.2">
      <c r="A235" t="str">
        <f t="shared" si="9"/>
        <v>sample_miseq-16S-C-D06-L3_SICap-P12-D6-P1D14-GAM-C3R2-noBile-rep1-day14</v>
      </c>
      <c r="B235" s="1" t="s">
        <v>407</v>
      </c>
      <c r="C235" s="3" t="s">
        <v>983</v>
      </c>
      <c r="D235" s="3" t="s">
        <v>1327</v>
      </c>
      <c r="E235" t="s">
        <v>20</v>
      </c>
      <c r="F235" t="s">
        <v>148</v>
      </c>
      <c r="G235" t="s">
        <v>83</v>
      </c>
      <c r="H235" t="str">
        <f t="shared" si="10"/>
        <v>06</v>
      </c>
      <c r="I235" t="str">
        <f t="shared" si="11"/>
        <v>D</v>
      </c>
      <c r="J235" t="s">
        <v>149</v>
      </c>
      <c r="K235" t="s">
        <v>78</v>
      </c>
      <c r="L235" t="s">
        <v>25</v>
      </c>
      <c r="M235" t="s">
        <v>39</v>
      </c>
      <c r="N235">
        <v>1</v>
      </c>
      <c r="O235">
        <v>14</v>
      </c>
      <c r="P235" t="s">
        <v>150</v>
      </c>
      <c r="Q235" t="s">
        <v>28</v>
      </c>
      <c r="R235" t="s">
        <v>28</v>
      </c>
      <c r="S235" t="s">
        <v>28</v>
      </c>
      <c r="T235" t="s">
        <v>28</v>
      </c>
      <c r="U235" t="s">
        <v>28</v>
      </c>
      <c r="V235" t="s">
        <v>28</v>
      </c>
      <c r="W235">
        <v>3</v>
      </c>
      <c r="X235" t="s">
        <v>147</v>
      </c>
    </row>
    <row r="236" spans="1:24" x14ac:dyDescent="0.2">
      <c r="A236" t="str">
        <f t="shared" si="9"/>
        <v>sample_miseq-16S-C-D07-L3_SICap-P12-D7-P1D14-GAM-C4R1-noBile-rep1-day14</v>
      </c>
      <c r="B236" s="1" t="s">
        <v>408</v>
      </c>
      <c r="C236" s="3" t="s">
        <v>984</v>
      </c>
      <c r="D236" s="3" t="s">
        <v>1327</v>
      </c>
      <c r="E236" t="s">
        <v>20</v>
      </c>
      <c r="F236" t="s">
        <v>148</v>
      </c>
      <c r="G236" t="s">
        <v>84</v>
      </c>
      <c r="H236" t="str">
        <f t="shared" si="10"/>
        <v>07</v>
      </c>
      <c r="I236" t="str">
        <f t="shared" si="11"/>
        <v>D</v>
      </c>
      <c r="J236" t="s">
        <v>149</v>
      </c>
      <c r="K236" t="s">
        <v>78</v>
      </c>
      <c r="L236" t="s">
        <v>25</v>
      </c>
      <c r="M236" t="s">
        <v>41</v>
      </c>
      <c r="N236">
        <v>1</v>
      </c>
      <c r="O236">
        <v>14</v>
      </c>
      <c r="P236" t="s">
        <v>150</v>
      </c>
      <c r="Q236" t="s">
        <v>28</v>
      </c>
      <c r="R236" t="s">
        <v>28</v>
      </c>
      <c r="S236" t="s">
        <v>28</v>
      </c>
      <c r="T236" t="s">
        <v>28</v>
      </c>
      <c r="U236" t="s">
        <v>28</v>
      </c>
      <c r="V236" t="s">
        <v>28</v>
      </c>
      <c r="W236">
        <v>3</v>
      </c>
      <c r="X236" t="s">
        <v>147</v>
      </c>
    </row>
    <row r="237" spans="1:24" x14ac:dyDescent="0.2">
      <c r="A237" t="str">
        <f t="shared" si="9"/>
        <v>sample_miseq-16S-C-D08-L3_SICap-P12-D8-P1D14-GAM-C4R2-noBile-rep1-day14</v>
      </c>
      <c r="B237" s="1" t="s">
        <v>409</v>
      </c>
      <c r="C237" s="3" t="s">
        <v>985</v>
      </c>
      <c r="D237" s="3" t="s">
        <v>1327</v>
      </c>
      <c r="E237" t="s">
        <v>20</v>
      </c>
      <c r="F237" t="s">
        <v>148</v>
      </c>
      <c r="G237" t="s">
        <v>85</v>
      </c>
      <c r="H237" t="str">
        <f t="shared" si="10"/>
        <v>08</v>
      </c>
      <c r="I237" t="str">
        <f t="shared" si="11"/>
        <v>D</v>
      </c>
      <c r="J237" t="s">
        <v>149</v>
      </c>
      <c r="K237" t="s">
        <v>78</v>
      </c>
      <c r="L237" t="s">
        <v>25</v>
      </c>
      <c r="M237" t="s">
        <v>43</v>
      </c>
      <c r="N237">
        <v>1</v>
      </c>
      <c r="O237">
        <v>14</v>
      </c>
      <c r="P237" t="s">
        <v>150</v>
      </c>
      <c r="Q237" t="s">
        <v>28</v>
      </c>
      <c r="R237" t="s">
        <v>28</v>
      </c>
      <c r="S237" t="s">
        <v>28</v>
      </c>
      <c r="T237" t="s">
        <v>28</v>
      </c>
      <c r="U237" t="s">
        <v>28</v>
      </c>
      <c r="V237" t="s">
        <v>28</v>
      </c>
      <c r="W237">
        <v>3</v>
      </c>
      <c r="X237" t="s">
        <v>147</v>
      </c>
    </row>
    <row r="238" spans="1:24" x14ac:dyDescent="0.2">
      <c r="A238" t="str">
        <f t="shared" si="9"/>
        <v>sample_miseq-16S-C-D09-L3_SICap-P12-D9-P1D14-GAM-S1R2-noBile-rep1-day14</v>
      </c>
      <c r="B238" s="1" t="s">
        <v>410</v>
      </c>
      <c r="C238" s="3" t="s">
        <v>986</v>
      </c>
      <c r="D238" s="3" t="s">
        <v>1327</v>
      </c>
      <c r="E238" t="s">
        <v>20</v>
      </c>
      <c r="F238" t="s">
        <v>148</v>
      </c>
      <c r="G238" t="s">
        <v>86</v>
      </c>
      <c r="H238" t="str">
        <f t="shared" si="10"/>
        <v>09</v>
      </c>
      <c r="I238" t="str">
        <f t="shared" si="11"/>
        <v>D</v>
      </c>
      <c r="J238" t="s">
        <v>149</v>
      </c>
      <c r="K238" t="s">
        <v>78</v>
      </c>
      <c r="L238" t="s">
        <v>25</v>
      </c>
      <c r="M238" t="s">
        <v>45</v>
      </c>
      <c r="N238">
        <v>1</v>
      </c>
      <c r="O238">
        <v>14</v>
      </c>
      <c r="P238" t="s">
        <v>150</v>
      </c>
      <c r="Q238" t="s">
        <v>28</v>
      </c>
      <c r="R238" t="s">
        <v>28</v>
      </c>
      <c r="S238" t="s">
        <v>28</v>
      </c>
      <c r="T238" t="s">
        <v>28</v>
      </c>
      <c r="U238" t="s">
        <v>28</v>
      </c>
      <c r="V238" t="s">
        <v>28</v>
      </c>
      <c r="W238">
        <v>3</v>
      </c>
      <c r="X238" t="s">
        <v>147</v>
      </c>
    </row>
    <row r="239" spans="1:24" x14ac:dyDescent="0.2">
      <c r="A239" t="str">
        <f t="shared" si="9"/>
        <v>sample_miseq-16S-C-D10-L3_SICap-P12-D10-P1D14-GAM-StoolPool-noBile-rep1-day14</v>
      </c>
      <c r="B239" s="1" t="s">
        <v>411</v>
      </c>
      <c r="C239" s="3" t="s">
        <v>987</v>
      </c>
      <c r="D239" s="3" t="s">
        <v>1327</v>
      </c>
      <c r="E239" t="s">
        <v>20</v>
      </c>
      <c r="F239" t="s">
        <v>148</v>
      </c>
      <c r="G239" t="s">
        <v>87</v>
      </c>
      <c r="H239" t="str">
        <f t="shared" si="10"/>
        <v>10</v>
      </c>
      <c r="I239" t="str">
        <f t="shared" si="11"/>
        <v>D</v>
      </c>
      <c r="J239" t="s">
        <v>149</v>
      </c>
      <c r="K239" t="s">
        <v>78</v>
      </c>
      <c r="L239" t="s">
        <v>25</v>
      </c>
      <c r="M239" t="s">
        <v>47</v>
      </c>
      <c r="N239">
        <v>1</v>
      </c>
      <c r="O239">
        <v>14</v>
      </c>
      <c r="P239" t="s">
        <v>150</v>
      </c>
      <c r="Q239" t="s">
        <v>28</v>
      </c>
      <c r="R239" t="s">
        <v>28</v>
      </c>
      <c r="S239" t="s">
        <v>28</v>
      </c>
      <c r="T239" t="s">
        <v>28</v>
      </c>
      <c r="U239" t="s">
        <v>28</v>
      </c>
      <c r="V239" t="s">
        <v>28</v>
      </c>
      <c r="W239">
        <v>3</v>
      </c>
      <c r="X239" t="s">
        <v>147</v>
      </c>
    </row>
    <row r="240" spans="1:24" x14ac:dyDescent="0.2">
      <c r="A240" t="str">
        <f t="shared" si="9"/>
        <v>sample_miseq-16S-C-D11-L3_SICap-P12-D11-P1D14-GAM-SIPool-noBile-rep1-day14</v>
      </c>
      <c r="B240" s="1" t="s">
        <v>412</v>
      </c>
      <c r="C240" s="3" t="s">
        <v>988</v>
      </c>
      <c r="D240" s="3" t="s">
        <v>1327</v>
      </c>
      <c r="E240" t="s">
        <v>20</v>
      </c>
      <c r="F240" t="s">
        <v>148</v>
      </c>
      <c r="G240" t="s">
        <v>88</v>
      </c>
      <c r="H240" t="str">
        <f t="shared" si="10"/>
        <v>11</v>
      </c>
      <c r="I240" t="str">
        <f t="shared" si="11"/>
        <v>D</v>
      </c>
      <c r="J240" t="s">
        <v>149</v>
      </c>
      <c r="K240" t="s">
        <v>78</v>
      </c>
      <c r="L240" t="s">
        <v>25</v>
      </c>
      <c r="M240" t="s">
        <v>49</v>
      </c>
      <c r="N240">
        <v>1</v>
      </c>
      <c r="O240">
        <v>14</v>
      </c>
      <c r="P240" t="s">
        <v>150</v>
      </c>
      <c r="Q240" t="s">
        <v>28</v>
      </c>
      <c r="R240" t="s">
        <v>28</v>
      </c>
      <c r="S240" t="s">
        <v>28</v>
      </c>
      <c r="T240" t="s">
        <v>28</v>
      </c>
      <c r="U240" t="s">
        <v>28</v>
      </c>
      <c r="V240" t="s">
        <v>28</v>
      </c>
      <c r="W240">
        <v>3</v>
      </c>
      <c r="X240" t="s">
        <v>147</v>
      </c>
    </row>
    <row r="241" spans="1:24" x14ac:dyDescent="0.2">
      <c r="A241" t="str">
        <f t="shared" si="9"/>
        <v>sample_miseq-16S-C-D12-L3_SICap-P12-D12-P1D14-GAM-Media-noBile-rep1-day14</v>
      </c>
      <c r="B241" s="1" t="s">
        <v>413</v>
      </c>
      <c r="C241" s="3" t="s">
        <v>989</v>
      </c>
      <c r="D241" s="3" t="s">
        <v>1327</v>
      </c>
      <c r="E241" t="s">
        <v>20</v>
      </c>
      <c r="F241" t="s">
        <v>148</v>
      </c>
      <c r="G241" t="s">
        <v>89</v>
      </c>
      <c r="H241" t="str">
        <f t="shared" si="10"/>
        <v>12</v>
      </c>
      <c r="I241" t="str">
        <f t="shared" si="11"/>
        <v>D</v>
      </c>
      <c r="J241" t="s">
        <v>149</v>
      </c>
      <c r="K241" t="s">
        <v>78</v>
      </c>
      <c r="L241" t="s">
        <v>25</v>
      </c>
      <c r="M241" t="s">
        <v>6</v>
      </c>
      <c r="N241">
        <v>1</v>
      </c>
      <c r="O241">
        <v>14</v>
      </c>
      <c r="P241" t="s">
        <v>150</v>
      </c>
      <c r="Q241" t="s">
        <v>28</v>
      </c>
      <c r="R241" t="s">
        <v>28</v>
      </c>
      <c r="S241" t="s">
        <v>28</v>
      </c>
      <c r="T241" t="s">
        <v>28</v>
      </c>
      <c r="U241" t="s">
        <v>28</v>
      </c>
      <c r="V241" t="s">
        <v>28</v>
      </c>
      <c r="W241">
        <v>3</v>
      </c>
      <c r="X241" t="s">
        <v>147</v>
      </c>
    </row>
    <row r="242" spans="1:24" x14ac:dyDescent="0.2">
      <c r="A242" t="str">
        <f t="shared" si="9"/>
        <v>sample_miseq-16S-C-E01-L3_SICap-P12-E1-P1D14-BB-C1R1-noBile-rep1-day14</v>
      </c>
      <c r="B242" s="1" t="s">
        <v>414</v>
      </c>
      <c r="C242" s="3" t="s">
        <v>990</v>
      </c>
      <c r="D242" s="3" t="s">
        <v>1327</v>
      </c>
      <c r="E242" t="s">
        <v>20</v>
      </c>
      <c r="F242" t="s">
        <v>148</v>
      </c>
      <c r="G242" t="s">
        <v>90</v>
      </c>
      <c r="H242" t="str">
        <f t="shared" si="10"/>
        <v>01</v>
      </c>
      <c r="I242" t="str">
        <f t="shared" si="11"/>
        <v>E</v>
      </c>
      <c r="J242" t="s">
        <v>149</v>
      </c>
      <c r="K242" t="s">
        <v>91</v>
      </c>
      <c r="L242" t="s">
        <v>25</v>
      </c>
      <c r="M242" t="s">
        <v>26</v>
      </c>
      <c r="N242">
        <v>1</v>
      </c>
      <c r="O242">
        <v>14</v>
      </c>
      <c r="P242" t="s">
        <v>150</v>
      </c>
      <c r="Q242" t="s">
        <v>28</v>
      </c>
      <c r="R242" t="s">
        <v>28</v>
      </c>
      <c r="S242" t="s">
        <v>28</v>
      </c>
      <c r="T242" t="s">
        <v>28</v>
      </c>
      <c r="U242" t="s">
        <v>28</v>
      </c>
      <c r="V242" t="s">
        <v>28</v>
      </c>
      <c r="W242">
        <v>3</v>
      </c>
      <c r="X242" t="s">
        <v>147</v>
      </c>
    </row>
    <row r="243" spans="1:24" x14ac:dyDescent="0.2">
      <c r="A243" t="str">
        <f t="shared" si="9"/>
        <v>sample_miseq-16S-C-E02-L3_SICap-P12-E2-P1D14-BB-C1R2-noBile-rep1-day14</v>
      </c>
      <c r="B243" s="1" t="s">
        <v>415</v>
      </c>
      <c r="C243" s="3" t="s">
        <v>991</v>
      </c>
      <c r="D243" s="3" t="s">
        <v>1327</v>
      </c>
      <c r="E243" t="s">
        <v>20</v>
      </c>
      <c r="F243" t="s">
        <v>148</v>
      </c>
      <c r="G243" t="s">
        <v>92</v>
      </c>
      <c r="H243" t="str">
        <f t="shared" si="10"/>
        <v>02</v>
      </c>
      <c r="I243" t="str">
        <f t="shared" si="11"/>
        <v>E</v>
      </c>
      <c r="J243" t="s">
        <v>149</v>
      </c>
      <c r="K243" t="s">
        <v>91</v>
      </c>
      <c r="L243" t="s">
        <v>25</v>
      </c>
      <c r="M243" t="s">
        <v>31</v>
      </c>
      <c r="N243">
        <v>1</v>
      </c>
      <c r="O243">
        <v>14</v>
      </c>
      <c r="P243" t="s">
        <v>150</v>
      </c>
      <c r="Q243" t="s">
        <v>28</v>
      </c>
      <c r="R243" t="s">
        <v>28</v>
      </c>
      <c r="S243" t="s">
        <v>28</v>
      </c>
      <c r="T243" t="s">
        <v>28</v>
      </c>
      <c r="U243" t="s">
        <v>28</v>
      </c>
      <c r="V243" t="s">
        <v>28</v>
      </c>
      <c r="W243">
        <v>3</v>
      </c>
      <c r="X243" t="s">
        <v>147</v>
      </c>
    </row>
    <row r="244" spans="1:24" x14ac:dyDescent="0.2">
      <c r="A244" t="str">
        <f t="shared" si="9"/>
        <v>sample_miseq-16S-C-E03-L3_SICap-P12-E3-P1D14-BB-C2R1-noBile-rep1-day14</v>
      </c>
      <c r="B244" s="1" t="s">
        <v>416</v>
      </c>
      <c r="C244" s="3" t="s">
        <v>992</v>
      </c>
      <c r="D244" s="3" t="s">
        <v>1327</v>
      </c>
      <c r="E244" t="s">
        <v>20</v>
      </c>
      <c r="F244" t="s">
        <v>148</v>
      </c>
      <c r="G244" t="s">
        <v>93</v>
      </c>
      <c r="H244" t="str">
        <f t="shared" si="10"/>
        <v>03</v>
      </c>
      <c r="I244" t="str">
        <f t="shared" si="11"/>
        <v>E</v>
      </c>
      <c r="J244" t="s">
        <v>149</v>
      </c>
      <c r="K244" t="s">
        <v>91</v>
      </c>
      <c r="L244" t="s">
        <v>25</v>
      </c>
      <c r="M244" t="s">
        <v>33</v>
      </c>
      <c r="N244">
        <v>1</v>
      </c>
      <c r="O244">
        <v>14</v>
      </c>
      <c r="P244" t="s">
        <v>150</v>
      </c>
      <c r="Q244" t="s">
        <v>28</v>
      </c>
      <c r="R244" t="s">
        <v>28</v>
      </c>
      <c r="S244" t="s">
        <v>28</v>
      </c>
      <c r="T244" t="s">
        <v>28</v>
      </c>
      <c r="U244" t="s">
        <v>28</v>
      </c>
      <c r="V244" t="s">
        <v>28</v>
      </c>
      <c r="W244">
        <v>3</v>
      </c>
      <c r="X244" t="s">
        <v>147</v>
      </c>
    </row>
    <row r="245" spans="1:24" x14ac:dyDescent="0.2">
      <c r="A245" t="str">
        <f t="shared" si="9"/>
        <v>sample_miseq-16S-C-E04-L3_SICap-P12-E4-P1D14-BB-C2R2-noBile-rep1-day14</v>
      </c>
      <c r="B245" s="1" t="s">
        <v>417</v>
      </c>
      <c r="C245" s="3" t="s">
        <v>993</v>
      </c>
      <c r="D245" s="3" t="s">
        <v>1327</v>
      </c>
      <c r="E245" t="s">
        <v>20</v>
      </c>
      <c r="F245" t="s">
        <v>148</v>
      </c>
      <c r="G245" t="s">
        <v>94</v>
      </c>
      <c r="H245" t="str">
        <f t="shared" si="10"/>
        <v>04</v>
      </c>
      <c r="I245" t="str">
        <f t="shared" si="11"/>
        <v>E</v>
      </c>
      <c r="J245" t="s">
        <v>149</v>
      </c>
      <c r="K245" t="s">
        <v>91</v>
      </c>
      <c r="L245" t="s">
        <v>25</v>
      </c>
      <c r="M245" t="s">
        <v>35</v>
      </c>
      <c r="N245">
        <v>1</v>
      </c>
      <c r="O245">
        <v>14</v>
      </c>
      <c r="P245" t="s">
        <v>150</v>
      </c>
      <c r="Q245" t="s">
        <v>28</v>
      </c>
      <c r="R245" t="s">
        <v>28</v>
      </c>
      <c r="S245" t="s">
        <v>28</v>
      </c>
      <c r="T245" t="s">
        <v>28</v>
      </c>
      <c r="U245" t="s">
        <v>28</v>
      </c>
      <c r="V245" t="s">
        <v>28</v>
      </c>
      <c r="W245">
        <v>3</v>
      </c>
      <c r="X245" t="s">
        <v>147</v>
      </c>
    </row>
    <row r="246" spans="1:24" x14ac:dyDescent="0.2">
      <c r="A246" t="str">
        <f t="shared" si="9"/>
        <v>sample_miseq-16S-C-E05-L3_SICap-P12-E5-P1D14-BB-C3R1-noBile-rep1-day14</v>
      </c>
      <c r="B246" s="1" t="s">
        <v>418</v>
      </c>
      <c r="C246" s="3" t="s">
        <v>994</v>
      </c>
      <c r="D246" s="3" t="s">
        <v>1327</v>
      </c>
      <c r="E246" t="s">
        <v>20</v>
      </c>
      <c r="F246" t="s">
        <v>148</v>
      </c>
      <c r="G246" t="s">
        <v>95</v>
      </c>
      <c r="H246" t="str">
        <f t="shared" si="10"/>
        <v>05</v>
      </c>
      <c r="I246" t="str">
        <f t="shared" si="11"/>
        <v>E</v>
      </c>
      <c r="J246" t="s">
        <v>149</v>
      </c>
      <c r="K246" t="s">
        <v>91</v>
      </c>
      <c r="L246" t="s">
        <v>25</v>
      </c>
      <c r="M246" t="s">
        <v>37</v>
      </c>
      <c r="N246">
        <v>1</v>
      </c>
      <c r="O246">
        <v>14</v>
      </c>
      <c r="P246" t="s">
        <v>150</v>
      </c>
      <c r="Q246" t="s">
        <v>28</v>
      </c>
      <c r="R246" t="s">
        <v>28</v>
      </c>
      <c r="S246" t="s">
        <v>28</v>
      </c>
      <c r="T246" t="s">
        <v>28</v>
      </c>
      <c r="U246" t="s">
        <v>28</v>
      </c>
      <c r="V246" t="s">
        <v>28</v>
      </c>
      <c r="W246">
        <v>3</v>
      </c>
      <c r="X246" t="s">
        <v>147</v>
      </c>
    </row>
    <row r="247" spans="1:24" x14ac:dyDescent="0.2">
      <c r="A247" t="str">
        <f t="shared" si="9"/>
        <v>sample_miseq-16S-C-E06-L3_SICap-P12-E6-P1D14-BB-C3R2-noBile-rep1-day14</v>
      </c>
      <c r="B247" s="1" t="s">
        <v>419</v>
      </c>
      <c r="C247" s="3" t="s">
        <v>995</v>
      </c>
      <c r="D247" s="3" t="s">
        <v>1327</v>
      </c>
      <c r="E247" t="s">
        <v>20</v>
      </c>
      <c r="F247" t="s">
        <v>148</v>
      </c>
      <c r="G247" t="s">
        <v>96</v>
      </c>
      <c r="H247" t="str">
        <f t="shared" si="10"/>
        <v>06</v>
      </c>
      <c r="I247" t="str">
        <f t="shared" si="11"/>
        <v>E</v>
      </c>
      <c r="J247" t="s">
        <v>149</v>
      </c>
      <c r="K247" t="s">
        <v>91</v>
      </c>
      <c r="L247" t="s">
        <v>25</v>
      </c>
      <c r="M247" t="s">
        <v>39</v>
      </c>
      <c r="N247">
        <v>1</v>
      </c>
      <c r="O247">
        <v>14</v>
      </c>
      <c r="P247" t="s">
        <v>150</v>
      </c>
      <c r="Q247" t="s">
        <v>28</v>
      </c>
      <c r="R247" t="s">
        <v>28</v>
      </c>
      <c r="S247" t="s">
        <v>28</v>
      </c>
      <c r="T247" t="s">
        <v>28</v>
      </c>
      <c r="U247" t="s">
        <v>28</v>
      </c>
      <c r="V247" t="s">
        <v>28</v>
      </c>
      <c r="W247">
        <v>3</v>
      </c>
      <c r="X247" t="s">
        <v>147</v>
      </c>
    </row>
    <row r="248" spans="1:24" x14ac:dyDescent="0.2">
      <c r="A248" t="str">
        <f t="shared" si="9"/>
        <v>sample_miseq-16S-C-E07-L3_SICap-P12-E7-P1D14-BB-C4R1-noBile-rep1-day14</v>
      </c>
      <c r="B248" s="1" t="s">
        <v>420</v>
      </c>
      <c r="C248" s="3" t="s">
        <v>996</v>
      </c>
      <c r="D248" s="3" t="s">
        <v>1327</v>
      </c>
      <c r="E248" t="s">
        <v>20</v>
      </c>
      <c r="F248" t="s">
        <v>148</v>
      </c>
      <c r="G248" t="s">
        <v>97</v>
      </c>
      <c r="H248" t="str">
        <f t="shared" si="10"/>
        <v>07</v>
      </c>
      <c r="I248" t="str">
        <f t="shared" si="11"/>
        <v>E</v>
      </c>
      <c r="J248" t="s">
        <v>149</v>
      </c>
      <c r="K248" t="s">
        <v>91</v>
      </c>
      <c r="L248" t="s">
        <v>25</v>
      </c>
      <c r="M248" t="s">
        <v>41</v>
      </c>
      <c r="N248">
        <v>1</v>
      </c>
      <c r="O248">
        <v>14</v>
      </c>
      <c r="P248" t="s">
        <v>150</v>
      </c>
      <c r="Q248" t="s">
        <v>28</v>
      </c>
      <c r="R248" t="s">
        <v>28</v>
      </c>
      <c r="S248" t="s">
        <v>28</v>
      </c>
      <c r="T248" t="s">
        <v>28</v>
      </c>
      <c r="U248" t="s">
        <v>28</v>
      </c>
      <c r="V248" t="s">
        <v>28</v>
      </c>
      <c r="W248">
        <v>3</v>
      </c>
      <c r="X248" t="s">
        <v>147</v>
      </c>
    </row>
    <row r="249" spans="1:24" x14ac:dyDescent="0.2">
      <c r="A249" t="str">
        <f t="shared" si="9"/>
        <v>sample_miseq-16S-C-E08-L3_SICap-P12-E8-P1D14-BB-C4R2-noBile-rep1-day14</v>
      </c>
      <c r="B249" s="1" t="s">
        <v>421</v>
      </c>
      <c r="C249" s="3" t="s">
        <v>997</v>
      </c>
      <c r="D249" s="3" t="s">
        <v>1327</v>
      </c>
      <c r="E249" t="s">
        <v>20</v>
      </c>
      <c r="F249" t="s">
        <v>148</v>
      </c>
      <c r="G249" t="s">
        <v>98</v>
      </c>
      <c r="H249" t="str">
        <f t="shared" si="10"/>
        <v>08</v>
      </c>
      <c r="I249" t="str">
        <f t="shared" si="11"/>
        <v>E</v>
      </c>
      <c r="J249" t="s">
        <v>149</v>
      </c>
      <c r="K249" t="s">
        <v>91</v>
      </c>
      <c r="L249" t="s">
        <v>25</v>
      </c>
      <c r="M249" t="s">
        <v>43</v>
      </c>
      <c r="N249">
        <v>1</v>
      </c>
      <c r="O249">
        <v>14</v>
      </c>
      <c r="P249" t="s">
        <v>150</v>
      </c>
      <c r="Q249" t="s">
        <v>28</v>
      </c>
      <c r="R249" t="s">
        <v>28</v>
      </c>
      <c r="S249" t="s">
        <v>28</v>
      </c>
      <c r="T249" t="s">
        <v>28</v>
      </c>
      <c r="U249" t="s">
        <v>28</v>
      </c>
      <c r="V249" t="s">
        <v>28</v>
      </c>
      <c r="W249">
        <v>3</v>
      </c>
      <c r="X249" t="s">
        <v>147</v>
      </c>
    </row>
    <row r="250" spans="1:24" x14ac:dyDescent="0.2">
      <c r="A250" t="str">
        <f t="shared" si="9"/>
        <v>sample_miseq-16S-C-E09-L3_SICap-P12-E9-P1D14-BB-S1R2-noBile-rep1-day14</v>
      </c>
      <c r="B250" s="1" t="s">
        <v>422</v>
      </c>
      <c r="C250" s="3" t="s">
        <v>998</v>
      </c>
      <c r="D250" s="3" t="s">
        <v>1327</v>
      </c>
      <c r="E250" t="s">
        <v>20</v>
      </c>
      <c r="F250" t="s">
        <v>148</v>
      </c>
      <c r="G250" t="s">
        <v>99</v>
      </c>
      <c r="H250" t="str">
        <f t="shared" si="10"/>
        <v>09</v>
      </c>
      <c r="I250" t="str">
        <f t="shared" si="11"/>
        <v>E</v>
      </c>
      <c r="J250" t="s">
        <v>149</v>
      </c>
      <c r="K250" t="s">
        <v>91</v>
      </c>
      <c r="L250" t="s">
        <v>25</v>
      </c>
      <c r="M250" t="s">
        <v>45</v>
      </c>
      <c r="N250">
        <v>1</v>
      </c>
      <c r="O250">
        <v>14</v>
      </c>
      <c r="P250" t="s">
        <v>150</v>
      </c>
      <c r="Q250" t="s">
        <v>28</v>
      </c>
      <c r="R250" t="s">
        <v>28</v>
      </c>
      <c r="S250" t="s">
        <v>28</v>
      </c>
      <c r="T250" t="s">
        <v>28</v>
      </c>
      <c r="U250" t="s">
        <v>28</v>
      </c>
      <c r="V250" t="s">
        <v>28</v>
      </c>
      <c r="W250">
        <v>3</v>
      </c>
      <c r="X250" t="s">
        <v>147</v>
      </c>
    </row>
    <row r="251" spans="1:24" x14ac:dyDescent="0.2">
      <c r="A251" t="str">
        <f t="shared" si="9"/>
        <v>sample_miseq-16S-C-E10-L3_SICap-P12-E10-P1D14-BB-StoolPool-noBile-rep1-day14</v>
      </c>
      <c r="B251" s="1" t="s">
        <v>423</v>
      </c>
      <c r="C251" s="3" t="s">
        <v>999</v>
      </c>
      <c r="D251" s="3" t="s">
        <v>1327</v>
      </c>
      <c r="E251" t="s">
        <v>20</v>
      </c>
      <c r="F251" t="s">
        <v>148</v>
      </c>
      <c r="G251" t="s">
        <v>100</v>
      </c>
      <c r="H251" t="str">
        <f t="shared" si="10"/>
        <v>10</v>
      </c>
      <c r="I251" t="str">
        <f t="shared" si="11"/>
        <v>E</v>
      </c>
      <c r="J251" t="s">
        <v>149</v>
      </c>
      <c r="K251" t="s">
        <v>91</v>
      </c>
      <c r="L251" t="s">
        <v>25</v>
      </c>
      <c r="M251" t="s">
        <v>47</v>
      </c>
      <c r="N251">
        <v>1</v>
      </c>
      <c r="O251">
        <v>14</v>
      </c>
      <c r="P251" t="s">
        <v>150</v>
      </c>
      <c r="Q251" t="s">
        <v>28</v>
      </c>
      <c r="R251" t="s">
        <v>28</v>
      </c>
      <c r="S251" t="s">
        <v>28</v>
      </c>
      <c r="T251" t="s">
        <v>28</v>
      </c>
      <c r="U251" t="s">
        <v>28</v>
      </c>
      <c r="V251" t="s">
        <v>28</v>
      </c>
      <c r="W251">
        <v>3</v>
      </c>
      <c r="X251" t="s">
        <v>147</v>
      </c>
    </row>
    <row r="252" spans="1:24" x14ac:dyDescent="0.2">
      <c r="A252" t="str">
        <f t="shared" si="9"/>
        <v>sample_miseq-16S-C-E11-L3_SICap-P12-E11-P1D14-BB-SIPool-noBile-rep1-day14</v>
      </c>
      <c r="B252" s="1" t="s">
        <v>424</v>
      </c>
      <c r="C252" s="3" t="s">
        <v>1000</v>
      </c>
      <c r="D252" s="3" t="s">
        <v>1327</v>
      </c>
      <c r="E252" t="s">
        <v>20</v>
      </c>
      <c r="F252" t="s">
        <v>148</v>
      </c>
      <c r="G252" t="s">
        <v>101</v>
      </c>
      <c r="H252" t="str">
        <f t="shared" si="10"/>
        <v>11</v>
      </c>
      <c r="I252" t="str">
        <f t="shared" si="11"/>
        <v>E</v>
      </c>
      <c r="J252" t="s">
        <v>149</v>
      </c>
      <c r="K252" t="s">
        <v>91</v>
      </c>
      <c r="L252" t="s">
        <v>25</v>
      </c>
      <c r="M252" t="s">
        <v>49</v>
      </c>
      <c r="N252">
        <v>1</v>
      </c>
      <c r="O252">
        <v>14</v>
      </c>
      <c r="P252" t="s">
        <v>150</v>
      </c>
      <c r="Q252" t="s">
        <v>28</v>
      </c>
      <c r="R252" t="s">
        <v>28</v>
      </c>
      <c r="S252" t="s">
        <v>28</v>
      </c>
      <c r="T252" t="s">
        <v>28</v>
      </c>
      <c r="U252" t="s">
        <v>28</v>
      </c>
      <c r="V252" t="s">
        <v>28</v>
      </c>
      <c r="W252">
        <v>3</v>
      </c>
      <c r="X252" t="s">
        <v>147</v>
      </c>
    </row>
    <row r="253" spans="1:24" x14ac:dyDescent="0.2">
      <c r="A253" t="str">
        <f t="shared" si="9"/>
        <v>sample_miseq-16S-C-E12-L3_SICap-P12-E12-P1D14-BB-Media-noBile-rep1-day14</v>
      </c>
      <c r="B253" s="1" t="s">
        <v>425</v>
      </c>
      <c r="C253" s="3" t="s">
        <v>1001</v>
      </c>
      <c r="D253" s="3" t="s">
        <v>1327</v>
      </c>
      <c r="E253" t="s">
        <v>20</v>
      </c>
      <c r="F253" t="s">
        <v>148</v>
      </c>
      <c r="G253" t="s">
        <v>102</v>
      </c>
      <c r="H253" t="str">
        <f t="shared" si="10"/>
        <v>12</v>
      </c>
      <c r="I253" t="str">
        <f t="shared" si="11"/>
        <v>E</v>
      </c>
      <c r="J253" t="s">
        <v>149</v>
      </c>
      <c r="K253" t="s">
        <v>91</v>
      </c>
      <c r="L253" t="s">
        <v>25</v>
      </c>
      <c r="M253" t="s">
        <v>6</v>
      </c>
      <c r="N253">
        <v>1</v>
      </c>
      <c r="O253">
        <v>14</v>
      </c>
      <c r="P253" t="s">
        <v>150</v>
      </c>
      <c r="Q253" t="s">
        <v>28</v>
      </c>
      <c r="R253" t="s">
        <v>28</v>
      </c>
      <c r="S253" t="s">
        <v>28</v>
      </c>
      <c r="T253" t="s">
        <v>28</v>
      </c>
      <c r="U253" t="s">
        <v>28</v>
      </c>
      <c r="V253" t="s">
        <v>28</v>
      </c>
      <c r="W253">
        <v>3</v>
      </c>
      <c r="X253" t="s">
        <v>147</v>
      </c>
    </row>
    <row r="254" spans="1:24" x14ac:dyDescent="0.2">
      <c r="A254" t="str">
        <f t="shared" si="9"/>
        <v>sample_miseq-16S-C-F01-L3_SICap-P12-F1-P1D14-YCFAG-C1R1-noBile-rep1-day14</v>
      </c>
      <c r="B254" s="1" t="s">
        <v>426</v>
      </c>
      <c r="C254" s="3" t="s">
        <v>1002</v>
      </c>
      <c r="D254" s="3" t="s">
        <v>1327</v>
      </c>
      <c r="E254" t="s">
        <v>20</v>
      </c>
      <c r="F254" t="s">
        <v>148</v>
      </c>
      <c r="G254" t="s">
        <v>103</v>
      </c>
      <c r="H254" t="str">
        <f t="shared" si="10"/>
        <v>01</v>
      </c>
      <c r="I254" t="str">
        <f t="shared" si="11"/>
        <v>F</v>
      </c>
      <c r="J254" t="s">
        <v>149</v>
      </c>
      <c r="K254" t="s">
        <v>104</v>
      </c>
      <c r="L254" t="s">
        <v>25</v>
      </c>
      <c r="M254" t="s">
        <v>26</v>
      </c>
      <c r="N254">
        <v>1</v>
      </c>
      <c r="O254">
        <v>14</v>
      </c>
      <c r="P254" t="s">
        <v>150</v>
      </c>
      <c r="Q254" t="s">
        <v>28</v>
      </c>
      <c r="R254" t="s">
        <v>28</v>
      </c>
      <c r="S254" t="s">
        <v>28</v>
      </c>
      <c r="T254" t="s">
        <v>28</v>
      </c>
      <c r="U254" t="s">
        <v>28</v>
      </c>
      <c r="V254" t="s">
        <v>28</v>
      </c>
      <c r="W254">
        <v>3</v>
      </c>
      <c r="X254" t="s">
        <v>147</v>
      </c>
    </row>
    <row r="255" spans="1:24" x14ac:dyDescent="0.2">
      <c r="A255" t="str">
        <f t="shared" si="9"/>
        <v>sample_miseq-16S-C-F02-L3_SICap-P12-F2-P1D14-YCFAG-C1R2-noBile-rep1-day14</v>
      </c>
      <c r="B255" s="1" t="s">
        <v>427</v>
      </c>
      <c r="C255" s="3" t="s">
        <v>1003</v>
      </c>
      <c r="D255" s="3" t="s">
        <v>1327</v>
      </c>
      <c r="E255" t="s">
        <v>20</v>
      </c>
      <c r="F255" t="s">
        <v>148</v>
      </c>
      <c r="G255" t="s">
        <v>105</v>
      </c>
      <c r="H255" t="str">
        <f t="shared" si="10"/>
        <v>02</v>
      </c>
      <c r="I255" t="str">
        <f t="shared" si="11"/>
        <v>F</v>
      </c>
      <c r="J255" t="s">
        <v>149</v>
      </c>
      <c r="K255" t="s">
        <v>104</v>
      </c>
      <c r="L255" t="s">
        <v>25</v>
      </c>
      <c r="M255" t="s">
        <v>31</v>
      </c>
      <c r="N255">
        <v>1</v>
      </c>
      <c r="O255">
        <v>14</v>
      </c>
      <c r="P255" t="s">
        <v>150</v>
      </c>
      <c r="Q255" t="s">
        <v>28</v>
      </c>
      <c r="R255" t="s">
        <v>28</v>
      </c>
      <c r="S255" t="s">
        <v>28</v>
      </c>
      <c r="T255" t="s">
        <v>28</v>
      </c>
      <c r="U255" t="s">
        <v>28</v>
      </c>
      <c r="V255" t="s">
        <v>28</v>
      </c>
      <c r="W255">
        <v>3</v>
      </c>
      <c r="X255" t="s">
        <v>147</v>
      </c>
    </row>
    <row r="256" spans="1:24" x14ac:dyDescent="0.2">
      <c r="A256" t="str">
        <f t="shared" si="9"/>
        <v>sample_miseq-16S-C-F03-L3_SICap-P12-F3-P1D14-YCFAG-C2R1-noBile-rep1-day14</v>
      </c>
      <c r="B256" s="1" t="s">
        <v>428</v>
      </c>
      <c r="C256" s="3" t="s">
        <v>1004</v>
      </c>
      <c r="D256" s="3" t="s">
        <v>1327</v>
      </c>
      <c r="E256" t="s">
        <v>20</v>
      </c>
      <c r="F256" t="s">
        <v>148</v>
      </c>
      <c r="G256" t="s">
        <v>106</v>
      </c>
      <c r="H256" t="str">
        <f t="shared" si="10"/>
        <v>03</v>
      </c>
      <c r="I256" t="str">
        <f t="shared" si="11"/>
        <v>F</v>
      </c>
      <c r="J256" t="s">
        <v>149</v>
      </c>
      <c r="K256" t="s">
        <v>104</v>
      </c>
      <c r="L256" t="s">
        <v>25</v>
      </c>
      <c r="M256" t="s">
        <v>33</v>
      </c>
      <c r="N256">
        <v>1</v>
      </c>
      <c r="O256">
        <v>14</v>
      </c>
      <c r="P256" t="s">
        <v>150</v>
      </c>
      <c r="Q256" t="s">
        <v>28</v>
      </c>
      <c r="R256" t="s">
        <v>28</v>
      </c>
      <c r="S256" t="s">
        <v>28</v>
      </c>
      <c r="T256" t="s">
        <v>28</v>
      </c>
      <c r="U256" t="s">
        <v>28</v>
      </c>
      <c r="V256" t="s">
        <v>28</v>
      </c>
      <c r="W256">
        <v>3</v>
      </c>
      <c r="X256" t="s">
        <v>147</v>
      </c>
    </row>
    <row r="257" spans="1:24" x14ac:dyDescent="0.2">
      <c r="A257" t="str">
        <f t="shared" si="9"/>
        <v>sample_miseq-16S-C-F04-L3_SICap-P12-F4-P1D14-YCFAG-C2R2-noBile-rep1-day14</v>
      </c>
      <c r="B257" s="1" t="s">
        <v>429</v>
      </c>
      <c r="C257" s="3" t="s">
        <v>1005</v>
      </c>
      <c r="D257" s="3" t="s">
        <v>1327</v>
      </c>
      <c r="E257" t="s">
        <v>20</v>
      </c>
      <c r="F257" t="s">
        <v>148</v>
      </c>
      <c r="G257" t="s">
        <v>107</v>
      </c>
      <c r="H257" t="str">
        <f t="shared" si="10"/>
        <v>04</v>
      </c>
      <c r="I257" t="str">
        <f t="shared" si="11"/>
        <v>F</v>
      </c>
      <c r="J257" t="s">
        <v>149</v>
      </c>
      <c r="K257" t="s">
        <v>104</v>
      </c>
      <c r="L257" t="s">
        <v>25</v>
      </c>
      <c r="M257" t="s">
        <v>35</v>
      </c>
      <c r="N257">
        <v>1</v>
      </c>
      <c r="O257">
        <v>14</v>
      </c>
      <c r="P257" t="s">
        <v>150</v>
      </c>
      <c r="Q257" t="s">
        <v>28</v>
      </c>
      <c r="R257" t="s">
        <v>28</v>
      </c>
      <c r="S257" t="s">
        <v>28</v>
      </c>
      <c r="T257" t="s">
        <v>28</v>
      </c>
      <c r="U257" t="s">
        <v>28</v>
      </c>
      <c r="V257" t="s">
        <v>28</v>
      </c>
      <c r="W257">
        <v>3</v>
      </c>
      <c r="X257" t="s">
        <v>147</v>
      </c>
    </row>
    <row r="258" spans="1:24" x14ac:dyDescent="0.2">
      <c r="A258" t="str">
        <f t="shared" si="9"/>
        <v>sample_miseq-16S-C-F05-L3_SICap-P12-F5-P1D14-YCFAG-C3R1-noBile-rep1-day14</v>
      </c>
      <c r="B258" s="1" t="s">
        <v>430</v>
      </c>
      <c r="C258" s="3" t="s">
        <v>1006</v>
      </c>
      <c r="D258" s="3" t="s">
        <v>1327</v>
      </c>
      <c r="E258" t="s">
        <v>20</v>
      </c>
      <c r="F258" t="s">
        <v>148</v>
      </c>
      <c r="G258" t="s">
        <v>108</v>
      </c>
      <c r="H258" t="str">
        <f t="shared" si="10"/>
        <v>05</v>
      </c>
      <c r="I258" t="str">
        <f t="shared" si="11"/>
        <v>F</v>
      </c>
      <c r="J258" t="s">
        <v>149</v>
      </c>
      <c r="K258" t="s">
        <v>104</v>
      </c>
      <c r="L258" t="s">
        <v>25</v>
      </c>
      <c r="M258" t="s">
        <v>37</v>
      </c>
      <c r="N258">
        <v>1</v>
      </c>
      <c r="O258">
        <v>14</v>
      </c>
      <c r="P258" t="s">
        <v>150</v>
      </c>
      <c r="Q258" t="s">
        <v>28</v>
      </c>
      <c r="R258" t="s">
        <v>28</v>
      </c>
      <c r="S258" t="s">
        <v>28</v>
      </c>
      <c r="T258" t="s">
        <v>28</v>
      </c>
      <c r="U258" t="s">
        <v>28</v>
      </c>
      <c r="V258" t="s">
        <v>28</v>
      </c>
      <c r="W258">
        <v>3</v>
      </c>
      <c r="X258" t="s">
        <v>147</v>
      </c>
    </row>
    <row r="259" spans="1:24" x14ac:dyDescent="0.2">
      <c r="A259" t="str">
        <f t="shared" ref="A259:A322" si="12">_xlfn.CONCAT("sample_miseq-",C259)</f>
        <v>sample_miseq-16S-C-F06-L3_SICap-P12-F6-P1D14-YCFAG-C3R2-noBile-rep1-day14</v>
      </c>
      <c r="B259" s="1" t="s">
        <v>431</v>
      </c>
      <c r="C259" s="3" t="s">
        <v>1007</v>
      </c>
      <c r="D259" s="3" t="s">
        <v>1327</v>
      </c>
      <c r="E259" t="s">
        <v>20</v>
      </c>
      <c r="F259" t="s">
        <v>148</v>
      </c>
      <c r="G259" t="s">
        <v>109</v>
      </c>
      <c r="H259" t="str">
        <f t="shared" ref="H259:H322" si="13">RIGHT(G259,2)</f>
        <v>06</v>
      </c>
      <c r="I259" t="str">
        <f t="shared" ref="I259:I322" si="14">LEFT(G259)</f>
        <v>F</v>
      </c>
      <c r="J259" t="s">
        <v>149</v>
      </c>
      <c r="K259" t="s">
        <v>104</v>
      </c>
      <c r="L259" t="s">
        <v>25</v>
      </c>
      <c r="M259" t="s">
        <v>39</v>
      </c>
      <c r="N259">
        <v>1</v>
      </c>
      <c r="O259">
        <v>14</v>
      </c>
      <c r="P259" t="s">
        <v>150</v>
      </c>
      <c r="Q259" t="s">
        <v>28</v>
      </c>
      <c r="R259" t="s">
        <v>28</v>
      </c>
      <c r="S259" t="s">
        <v>28</v>
      </c>
      <c r="T259" t="s">
        <v>28</v>
      </c>
      <c r="U259" t="s">
        <v>28</v>
      </c>
      <c r="V259" t="s">
        <v>28</v>
      </c>
      <c r="W259">
        <v>3</v>
      </c>
      <c r="X259" t="s">
        <v>147</v>
      </c>
    </row>
    <row r="260" spans="1:24" x14ac:dyDescent="0.2">
      <c r="A260" t="str">
        <f t="shared" si="12"/>
        <v>sample_miseq-16S-C-F07-L3_SICap-P12-F7-P1D14-YCFAG-C4R1-noBile-rep1-day14</v>
      </c>
      <c r="B260" s="1" t="s">
        <v>432</v>
      </c>
      <c r="C260" s="3" t="s">
        <v>1008</v>
      </c>
      <c r="D260" s="3" t="s">
        <v>1327</v>
      </c>
      <c r="E260" t="s">
        <v>20</v>
      </c>
      <c r="F260" t="s">
        <v>148</v>
      </c>
      <c r="G260" t="s">
        <v>110</v>
      </c>
      <c r="H260" t="str">
        <f t="shared" si="13"/>
        <v>07</v>
      </c>
      <c r="I260" t="str">
        <f t="shared" si="14"/>
        <v>F</v>
      </c>
      <c r="J260" t="s">
        <v>149</v>
      </c>
      <c r="K260" t="s">
        <v>104</v>
      </c>
      <c r="L260" t="s">
        <v>25</v>
      </c>
      <c r="M260" t="s">
        <v>41</v>
      </c>
      <c r="N260">
        <v>1</v>
      </c>
      <c r="O260">
        <v>14</v>
      </c>
      <c r="P260" t="s">
        <v>150</v>
      </c>
      <c r="Q260" t="s">
        <v>28</v>
      </c>
      <c r="R260" t="s">
        <v>28</v>
      </c>
      <c r="S260" t="s">
        <v>28</v>
      </c>
      <c r="T260" t="s">
        <v>28</v>
      </c>
      <c r="U260" t="s">
        <v>28</v>
      </c>
      <c r="V260" t="s">
        <v>28</v>
      </c>
      <c r="W260">
        <v>3</v>
      </c>
      <c r="X260" t="s">
        <v>147</v>
      </c>
    </row>
    <row r="261" spans="1:24" x14ac:dyDescent="0.2">
      <c r="A261" t="str">
        <f t="shared" si="12"/>
        <v>sample_miseq-16S-C-F08-L3_SICap-P12-F8-P1D14-YCFAG-C4R2-noBile-rep1-day14</v>
      </c>
      <c r="B261" s="1" t="s">
        <v>433</v>
      </c>
      <c r="C261" s="3" t="s">
        <v>1009</v>
      </c>
      <c r="D261" s="3" t="s">
        <v>1327</v>
      </c>
      <c r="E261" t="s">
        <v>20</v>
      </c>
      <c r="F261" t="s">
        <v>148</v>
      </c>
      <c r="G261" t="s">
        <v>111</v>
      </c>
      <c r="H261" t="str">
        <f t="shared" si="13"/>
        <v>08</v>
      </c>
      <c r="I261" t="str">
        <f t="shared" si="14"/>
        <v>F</v>
      </c>
      <c r="J261" t="s">
        <v>149</v>
      </c>
      <c r="K261" t="s">
        <v>104</v>
      </c>
      <c r="L261" t="s">
        <v>25</v>
      </c>
      <c r="M261" t="s">
        <v>43</v>
      </c>
      <c r="N261">
        <v>1</v>
      </c>
      <c r="O261">
        <v>14</v>
      </c>
      <c r="P261" t="s">
        <v>150</v>
      </c>
      <c r="Q261" t="s">
        <v>28</v>
      </c>
      <c r="R261" t="s">
        <v>28</v>
      </c>
      <c r="S261" t="s">
        <v>28</v>
      </c>
      <c r="T261" t="s">
        <v>28</v>
      </c>
      <c r="U261" t="s">
        <v>28</v>
      </c>
      <c r="V261" t="s">
        <v>28</v>
      </c>
      <c r="W261">
        <v>3</v>
      </c>
      <c r="X261" t="s">
        <v>147</v>
      </c>
    </row>
    <row r="262" spans="1:24" x14ac:dyDescent="0.2">
      <c r="A262" t="str">
        <f t="shared" si="12"/>
        <v>sample_miseq-16S-C-F09-L3_SICap-P12-F9-P1D14-YCFAG-S1R2-noBile-rep1-day14</v>
      </c>
      <c r="B262" s="1" t="s">
        <v>434</v>
      </c>
      <c r="C262" s="3" t="s">
        <v>1010</v>
      </c>
      <c r="D262" s="3" t="s">
        <v>1327</v>
      </c>
      <c r="E262" t="s">
        <v>20</v>
      </c>
      <c r="F262" t="s">
        <v>148</v>
      </c>
      <c r="G262" t="s">
        <v>112</v>
      </c>
      <c r="H262" t="str">
        <f t="shared" si="13"/>
        <v>09</v>
      </c>
      <c r="I262" t="str">
        <f t="shared" si="14"/>
        <v>F</v>
      </c>
      <c r="J262" t="s">
        <v>149</v>
      </c>
      <c r="K262" t="s">
        <v>104</v>
      </c>
      <c r="L262" t="s">
        <v>25</v>
      </c>
      <c r="M262" t="s">
        <v>45</v>
      </c>
      <c r="N262">
        <v>1</v>
      </c>
      <c r="O262">
        <v>14</v>
      </c>
      <c r="P262" t="s">
        <v>150</v>
      </c>
      <c r="Q262" t="s">
        <v>28</v>
      </c>
      <c r="R262" t="s">
        <v>28</v>
      </c>
      <c r="S262" t="s">
        <v>28</v>
      </c>
      <c r="T262" t="s">
        <v>28</v>
      </c>
      <c r="U262" t="s">
        <v>28</v>
      </c>
      <c r="V262" t="s">
        <v>28</v>
      </c>
      <c r="W262">
        <v>3</v>
      </c>
      <c r="X262" t="s">
        <v>147</v>
      </c>
    </row>
    <row r="263" spans="1:24" x14ac:dyDescent="0.2">
      <c r="A263" t="str">
        <f t="shared" si="12"/>
        <v>sample_miseq-16S-C-F10-L3_SICap-P12-F10-P1D14-YCFAG-StoolPool-noBile-rep1-day14</v>
      </c>
      <c r="B263" s="1" t="s">
        <v>435</v>
      </c>
      <c r="C263" s="3" t="s">
        <v>1011</v>
      </c>
      <c r="D263" s="3" t="s">
        <v>1327</v>
      </c>
      <c r="E263" t="s">
        <v>20</v>
      </c>
      <c r="F263" t="s">
        <v>148</v>
      </c>
      <c r="G263" t="s">
        <v>113</v>
      </c>
      <c r="H263" t="str">
        <f t="shared" si="13"/>
        <v>10</v>
      </c>
      <c r="I263" t="str">
        <f t="shared" si="14"/>
        <v>F</v>
      </c>
      <c r="J263" t="s">
        <v>149</v>
      </c>
      <c r="K263" t="s">
        <v>104</v>
      </c>
      <c r="L263" t="s">
        <v>25</v>
      </c>
      <c r="M263" t="s">
        <v>47</v>
      </c>
      <c r="N263">
        <v>1</v>
      </c>
      <c r="O263">
        <v>14</v>
      </c>
      <c r="P263" t="s">
        <v>150</v>
      </c>
      <c r="Q263" t="s">
        <v>28</v>
      </c>
      <c r="R263" t="s">
        <v>28</v>
      </c>
      <c r="S263" t="s">
        <v>28</v>
      </c>
      <c r="T263" t="s">
        <v>28</v>
      </c>
      <c r="U263" t="s">
        <v>28</v>
      </c>
      <c r="V263" t="s">
        <v>28</v>
      </c>
      <c r="W263">
        <v>3</v>
      </c>
      <c r="X263" t="s">
        <v>147</v>
      </c>
    </row>
    <row r="264" spans="1:24" x14ac:dyDescent="0.2">
      <c r="A264" t="str">
        <f t="shared" si="12"/>
        <v>sample_miseq-16S-C-F11-L3_SICap-P12-F11-P1D14-YCFAG-SIPool-noBile-rep1-day14</v>
      </c>
      <c r="B264" s="1" t="s">
        <v>436</v>
      </c>
      <c r="C264" s="3" t="s">
        <v>1012</v>
      </c>
      <c r="D264" s="3" t="s">
        <v>1327</v>
      </c>
      <c r="E264" t="s">
        <v>20</v>
      </c>
      <c r="F264" t="s">
        <v>148</v>
      </c>
      <c r="G264" t="s">
        <v>114</v>
      </c>
      <c r="H264" t="str">
        <f t="shared" si="13"/>
        <v>11</v>
      </c>
      <c r="I264" t="str">
        <f t="shared" si="14"/>
        <v>F</v>
      </c>
      <c r="J264" t="s">
        <v>149</v>
      </c>
      <c r="K264" t="s">
        <v>104</v>
      </c>
      <c r="L264" t="s">
        <v>25</v>
      </c>
      <c r="M264" t="s">
        <v>49</v>
      </c>
      <c r="N264">
        <v>1</v>
      </c>
      <c r="O264">
        <v>14</v>
      </c>
      <c r="P264" t="s">
        <v>150</v>
      </c>
      <c r="Q264" t="s">
        <v>28</v>
      </c>
      <c r="R264" t="s">
        <v>28</v>
      </c>
      <c r="S264" t="s">
        <v>28</v>
      </c>
      <c r="T264" t="s">
        <v>28</v>
      </c>
      <c r="U264" t="s">
        <v>28</v>
      </c>
      <c r="V264" t="s">
        <v>28</v>
      </c>
      <c r="W264">
        <v>3</v>
      </c>
      <c r="X264" t="s">
        <v>147</v>
      </c>
    </row>
    <row r="265" spans="1:24" x14ac:dyDescent="0.2">
      <c r="A265" t="str">
        <f t="shared" si="12"/>
        <v>sample_miseq-16S-C-F12-L3_SICap-P12-F12-P1D14-YCFAG-Media-noBile-rep1-day14</v>
      </c>
      <c r="B265" s="1" t="s">
        <v>437</v>
      </c>
      <c r="C265" s="3" t="s">
        <v>1013</v>
      </c>
      <c r="D265" s="3" t="s">
        <v>1327</v>
      </c>
      <c r="E265" t="s">
        <v>20</v>
      </c>
      <c r="F265" t="s">
        <v>148</v>
      </c>
      <c r="G265" t="s">
        <v>115</v>
      </c>
      <c r="H265" t="str">
        <f t="shared" si="13"/>
        <v>12</v>
      </c>
      <c r="I265" t="str">
        <f t="shared" si="14"/>
        <v>F</v>
      </c>
      <c r="J265" t="s">
        <v>149</v>
      </c>
      <c r="K265" t="s">
        <v>104</v>
      </c>
      <c r="L265" t="s">
        <v>25</v>
      </c>
      <c r="M265" t="s">
        <v>6</v>
      </c>
      <c r="N265">
        <v>1</v>
      </c>
      <c r="O265">
        <v>14</v>
      </c>
      <c r="P265" t="s">
        <v>150</v>
      </c>
      <c r="Q265" t="s">
        <v>28</v>
      </c>
      <c r="R265" t="s">
        <v>28</v>
      </c>
      <c r="S265" t="s">
        <v>28</v>
      </c>
      <c r="T265" t="s">
        <v>28</v>
      </c>
      <c r="U265" t="s">
        <v>28</v>
      </c>
      <c r="V265" t="s">
        <v>28</v>
      </c>
      <c r="W265">
        <v>3</v>
      </c>
      <c r="X265" t="s">
        <v>147</v>
      </c>
    </row>
    <row r="266" spans="1:24" x14ac:dyDescent="0.2">
      <c r="A266" t="str">
        <f t="shared" si="12"/>
        <v>sample_miseq-16S-C-G01-L3_SICap-P12-G1-P1D14-TYG-C1R1-noBile-rep1-day14</v>
      </c>
      <c r="B266" s="1" t="s">
        <v>438</v>
      </c>
      <c r="C266" s="3" t="s">
        <v>1014</v>
      </c>
      <c r="D266" s="3" t="s">
        <v>1327</v>
      </c>
      <c r="E266" t="s">
        <v>20</v>
      </c>
      <c r="F266" t="s">
        <v>148</v>
      </c>
      <c r="G266" t="s">
        <v>116</v>
      </c>
      <c r="H266" t="str">
        <f t="shared" si="13"/>
        <v>01</v>
      </c>
      <c r="I266" t="str">
        <f t="shared" si="14"/>
        <v>G</v>
      </c>
      <c r="J266" t="s">
        <v>149</v>
      </c>
      <c r="K266" t="s">
        <v>117</v>
      </c>
      <c r="L266" t="s">
        <v>25</v>
      </c>
      <c r="M266" t="s">
        <v>26</v>
      </c>
      <c r="N266">
        <v>1</v>
      </c>
      <c r="O266">
        <v>14</v>
      </c>
      <c r="P266" t="s">
        <v>150</v>
      </c>
      <c r="Q266" t="s">
        <v>28</v>
      </c>
      <c r="R266" t="s">
        <v>28</v>
      </c>
      <c r="S266" t="s">
        <v>28</v>
      </c>
      <c r="T266" t="s">
        <v>28</v>
      </c>
      <c r="U266" t="s">
        <v>28</v>
      </c>
      <c r="V266" t="s">
        <v>28</v>
      </c>
      <c r="W266">
        <v>3</v>
      </c>
      <c r="X266" t="s">
        <v>147</v>
      </c>
    </row>
    <row r="267" spans="1:24" x14ac:dyDescent="0.2">
      <c r="A267" t="str">
        <f t="shared" si="12"/>
        <v>sample_miseq-16S-C-G02-L3_SICap-P12-G2-P1D14-TYG-C1R2-noBile-rep1-day14</v>
      </c>
      <c r="B267" s="1" t="s">
        <v>439</v>
      </c>
      <c r="C267" s="3" t="s">
        <v>1015</v>
      </c>
      <c r="D267" s="3" t="s">
        <v>1327</v>
      </c>
      <c r="E267" t="s">
        <v>20</v>
      </c>
      <c r="F267" t="s">
        <v>148</v>
      </c>
      <c r="G267" t="s">
        <v>118</v>
      </c>
      <c r="H267" t="str">
        <f t="shared" si="13"/>
        <v>02</v>
      </c>
      <c r="I267" t="str">
        <f t="shared" si="14"/>
        <v>G</v>
      </c>
      <c r="J267" t="s">
        <v>149</v>
      </c>
      <c r="K267" t="s">
        <v>117</v>
      </c>
      <c r="L267" t="s">
        <v>25</v>
      </c>
      <c r="M267" t="s">
        <v>31</v>
      </c>
      <c r="N267">
        <v>1</v>
      </c>
      <c r="O267">
        <v>14</v>
      </c>
      <c r="P267" t="s">
        <v>150</v>
      </c>
      <c r="Q267" t="s">
        <v>28</v>
      </c>
      <c r="R267" t="s">
        <v>28</v>
      </c>
      <c r="S267" t="s">
        <v>28</v>
      </c>
      <c r="T267" t="s">
        <v>28</v>
      </c>
      <c r="U267" t="s">
        <v>28</v>
      </c>
      <c r="V267" t="s">
        <v>28</v>
      </c>
      <c r="W267">
        <v>3</v>
      </c>
      <c r="X267" t="s">
        <v>147</v>
      </c>
    </row>
    <row r="268" spans="1:24" x14ac:dyDescent="0.2">
      <c r="A268" t="str">
        <f t="shared" si="12"/>
        <v>sample_miseq-16S-C-G03-L3_SICap-P12-G3-P1D14-TYG-C2R1-noBile-rep1-day14</v>
      </c>
      <c r="B268" s="1" t="s">
        <v>440</v>
      </c>
      <c r="C268" s="3" t="s">
        <v>1016</v>
      </c>
      <c r="D268" s="3" t="s">
        <v>1327</v>
      </c>
      <c r="E268" t="s">
        <v>20</v>
      </c>
      <c r="F268" t="s">
        <v>148</v>
      </c>
      <c r="G268" t="s">
        <v>119</v>
      </c>
      <c r="H268" t="str">
        <f t="shared" si="13"/>
        <v>03</v>
      </c>
      <c r="I268" t="str">
        <f t="shared" si="14"/>
        <v>G</v>
      </c>
      <c r="J268" t="s">
        <v>149</v>
      </c>
      <c r="K268" t="s">
        <v>117</v>
      </c>
      <c r="L268" t="s">
        <v>25</v>
      </c>
      <c r="M268" t="s">
        <v>33</v>
      </c>
      <c r="N268">
        <v>1</v>
      </c>
      <c r="O268">
        <v>14</v>
      </c>
      <c r="P268" t="s">
        <v>150</v>
      </c>
      <c r="Q268" t="s">
        <v>28</v>
      </c>
      <c r="R268" t="s">
        <v>28</v>
      </c>
      <c r="S268" t="s">
        <v>28</v>
      </c>
      <c r="T268" t="s">
        <v>28</v>
      </c>
      <c r="U268" t="s">
        <v>28</v>
      </c>
      <c r="V268" t="s">
        <v>28</v>
      </c>
      <c r="W268">
        <v>3</v>
      </c>
      <c r="X268" t="s">
        <v>147</v>
      </c>
    </row>
    <row r="269" spans="1:24" x14ac:dyDescent="0.2">
      <c r="A269" t="str">
        <f t="shared" si="12"/>
        <v>sample_miseq-16S-C-G04-L3_SICap-P12-G4-P1D14-TYG-C2R2-noBile-rep1-day14</v>
      </c>
      <c r="B269" s="1" t="s">
        <v>441</v>
      </c>
      <c r="C269" s="3" t="s">
        <v>1017</v>
      </c>
      <c r="D269" s="3" t="s">
        <v>1327</v>
      </c>
      <c r="E269" t="s">
        <v>20</v>
      </c>
      <c r="F269" t="s">
        <v>148</v>
      </c>
      <c r="G269" t="s">
        <v>120</v>
      </c>
      <c r="H269" t="str">
        <f t="shared" si="13"/>
        <v>04</v>
      </c>
      <c r="I269" t="str">
        <f t="shared" si="14"/>
        <v>G</v>
      </c>
      <c r="J269" t="s">
        <v>149</v>
      </c>
      <c r="K269" t="s">
        <v>117</v>
      </c>
      <c r="L269" t="s">
        <v>25</v>
      </c>
      <c r="M269" t="s">
        <v>35</v>
      </c>
      <c r="N269">
        <v>1</v>
      </c>
      <c r="O269">
        <v>14</v>
      </c>
      <c r="P269" t="s">
        <v>150</v>
      </c>
      <c r="Q269" t="s">
        <v>28</v>
      </c>
      <c r="R269" t="s">
        <v>28</v>
      </c>
      <c r="S269" t="s">
        <v>28</v>
      </c>
      <c r="T269" t="s">
        <v>28</v>
      </c>
      <c r="U269" t="s">
        <v>28</v>
      </c>
      <c r="V269" t="s">
        <v>28</v>
      </c>
      <c r="W269">
        <v>3</v>
      </c>
      <c r="X269" t="s">
        <v>147</v>
      </c>
    </row>
    <row r="270" spans="1:24" x14ac:dyDescent="0.2">
      <c r="A270" t="str">
        <f t="shared" si="12"/>
        <v>sample_miseq-16S-C-G05-L3_SICap-P12-G5-P1D14-TYG-C3R1-noBile-rep1-day14</v>
      </c>
      <c r="B270" s="1" t="s">
        <v>442</v>
      </c>
      <c r="C270" s="3" t="s">
        <v>1018</v>
      </c>
      <c r="D270" s="3" t="s">
        <v>1327</v>
      </c>
      <c r="E270" t="s">
        <v>20</v>
      </c>
      <c r="F270" t="s">
        <v>148</v>
      </c>
      <c r="G270" t="s">
        <v>121</v>
      </c>
      <c r="H270" t="str">
        <f t="shared" si="13"/>
        <v>05</v>
      </c>
      <c r="I270" t="str">
        <f t="shared" si="14"/>
        <v>G</v>
      </c>
      <c r="J270" t="s">
        <v>149</v>
      </c>
      <c r="K270" t="s">
        <v>117</v>
      </c>
      <c r="L270" t="s">
        <v>25</v>
      </c>
      <c r="M270" t="s">
        <v>37</v>
      </c>
      <c r="N270">
        <v>1</v>
      </c>
      <c r="O270">
        <v>14</v>
      </c>
      <c r="P270" t="s">
        <v>150</v>
      </c>
      <c r="Q270" t="s">
        <v>28</v>
      </c>
      <c r="R270" t="s">
        <v>28</v>
      </c>
      <c r="S270" t="s">
        <v>28</v>
      </c>
      <c r="T270" t="s">
        <v>28</v>
      </c>
      <c r="U270" t="s">
        <v>28</v>
      </c>
      <c r="V270" t="s">
        <v>28</v>
      </c>
      <c r="W270">
        <v>3</v>
      </c>
      <c r="X270" t="s">
        <v>147</v>
      </c>
    </row>
    <row r="271" spans="1:24" x14ac:dyDescent="0.2">
      <c r="A271" t="str">
        <f t="shared" si="12"/>
        <v>sample_miseq-16S-C-G06-L3_SICap-P12-G6-P1D14-TYG-C3R2-noBile-rep1-day14</v>
      </c>
      <c r="B271" s="1" t="s">
        <v>443</v>
      </c>
      <c r="C271" s="3" t="s">
        <v>1019</v>
      </c>
      <c r="D271" s="3" t="s">
        <v>1327</v>
      </c>
      <c r="E271" t="s">
        <v>20</v>
      </c>
      <c r="F271" t="s">
        <v>148</v>
      </c>
      <c r="G271" t="s">
        <v>122</v>
      </c>
      <c r="H271" t="str">
        <f t="shared" si="13"/>
        <v>06</v>
      </c>
      <c r="I271" t="str">
        <f t="shared" si="14"/>
        <v>G</v>
      </c>
      <c r="J271" t="s">
        <v>149</v>
      </c>
      <c r="K271" t="s">
        <v>117</v>
      </c>
      <c r="L271" t="s">
        <v>25</v>
      </c>
      <c r="M271" t="s">
        <v>39</v>
      </c>
      <c r="N271">
        <v>1</v>
      </c>
      <c r="O271">
        <v>14</v>
      </c>
      <c r="P271" t="s">
        <v>150</v>
      </c>
      <c r="Q271" t="s">
        <v>28</v>
      </c>
      <c r="R271" t="s">
        <v>28</v>
      </c>
      <c r="S271" t="s">
        <v>28</v>
      </c>
      <c r="T271" t="s">
        <v>28</v>
      </c>
      <c r="U271" t="s">
        <v>28</v>
      </c>
      <c r="V271" t="s">
        <v>28</v>
      </c>
      <c r="W271">
        <v>3</v>
      </c>
      <c r="X271" t="s">
        <v>147</v>
      </c>
    </row>
    <row r="272" spans="1:24" x14ac:dyDescent="0.2">
      <c r="A272" t="str">
        <f t="shared" si="12"/>
        <v>sample_miseq-16S-C-G07-L3_SICap-P12-G7-P1D14-TYG-C4R1-noBile-rep1-day14</v>
      </c>
      <c r="B272" s="1" t="s">
        <v>444</v>
      </c>
      <c r="C272" s="3" t="s">
        <v>1020</v>
      </c>
      <c r="D272" s="3" t="s">
        <v>1327</v>
      </c>
      <c r="E272" t="s">
        <v>20</v>
      </c>
      <c r="F272" t="s">
        <v>148</v>
      </c>
      <c r="G272" t="s">
        <v>123</v>
      </c>
      <c r="H272" t="str">
        <f t="shared" si="13"/>
        <v>07</v>
      </c>
      <c r="I272" t="str">
        <f t="shared" si="14"/>
        <v>G</v>
      </c>
      <c r="J272" t="s">
        <v>149</v>
      </c>
      <c r="K272" t="s">
        <v>117</v>
      </c>
      <c r="L272" t="s">
        <v>25</v>
      </c>
      <c r="M272" t="s">
        <v>41</v>
      </c>
      <c r="N272">
        <v>1</v>
      </c>
      <c r="O272">
        <v>14</v>
      </c>
      <c r="P272" t="s">
        <v>150</v>
      </c>
      <c r="Q272" t="s">
        <v>28</v>
      </c>
      <c r="R272" t="s">
        <v>28</v>
      </c>
      <c r="S272" t="s">
        <v>28</v>
      </c>
      <c r="T272" t="s">
        <v>28</v>
      </c>
      <c r="U272" t="s">
        <v>28</v>
      </c>
      <c r="V272" t="s">
        <v>28</v>
      </c>
      <c r="W272">
        <v>3</v>
      </c>
      <c r="X272" t="s">
        <v>147</v>
      </c>
    </row>
    <row r="273" spans="1:24" x14ac:dyDescent="0.2">
      <c r="A273" t="str">
        <f t="shared" si="12"/>
        <v>sample_miseq-16S-C-G08-L3_SICap-P12-G8-P1D14-TYG-C4R2-noBile-rep1-day14</v>
      </c>
      <c r="B273" s="1" t="s">
        <v>445</v>
      </c>
      <c r="C273" s="3" t="s">
        <v>1021</v>
      </c>
      <c r="D273" s="3" t="s">
        <v>1327</v>
      </c>
      <c r="E273" t="s">
        <v>20</v>
      </c>
      <c r="F273" t="s">
        <v>148</v>
      </c>
      <c r="G273" t="s">
        <v>124</v>
      </c>
      <c r="H273" t="str">
        <f t="shared" si="13"/>
        <v>08</v>
      </c>
      <c r="I273" t="str">
        <f t="shared" si="14"/>
        <v>G</v>
      </c>
      <c r="J273" t="s">
        <v>149</v>
      </c>
      <c r="K273" t="s">
        <v>117</v>
      </c>
      <c r="L273" t="s">
        <v>25</v>
      </c>
      <c r="M273" t="s">
        <v>43</v>
      </c>
      <c r="N273">
        <v>1</v>
      </c>
      <c r="O273">
        <v>14</v>
      </c>
      <c r="P273" t="s">
        <v>150</v>
      </c>
      <c r="Q273" t="s">
        <v>28</v>
      </c>
      <c r="R273" t="s">
        <v>28</v>
      </c>
      <c r="S273" t="s">
        <v>28</v>
      </c>
      <c r="T273" t="s">
        <v>28</v>
      </c>
      <c r="U273" t="s">
        <v>28</v>
      </c>
      <c r="V273" t="s">
        <v>28</v>
      </c>
      <c r="W273">
        <v>3</v>
      </c>
      <c r="X273" t="s">
        <v>147</v>
      </c>
    </row>
    <row r="274" spans="1:24" x14ac:dyDescent="0.2">
      <c r="A274" t="str">
        <f t="shared" si="12"/>
        <v>sample_miseq-16S-C-G09-L3_SICap-P12-G9-P1D14-TYG-S1R2-noBile-rep1-day14</v>
      </c>
      <c r="B274" s="1" t="s">
        <v>446</v>
      </c>
      <c r="C274" s="3" t="s">
        <v>1022</v>
      </c>
      <c r="D274" s="3" t="s">
        <v>1327</v>
      </c>
      <c r="E274" t="s">
        <v>20</v>
      </c>
      <c r="F274" t="s">
        <v>148</v>
      </c>
      <c r="G274" t="s">
        <v>125</v>
      </c>
      <c r="H274" t="str">
        <f t="shared" si="13"/>
        <v>09</v>
      </c>
      <c r="I274" t="str">
        <f t="shared" si="14"/>
        <v>G</v>
      </c>
      <c r="J274" t="s">
        <v>149</v>
      </c>
      <c r="K274" t="s">
        <v>117</v>
      </c>
      <c r="L274" t="s">
        <v>25</v>
      </c>
      <c r="M274" t="s">
        <v>45</v>
      </c>
      <c r="N274">
        <v>1</v>
      </c>
      <c r="O274">
        <v>14</v>
      </c>
      <c r="P274" t="s">
        <v>150</v>
      </c>
      <c r="Q274" t="s">
        <v>28</v>
      </c>
      <c r="R274" t="s">
        <v>28</v>
      </c>
      <c r="S274" t="s">
        <v>28</v>
      </c>
      <c r="T274" t="s">
        <v>28</v>
      </c>
      <c r="U274" t="s">
        <v>28</v>
      </c>
      <c r="V274" t="s">
        <v>28</v>
      </c>
      <c r="W274">
        <v>3</v>
      </c>
      <c r="X274" t="s">
        <v>147</v>
      </c>
    </row>
    <row r="275" spans="1:24" x14ac:dyDescent="0.2">
      <c r="A275" t="str">
        <f t="shared" si="12"/>
        <v>sample_miseq-16S-C-G10-L3_SICap-P12-G10-P1D14-TYG-StoolPool-noBile-rep1-day14</v>
      </c>
      <c r="B275" s="1" t="s">
        <v>447</v>
      </c>
      <c r="C275" s="3" t="s">
        <v>1023</v>
      </c>
      <c r="D275" s="3" t="s">
        <v>1327</v>
      </c>
      <c r="E275" t="s">
        <v>20</v>
      </c>
      <c r="F275" t="s">
        <v>148</v>
      </c>
      <c r="G275" t="s">
        <v>126</v>
      </c>
      <c r="H275" t="str">
        <f t="shared" si="13"/>
        <v>10</v>
      </c>
      <c r="I275" t="str">
        <f t="shared" si="14"/>
        <v>G</v>
      </c>
      <c r="J275" t="s">
        <v>149</v>
      </c>
      <c r="K275" t="s">
        <v>117</v>
      </c>
      <c r="L275" t="s">
        <v>25</v>
      </c>
      <c r="M275" t="s">
        <v>47</v>
      </c>
      <c r="N275">
        <v>1</v>
      </c>
      <c r="O275">
        <v>14</v>
      </c>
      <c r="P275" t="s">
        <v>150</v>
      </c>
      <c r="Q275" t="s">
        <v>28</v>
      </c>
      <c r="R275" t="s">
        <v>28</v>
      </c>
      <c r="S275" t="s">
        <v>28</v>
      </c>
      <c r="T275" t="s">
        <v>28</v>
      </c>
      <c r="U275" t="s">
        <v>28</v>
      </c>
      <c r="V275" t="s">
        <v>28</v>
      </c>
      <c r="W275">
        <v>3</v>
      </c>
      <c r="X275" t="s">
        <v>147</v>
      </c>
    </row>
    <row r="276" spans="1:24" x14ac:dyDescent="0.2">
      <c r="A276" t="str">
        <f t="shared" si="12"/>
        <v>sample_miseq-16S-C-G11-L3_SICap-P12-G11-P1D14-TYG-SIPool-noBile-rep1-day14</v>
      </c>
      <c r="B276" s="1" t="s">
        <v>448</v>
      </c>
      <c r="C276" s="3" t="s">
        <v>1024</v>
      </c>
      <c r="D276" s="3" t="s">
        <v>1327</v>
      </c>
      <c r="E276" t="s">
        <v>20</v>
      </c>
      <c r="F276" t="s">
        <v>148</v>
      </c>
      <c r="G276" t="s">
        <v>127</v>
      </c>
      <c r="H276" t="str">
        <f t="shared" si="13"/>
        <v>11</v>
      </c>
      <c r="I276" t="str">
        <f t="shared" si="14"/>
        <v>G</v>
      </c>
      <c r="J276" t="s">
        <v>149</v>
      </c>
      <c r="K276" t="s">
        <v>117</v>
      </c>
      <c r="L276" t="s">
        <v>25</v>
      </c>
      <c r="M276" t="s">
        <v>49</v>
      </c>
      <c r="N276">
        <v>1</v>
      </c>
      <c r="O276">
        <v>14</v>
      </c>
      <c r="P276" t="s">
        <v>150</v>
      </c>
      <c r="Q276" t="s">
        <v>28</v>
      </c>
      <c r="R276" t="s">
        <v>28</v>
      </c>
      <c r="S276" t="s">
        <v>28</v>
      </c>
      <c r="T276" t="s">
        <v>28</v>
      </c>
      <c r="U276" t="s">
        <v>28</v>
      </c>
      <c r="V276" t="s">
        <v>28</v>
      </c>
      <c r="W276">
        <v>3</v>
      </c>
      <c r="X276" t="s">
        <v>147</v>
      </c>
    </row>
    <row r="277" spans="1:24" x14ac:dyDescent="0.2">
      <c r="A277" t="str">
        <f t="shared" si="12"/>
        <v>sample_miseq-16S-C-G12-L3_SICap-P12-G12-P1D14-TYG-Media-noBile-rep1-day14</v>
      </c>
      <c r="B277" s="1" t="s">
        <v>449</v>
      </c>
      <c r="C277" s="3" t="s">
        <v>1025</v>
      </c>
      <c r="D277" s="3" t="s">
        <v>1327</v>
      </c>
      <c r="E277" t="s">
        <v>20</v>
      </c>
      <c r="F277" t="s">
        <v>148</v>
      </c>
      <c r="G277" t="s">
        <v>128</v>
      </c>
      <c r="H277" t="str">
        <f t="shared" si="13"/>
        <v>12</v>
      </c>
      <c r="I277" t="str">
        <f t="shared" si="14"/>
        <v>G</v>
      </c>
      <c r="J277" t="s">
        <v>149</v>
      </c>
      <c r="K277" t="s">
        <v>117</v>
      </c>
      <c r="L277" t="s">
        <v>25</v>
      </c>
      <c r="M277" t="s">
        <v>6</v>
      </c>
      <c r="N277">
        <v>1</v>
      </c>
      <c r="O277">
        <v>14</v>
      </c>
      <c r="P277" t="s">
        <v>150</v>
      </c>
      <c r="Q277" t="s">
        <v>28</v>
      </c>
      <c r="R277" t="s">
        <v>28</v>
      </c>
      <c r="S277" t="s">
        <v>28</v>
      </c>
      <c r="T277" t="s">
        <v>28</v>
      </c>
      <c r="U277" t="s">
        <v>28</v>
      </c>
      <c r="V277" t="s">
        <v>28</v>
      </c>
      <c r="W277">
        <v>3</v>
      </c>
      <c r="X277" t="s">
        <v>147</v>
      </c>
    </row>
    <row r="278" spans="1:24" x14ac:dyDescent="0.2">
      <c r="A278" t="str">
        <f t="shared" si="12"/>
        <v>sample_miseq-16S-C-H01-L3_SICap-P12-H1-P1D14-RCM-C1R1-noBile-rep1-day14</v>
      </c>
      <c r="B278" s="1" t="s">
        <v>450</v>
      </c>
      <c r="C278" s="3" t="s">
        <v>1026</v>
      </c>
      <c r="D278" s="3" t="s">
        <v>1327</v>
      </c>
      <c r="E278" t="s">
        <v>20</v>
      </c>
      <c r="F278" t="s">
        <v>148</v>
      </c>
      <c r="G278" t="s">
        <v>129</v>
      </c>
      <c r="H278" t="str">
        <f t="shared" si="13"/>
        <v>01</v>
      </c>
      <c r="I278" t="str">
        <f t="shared" si="14"/>
        <v>H</v>
      </c>
      <c r="J278" t="s">
        <v>149</v>
      </c>
      <c r="K278" t="s">
        <v>130</v>
      </c>
      <c r="L278" t="s">
        <v>25</v>
      </c>
      <c r="M278" t="s">
        <v>26</v>
      </c>
      <c r="N278">
        <v>1</v>
      </c>
      <c r="O278">
        <v>14</v>
      </c>
      <c r="P278" t="s">
        <v>150</v>
      </c>
      <c r="Q278" t="s">
        <v>28</v>
      </c>
      <c r="R278" t="s">
        <v>28</v>
      </c>
      <c r="S278" t="s">
        <v>28</v>
      </c>
      <c r="T278" t="s">
        <v>28</v>
      </c>
      <c r="U278" t="s">
        <v>28</v>
      </c>
      <c r="V278" t="s">
        <v>28</v>
      </c>
      <c r="W278">
        <v>3</v>
      </c>
      <c r="X278" t="s">
        <v>147</v>
      </c>
    </row>
    <row r="279" spans="1:24" x14ac:dyDescent="0.2">
      <c r="A279" t="str">
        <f t="shared" si="12"/>
        <v>sample_miseq-16S-C-H02-L3_SICap-P12-H2-P1D14-RCM-C1R2-noBile-rep1-day14</v>
      </c>
      <c r="B279" s="1" t="s">
        <v>451</v>
      </c>
      <c r="C279" s="3" t="s">
        <v>1027</v>
      </c>
      <c r="D279" s="3" t="s">
        <v>1327</v>
      </c>
      <c r="E279" t="s">
        <v>20</v>
      </c>
      <c r="F279" t="s">
        <v>148</v>
      </c>
      <c r="G279" t="s">
        <v>131</v>
      </c>
      <c r="H279" t="str">
        <f t="shared" si="13"/>
        <v>02</v>
      </c>
      <c r="I279" t="str">
        <f t="shared" si="14"/>
        <v>H</v>
      </c>
      <c r="J279" t="s">
        <v>149</v>
      </c>
      <c r="K279" t="s">
        <v>130</v>
      </c>
      <c r="L279" t="s">
        <v>25</v>
      </c>
      <c r="M279" t="s">
        <v>31</v>
      </c>
      <c r="N279">
        <v>1</v>
      </c>
      <c r="O279">
        <v>14</v>
      </c>
      <c r="P279" t="s">
        <v>150</v>
      </c>
      <c r="Q279" t="s">
        <v>28</v>
      </c>
      <c r="R279" t="s">
        <v>28</v>
      </c>
      <c r="S279" t="s">
        <v>28</v>
      </c>
      <c r="T279" t="s">
        <v>28</v>
      </c>
      <c r="U279" t="s">
        <v>28</v>
      </c>
      <c r="V279" t="s">
        <v>28</v>
      </c>
      <c r="W279">
        <v>3</v>
      </c>
      <c r="X279" t="s">
        <v>147</v>
      </c>
    </row>
    <row r="280" spans="1:24" x14ac:dyDescent="0.2">
      <c r="A280" t="str">
        <f t="shared" si="12"/>
        <v>sample_miseq-16S-C-H03-L3_SICap-P12-H3-P1D14-RCM-C2R1-noBile-rep1-day14</v>
      </c>
      <c r="B280" s="1" t="s">
        <v>452</v>
      </c>
      <c r="C280" s="3" t="s">
        <v>1028</v>
      </c>
      <c r="D280" s="3" t="s">
        <v>1327</v>
      </c>
      <c r="E280" t="s">
        <v>20</v>
      </c>
      <c r="F280" t="s">
        <v>148</v>
      </c>
      <c r="G280" t="s">
        <v>132</v>
      </c>
      <c r="H280" t="str">
        <f t="shared" si="13"/>
        <v>03</v>
      </c>
      <c r="I280" t="str">
        <f t="shared" si="14"/>
        <v>H</v>
      </c>
      <c r="J280" t="s">
        <v>149</v>
      </c>
      <c r="K280" t="s">
        <v>130</v>
      </c>
      <c r="L280" t="s">
        <v>25</v>
      </c>
      <c r="M280" t="s">
        <v>33</v>
      </c>
      <c r="N280">
        <v>1</v>
      </c>
      <c r="O280">
        <v>14</v>
      </c>
      <c r="P280" t="s">
        <v>150</v>
      </c>
      <c r="Q280" t="s">
        <v>28</v>
      </c>
      <c r="R280" t="s">
        <v>28</v>
      </c>
      <c r="S280" t="s">
        <v>28</v>
      </c>
      <c r="T280" t="s">
        <v>28</v>
      </c>
      <c r="U280" t="s">
        <v>28</v>
      </c>
      <c r="V280" t="s">
        <v>28</v>
      </c>
      <c r="W280">
        <v>3</v>
      </c>
      <c r="X280" t="s">
        <v>147</v>
      </c>
    </row>
    <row r="281" spans="1:24" x14ac:dyDescent="0.2">
      <c r="A281" t="str">
        <f t="shared" si="12"/>
        <v>sample_miseq-16S-C-H04-L3_SICap-P12-H4-P1D14-RCM-C2R2-noBile-rep1-day14</v>
      </c>
      <c r="B281" s="1" t="s">
        <v>453</v>
      </c>
      <c r="C281" s="3" t="s">
        <v>1029</v>
      </c>
      <c r="D281" s="3" t="s">
        <v>1327</v>
      </c>
      <c r="E281" t="s">
        <v>20</v>
      </c>
      <c r="F281" t="s">
        <v>148</v>
      </c>
      <c r="G281" t="s">
        <v>133</v>
      </c>
      <c r="H281" t="str">
        <f t="shared" si="13"/>
        <v>04</v>
      </c>
      <c r="I281" t="str">
        <f t="shared" si="14"/>
        <v>H</v>
      </c>
      <c r="J281" t="s">
        <v>149</v>
      </c>
      <c r="K281" t="s">
        <v>130</v>
      </c>
      <c r="L281" t="s">
        <v>25</v>
      </c>
      <c r="M281" t="s">
        <v>35</v>
      </c>
      <c r="N281">
        <v>1</v>
      </c>
      <c r="O281">
        <v>14</v>
      </c>
      <c r="P281" t="s">
        <v>150</v>
      </c>
      <c r="Q281" t="s">
        <v>28</v>
      </c>
      <c r="R281" t="s">
        <v>28</v>
      </c>
      <c r="S281" t="s">
        <v>28</v>
      </c>
      <c r="T281" t="s">
        <v>28</v>
      </c>
      <c r="U281" t="s">
        <v>28</v>
      </c>
      <c r="V281" t="s">
        <v>28</v>
      </c>
      <c r="W281">
        <v>3</v>
      </c>
      <c r="X281" t="s">
        <v>147</v>
      </c>
    </row>
    <row r="282" spans="1:24" x14ac:dyDescent="0.2">
      <c r="A282" t="str">
        <f t="shared" si="12"/>
        <v>sample_miseq-16S-C-H05-L3_SICap-P12-H5-P1D14-RCM-C3R1-noBile-rep1-day14</v>
      </c>
      <c r="B282" s="1" t="s">
        <v>454</v>
      </c>
      <c r="C282" s="3" t="s">
        <v>1030</v>
      </c>
      <c r="D282" s="3" t="s">
        <v>1327</v>
      </c>
      <c r="E282" t="s">
        <v>20</v>
      </c>
      <c r="F282" t="s">
        <v>148</v>
      </c>
      <c r="G282" t="s">
        <v>134</v>
      </c>
      <c r="H282" t="str">
        <f t="shared" si="13"/>
        <v>05</v>
      </c>
      <c r="I282" t="str">
        <f t="shared" si="14"/>
        <v>H</v>
      </c>
      <c r="J282" t="s">
        <v>149</v>
      </c>
      <c r="K282" t="s">
        <v>130</v>
      </c>
      <c r="L282" t="s">
        <v>25</v>
      </c>
      <c r="M282" t="s">
        <v>37</v>
      </c>
      <c r="N282">
        <v>1</v>
      </c>
      <c r="O282">
        <v>14</v>
      </c>
      <c r="P282" t="s">
        <v>150</v>
      </c>
      <c r="Q282" t="s">
        <v>28</v>
      </c>
      <c r="R282" t="s">
        <v>28</v>
      </c>
      <c r="S282" t="s">
        <v>28</v>
      </c>
      <c r="T282" t="s">
        <v>28</v>
      </c>
      <c r="U282" t="s">
        <v>28</v>
      </c>
      <c r="V282" t="s">
        <v>28</v>
      </c>
      <c r="W282">
        <v>3</v>
      </c>
      <c r="X282" t="s">
        <v>147</v>
      </c>
    </row>
    <row r="283" spans="1:24" x14ac:dyDescent="0.2">
      <c r="A283" t="str">
        <f t="shared" si="12"/>
        <v>sample_miseq-16S-C-H06-L3_SICap-P12-H6-P1D14-RCM-C3R2-noBile-rep1-day14</v>
      </c>
      <c r="B283" s="1" t="s">
        <v>455</v>
      </c>
      <c r="C283" s="3" t="s">
        <v>1031</v>
      </c>
      <c r="D283" s="3" t="s">
        <v>1327</v>
      </c>
      <c r="E283" t="s">
        <v>20</v>
      </c>
      <c r="F283" t="s">
        <v>148</v>
      </c>
      <c r="G283" t="s">
        <v>135</v>
      </c>
      <c r="H283" t="str">
        <f t="shared" si="13"/>
        <v>06</v>
      </c>
      <c r="I283" t="str">
        <f t="shared" si="14"/>
        <v>H</v>
      </c>
      <c r="J283" t="s">
        <v>149</v>
      </c>
      <c r="K283" t="s">
        <v>130</v>
      </c>
      <c r="L283" t="s">
        <v>25</v>
      </c>
      <c r="M283" t="s">
        <v>39</v>
      </c>
      <c r="N283">
        <v>1</v>
      </c>
      <c r="O283">
        <v>14</v>
      </c>
      <c r="P283" t="s">
        <v>150</v>
      </c>
      <c r="Q283" t="s">
        <v>28</v>
      </c>
      <c r="R283" t="s">
        <v>28</v>
      </c>
      <c r="S283" t="s">
        <v>28</v>
      </c>
      <c r="T283" t="s">
        <v>28</v>
      </c>
      <c r="U283" t="s">
        <v>28</v>
      </c>
      <c r="V283" t="s">
        <v>28</v>
      </c>
      <c r="W283">
        <v>3</v>
      </c>
      <c r="X283" t="s">
        <v>147</v>
      </c>
    </row>
    <row r="284" spans="1:24" x14ac:dyDescent="0.2">
      <c r="A284" t="str">
        <f t="shared" si="12"/>
        <v>sample_miseq-16S-C-H07-L3_SICap-P12-H7-P1D14-RCM-C4R1-noBile-rep1-day14</v>
      </c>
      <c r="B284" s="1" t="s">
        <v>456</v>
      </c>
      <c r="C284" s="3" t="s">
        <v>1032</v>
      </c>
      <c r="D284" s="3" t="s">
        <v>1327</v>
      </c>
      <c r="E284" t="s">
        <v>20</v>
      </c>
      <c r="F284" t="s">
        <v>148</v>
      </c>
      <c r="G284" t="s">
        <v>136</v>
      </c>
      <c r="H284" t="str">
        <f t="shared" si="13"/>
        <v>07</v>
      </c>
      <c r="I284" t="str">
        <f t="shared" si="14"/>
        <v>H</v>
      </c>
      <c r="J284" t="s">
        <v>149</v>
      </c>
      <c r="K284" t="s">
        <v>130</v>
      </c>
      <c r="L284" t="s">
        <v>25</v>
      </c>
      <c r="M284" t="s">
        <v>41</v>
      </c>
      <c r="N284">
        <v>1</v>
      </c>
      <c r="O284">
        <v>14</v>
      </c>
      <c r="P284" t="s">
        <v>150</v>
      </c>
      <c r="Q284" t="s">
        <v>28</v>
      </c>
      <c r="R284" t="s">
        <v>28</v>
      </c>
      <c r="S284" t="s">
        <v>28</v>
      </c>
      <c r="T284" t="s">
        <v>28</v>
      </c>
      <c r="U284" t="s">
        <v>28</v>
      </c>
      <c r="V284" t="s">
        <v>28</v>
      </c>
      <c r="W284">
        <v>3</v>
      </c>
      <c r="X284" t="s">
        <v>147</v>
      </c>
    </row>
    <row r="285" spans="1:24" x14ac:dyDescent="0.2">
      <c r="A285" t="str">
        <f t="shared" si="12"/>
        <v>sample_miseq-16S-C-H08-L3_SICap-P12-H8-P1D14-RCM-C4R2-noBile-rep1-day14</v>
      </c>
      <c r="B285" s="1" t="s">
        <v>457</v>
      </c>
      <c r="C285" s="3" t="s">
        <v>1033</v>
      </c>
      <c r="D285" s="3" t="s">
        <v>1327</v>
      </c>
      <c r="E285" t="s">
        <v>20</v>
      </c>
      <c r="F285" t="s">
        <v>148</v>
      </c>
      <c r="G285" t="s">
        <v>137</v>
      </c>
      <c r="H285" t="str">
        <f t="shared" si="13"/>
        <v>08</v>
      </c>
      <c r="I285" t="str">
        <f t="shared" si="14"/>
        <v>H</v>
      </c>
      <c r="J285" t="s">
        <v>149</v>
      </c>
      <c r="K285" t="s">
        <v>130</v>
      </c>
      <c r="L285" t="s">
        <v>25</v>
      </c>
      <c r="M285" t="s">
        <v>43</v>
      </c>
      <c r="N285">
        <v>1</v>
      </c>
      <c r="O285">
        <v>14</v>
      </c>
      <c r="P285" t="s">
        <v>150</v>
      </c>
      <c r="Q285" t="s">
        <v>28</v>
      </c>
      <c r="R285" t="s">
        <v>28</v>
      </c>
      <c r="S285" t="s">
        <v>28</v>
      </c>
      <c r="T285" t="s">
        <v>28</v>
      </c>
      <c r="U285" t="s">
        <v>28</v>
      </c>
      <c r="V285" t="s">
        <v>28</v>
      </c>
      <c r="W285">
        <v>3</v>
      </c>
      <c r="X285" t="s">
        <v>147</v>
      </c>
    </row>
    <row r="286" spans="1:24" x14ac:dyDescent="0.2">
      <c r="A286" t="str">
        <f t="shared" si="12"/>
        <v>sample_miseq-16S-C-H09-L3_SICap-P12-H9-P1D14-RCM-S1R2-noBile-rep1-day14</v>
      </c>
      <c r="B286" s="1" t="s">
        <v>458</v>
      </c>
      <c r="C286" s="3" t="s">
        <v>1034</v>
      </c>
      <c r="D286" s="3" t="s">
        <v>1327</v>
      </c>
      <c r="E286" t="s">
        <v>20</v>
      </c>
      <c r="F286" t="s">
        <v>148</v>
      </c>
      <c r="G286" t="s">
        <v>138</v>
      </c>
      <c r="H286" t="str">
        <f t="shared" si="13"/>
        <v>09</v>
      </c>
      <c r="I286" t="str">
        <f t="shared" si="14"/>
        <v>H</v>
      </c>
      <c r="J286" t="s">
        <v>149</v>
      </c>
      <c r="K286" t="s">
        <v>130</v>
      </c>
      <c r="L286" t="s">
        <v>25</v>
      </c>
      <c r="M286" t="s">
        <v>45</v>
      </c>
      <c r="N286">
        <v>1</v>
      </c>
      <c r="O286">
        <v>14</v>
      </c>
      <c r="P286" t="s">
        <v>150</v>
      </c>
      <c r="Q286" t="s">
        <v>28</v>
      </c>
      <c r="R286" t="s">
        <v>28</v>
      </c>
      <c r="S286" t="s">
        <v>28</v>
      </c>
      <c r="T286" t="s">
        <v>28</v>
      </c>
      <c r="U286" t="s">
        <v>28</v>
      </c>
      <c r="V286" t="s">
        <v>28</v>
      </c>
      <c r="W286">
        <v>3</v>
      </c>
      <c r="X286" t="s">
        <v>147</v>
      </c>
    </row>
    <row r="287" spans="1:24" x14ac:dyDescent="0.2">
      <c r="A287" t="str">
        <f t="shared" si="12"/>
        <v>sample_miseq-16S-C-H10-L3_SICap-P12-H10-P1D14-RCM-StoolPool-noBile-rep1-day14</v>
      </c>
      <c r="B287" s="1" t="s">
        <v>459</v>
      </c>
      <c r="C287" s="3" t="s">
        <v>1035</v>
      </c>
      <c r="D287" s="3" t="s">
        <v>1327</v>
      </c>
      <c r="E287" t="s">
        <v>20</v>
      </c>
      <c r="F287" t="s">
        <v>148</v>
      </c>
      <c r="G287" t="s">
        <v>139</v>
      </c>
      <c r="H287" t="str">
        <f t="shared" si="13"/>
        <v>10</v>
      </c>
      <c r="I287" t="str">
        <f t="shared" si="14"/>
        <v>H</v>
      </c>
      <c r="J287" t="s">
        <v>149</v>
      </c>
      <c r="K287" t="s">
        <v>130</v>
      </c>
      <c r="L287" t="s">
        <v>25</v>
      </c>
      <c r="M287" t="s">
        <v>47</v>
      </c>
      <c r="N287">
        <v>1</v>
      </c>
      <c r="O287">
        <v>14</v>
      </c>
      <c r="P287" t="s">
        <v>150</v>
      </c>
      <c r="Q287" t="s">
        <v>28</v>
      </c>
      <c r="R287" t="s">
        <v>28</v>
      </c>
      <c r="S287" t="s">
        <v>28</v>
      </c>
      <c r="T287" t="s">
        <v>28</v>
      </c>
      <c r="U287" t="s">
        <v>28</v>
      </c>
      <c r="V287" t="s">
        <v>28</v>
      </c>
      <c r="W287">
        <v>3</v>
      </c>
      <c r="X287" t="s">
        <v>147</v>
      </c>
    </row>
    <row r="288" spans="1:24" x14ac:dyDescent="0.2">
      <c r="A288" t="str">
        <f t="shared" si="12"/>
        <v>sample_miseq-16S-C-H11-L3_SICap-P12-H11-P1D14-RCM-SIPool-noBile-rep1-day14</v>
      </c>
      <c r="B288" s="1" t="s">
        <v>460</v>
      </c>
      <c r="C288" s="3" t="s">
        <v>1036</v>
      </c>
      <c r="D288" s="3" t="s">
        <v>1327</v>
      </c>
      <c r="E288" t="s">
        <v>20</v>
      </c>
      <c r="F288" t="s">
        <v>148</v>
      </c>
      <c r="G288" t="s">
        <v>140</v>
      </c>
      <c r="H288" t="str">
        <f t="shared" si="13"/>
        <v>11</v>
      </c>
      <c r="I288" t="str">
        <f t="shared" si="14"/>
        <v>H</v>
      </c>
      <c r="J288" t="s">
        <v>149</v>
      </c>
      <c r="K288" t="s">
        <v>130</v>
      </c>
      <c r="L288" t="s">
        <v>25</v>
      </c>
      <c r="M288" t="s">
        <v>49</v>
      </c>
      <c r="N288">
        <v>1</v>
      </c>
      <c r="O288">
        <v>14</v>
      </c>
      <c r="P288" t="s">
        <v>150</v>
      </c>
      <c r="Q288" t="s">
        <v>28</v>
      </c>
      <c r="R288" t="s">
        <v>28</v>
      </c>
      <c r="S288" t="s">
        <v>28</v>
      </c>
      <c r="T288" t="s">
        <v>28</v>
      </c>
      <c r="U288" t="s">
        <v>28</v>
      </c>
      <c r="V288" t="s">
        <v>28</v>
      </c>
      <c r="W288">
        <v>3</v>
      </c>
      <c r="X288" t="s">
        <v>147</v>
      </c>
    </row>
    <row r="289" spans="1:24" x14ac:dyDescent="0.2">
      <c r="A289" t="str">
        <f t="shared" si="12"/>
        <v>sample_miseq-16S-C-H12-L3_SICap-P12-H12-P1D14-RCM-Media-noBile-rep1-day14</v>
      </c>
      <c r="B289" s="1" t="s">
        <v>461</v>
      </c>
      <c r="C289" s="3" t="s">
        <v>1037</v>
      </c>
      <c r="D289" s="3" t="s">
        <v>1327</v>
      </c>
      <c r="E289" t="s">
        <v>20</v>
      </c>
      <c r="F289" t="s">
        <v>148</v>
      </c>
      <c r="G289" t="s">
        <v>141</v>
      </c>
      <c r="H289" t="str">
        <f t="shared" si="13"/>
        <v>12</v>
      </c>
      <c r="I289" t="str">
        <f t="shared" si="14"/>
        <v>H</v>
      </c>
      <c r="J289" t="s">
        <v>149</v>
      </c>
      <c r="K289" t="s">
        <v>130</v>
      </c>
      <c r="L289" t="s">
        <v>25</v>
      </c>
      <c r="M289" t="s">
        <v>6</v>
      </c>
      <c r="N289">
        <v>1</v>
      </c>
      <c r="O289">
        <v>14</v>
      </c>
      <c r="P289" t="s">
        <v>150</v>
      </c>
      <c r="Q289" t="s">
        <v>28</v>
      </c>
      <c r="R289" t="s">
        <v>28</v>
      </c>
      <c r="S289" t="s">
        <v>28</v>
      </c>
      <c r="T289" t="s">
        <v>28</v>
      </c>
      <c r="U289" t="s">
        <v>28</v>
      </c>
      <c r="V289" t="s">
        <v>28</v>
      </c>
      <c r="W289">
        <v>3</v>
      </c>
      <c r="X289" t="s">
        <v>147</v>
      </c>
    </row>
    <row r="290" spans="1:24" x14ac:dyDescent="0.2">
      <c r="A290" t="str">
        <f t="shared" si="12"/>
        <v>sample_miseq-16S-D-A01-L6_SICap-P15-A1-P4D14-M9-C1R1-yesBile-rep1-day14</v>
      </c>
      <c r="B290" s="1" t="s">
        <v>462</v>
      </c>
      <c r="C290" s="3" t="s">
        <v>1038</v>
      </c>
      <c r="D290" s="3" t="s">
        <v>1327</v>
      </c>
      <c r="E290" t="s">
        <v>20</v>
      </c>
      <c r="F290" t="s">
        <v>152</v>
      </c>
      <c r="G290" t="s">
        <v>22</v>
      </c>
      <c r="H290" t="str">
        <f t="shared" si="13"/>
        <v>01</v>
      </c>
      <c r="I290" t="str">
        <f t="shared" si="14"/>
        <v>A</v>
      </c>
      <c r="J290" t="s">
        <v>153</v>
      </c>
      <c r="K290" t="s">
        <v>24</v>
      </c>
      <c r="L290" t="s">
        <v>142</v>
      </c>
      <c r="M290" t="s">
        <v>26</v>
      </c>
      <c r="N290">
        <v>1</v>
      </c>
      <c r="O290">
        <v>14</v>
      </c>
      <c r="P290" t="s">
        <v>154</v>
      </c>
      <c r="Q290" t="s">
        <v>28</v>
      </c>
      <c r="R290" t="s">
        <v>28</v>
      </c>
      <c r="S290" t="s">
        <v>28</v>
      </c>
      <c r="T290" t="s">
        <v>28</v>
      </c>
      <c r="U290" t="s">
        <v>28</v>
      </c>
      <c r="V290" t="s">
        <v>28</v>
      </c>
      <c r="W290">
        <v>6</v>
      </c>
      <c r="X290" t="s">
        <v>151</v>
      </c>
    </row>
    <row r="291" spans="1:24" x14ac:dyDescent="0.2">
      <c r="A291" t="str">
        <f t="shared" si="12"/>
        <v>sample_miseq-16S-D-A02-L6_SICap-P15-A2-P4D14-M9-C1R2-yesBile-rep1-day14</v>
      </c>
      <c r="B291" s="1" t="s">
        <v>463</v>
      </c>
      <c r="C291" s="3" t="s">
        <v>1039</v>
      </c>
      <c r="D291" s="3" t="s">
        <v>1327</v>
      </c>
      <c r="E291" t="s">
        <v>20</v>
      </c>
      <c r="F291" t="s">
        <v>152</v>
      </c>
      <c r="G291" t="s">
        <v>30</v>
      </c>
      <c r="H291" t="str">
        <f t="shared" si="13"/>
        <v>02</v>
      </c>
      <c r="I291" t="str">
        <f t="shared" si="14"/>
        <v>A</v>
      </c>
      <c r="J291" t="s">
        <v>153</v>
      </c>
      <c r="K291" t="s">
        <v>24</v>
      </c>
      <c r="L291" t="s">
        <v>142</v>
      </c>
      <c r="M291" t="s">
        <v>31</v>
      </c>
      <c r="N291">
        <v>1</v>
      </c>
      <c r="O291">
        <v>14</v>
      </c>
      <c r="P291" t="s">
        <v>154</v>
      </c>
      <c r="Q291" t="s">
        <v>28</v>
      </c>
      <c r="R291" t="s">
        <v>28</v>
      </c>
      <c r="S291" t="s">
        <v>28</v>
      </c>
      <c r="T291" t="s">
        <v>28</v>
      </c>
      <c r="U291" t="s">
        <v>28</v>
      </c>
      <c r="V291" t="s">
        <v>28</v>
      </c>
      <c r="W291">
        <v>6</v>
      </c>
      <c r="X291" t="s">
        <v>151</v>
      </c>
    </row>
    <row r="292" spans="1:24" x14ac:dyDescent="0.2">
      <c r="A292" t="str">
        <f t="shared" si="12"/>
        <v>sample_miseq-16S-D-A03-L6_SICap-P15-A3-P4D14-M9-C2R1-yesBile-rep1-day14</v>
      </c>
      <c r="B292" s="1" t="s">
        <v>464</v>
      </c>
      <c r="C292" s="3" t="s">
        <v>1040</v>
      </c>
      <c r="D292" s="3" t="s">
        <v>1327</v>
      </c>
      <c r="E292" t="s">
        <v>20</v>
      </c>
      <c r="F292" t="s">
        <v>152</v>
      </c>
      <c r="G292" t="s">
        <v>32</v>
      </c>
      <c r="H292" t="str">
        <f t="shared" si="13"/>
        <v>03</v>
      </c>
      <c r="I292" t="str">
        <f t="shared" si="14"/>
        <v>A</v>
      </c>
      <c r="J292" t="s">
        <v>153</v>
      </c>
      <c r="K292" t="s">
        <v>24</v>
      </c>
      <c r="L292" t="s">
        <v>142</v>
      </c>
      <c r="M292" t="s">
        <v>33</v>
      </c>
      <c r="N292">
        <v>1</v>
      </c>
      <c r="O292">
        <v>14</v>
      </c>
      <c r="P292" t="s">
        <v>154</v>
      </c>
      <c r="Q292" t="s">
        <v>28</v>
      </c>
      <c r="R292" t="s">
        <v>28</v>
      </c>
      <c r="S292" t="s">
        <v>28</v>
      </c>
      <c r="T292" t="s">
        <v>28</v>
      </c>
      <c r="U292" t="s">
        <v>28</v>
      </c>
      <c r="V292" t="s">
        <v>28</v>
      </c>
      <c r="W292">
        <v>6</v>
      </c>
      <c r="X292" t="s">
        <v>151</v>
      </c>
    </row>
    <row r="293" spans="1:24" x14ac:dyDescent="0.2">
      <c r="A293" t="str">
        <f t="shared" si="12"/>
        <v>sample_miseq-16S-D-A04-L6_SICap-P15-A4-P4D14-M9-C2R2-yesBile-rep1-day14</v>
      </c>
      <c r="B293" s="1" t="s">
        <v>465</v>
      </c>
      <c r="C293" s="3" t="s">
        <v>1041</v>
      </c>
      <c r="D293" s="3" t="s">
        <v>1327</v>
      </c>
      <c r="E293" t="s">
        <v>20</v>
      </c>
      <c r="F293" t="s">
        <v>152</v>
      </c>
      <c r="G293" t="s">
        <v>34</v>
      </c>
      <c r="H293" t="str">
        <f t="shared" si="13"/>
        <v>04</v>
      </c>
      <c r="I293" t="str">
        <f t="shared" si="14"/>
        <v>A</v>
      </c>
      <c r="J293" t="s">
        <v>153</v>
      </c>
      <c r="K293" t="s">
        <v>24</v>
      </c>
      <c r="L293" t="s">
        <v>142</v>
      </c>
      <c r="M293" t="s">
        <v>35</v>
      </c>
      <c r="N293">
        <v>1</v>
      </c>
      <c r="O293">
        <v>14</v>
      </c>
      <c r="P293" t="s">
        <v>154</v>
      </c>
      <c r="Q293" t="s">
        <v>28</v>
      </c>
      <c r="R293" t="s">
        <v>28</v>
      </c>
      <c r="S293" t="s">
        <v>28</v>
      </c>
      <c r="T293" t="s">
        <v>28</v>
      </c>
      <c r="U293" t="s">
        <v>28</v>
      </c>
      <c r="V293" t="s">
        <v>28</v>
      </c>
      <c r="W293">
        <v>6</v>
      </c>
      <c r="X293" t="s">
        <v>151</v>
      </c>
    </row>
    <row r="294" spans="1:24" x14ac:dyDescent="0.2">
      <c r="A294" t="str">
        <f t="shared" si="12"/>
        <v>sample_miseq-16S-D-A05-L6_SICap-P15-A5-P4D14-M9-C3R1-yesBile-rep1-day14</v>
      </c>
      <c r="B294" s="1" t="s">
        <v>466</v>
      </c>
      <c r="C294" s="3" t="s">
        <v>1042</v>
      </c>
      <c r="D294" s="3" t="s">
        <v>1327</v>
      </c>
      <c r="E294" t="s">
        <v>20</v>
      </c>
      <c r="F294" t="s">
        <v>152</v>
      </c>
      <c r="G294" t="s">
        <v>36</v>
      </c>
      <c r="H294" t="str">
        <f t="shared" si="13"/>
        <v>05</v>
      </c>
      <c r="I294" t="str">
        <f t="shared" si="14"/>
        <v>A</v>
      </c>
      <c r="J294" t="s">
        <v>153</v>
      </c>
      <c r="K294" t="s">
        <v>24</v>
      </c>
      <c r="L294" t="s">
        <v>142</v>
      </c>
      <c r="M294" t="s">
        <v>37</v>
      </c>
      <c r="N294">
        <v>1</v>
      </c>
      <c r="O294">
        <v>14</v>
      </c>
      <c r="P294" t="s">
        <v>154</v>
      </c>
      <c r="Q294" t="s">
        <v>28</v>
      </c>
      <c r="R294" t="s">
        <v>28</v>
      </c>
      <c r="S294" t="s">
        <v>28</v>
      </c>
      <c r="T294" t="s">
        <v>28</v>
      </c>
      <c r="U294" t="s">
        <v>28</v>
      </c>
      <c r="V294" t="s">
        <v>28</v>
      </c>
      <c r="W294">
        <v>6</v>
      </c>
      <c r="X294" t="s">
        <v>151</v>
      </c>
    </row>
    <row r="295" spans="1:24" x14ac:dyDescent="0.2">
      <c r="A295" t="str">
        <f t="shared" si="12"/>
        <v>sample_miseq-16S-D-A06-L6_SICap-P15-A6-P4D14-M9-C3R2-yesBile-rep1-day14</v>
      </c>
      <c r="B295" s="1" t="s">
        <v>467</v>
      </c>
      <c r="C295" s="3" t="s">
        <v>1043</v>
      </c>
      <c r="D295" s="3" t="s">
        <v>1327</v>
      </c>
      <c r="E295" t="s">
        <v>20</v>
      </c>
      <c r="F295" t="s">
        <v>152</v>
      </c>
      <c r="G295" t="s">
        <v>38</v>
      </c>
      <c r="H295" t="str">
        <f t="shared" si="13"/>
        <v>06</v>
      </c>
      <c r="I295" t="str">
        <f t="shared" si="14"/>
        <v>A</v>
      </c>
      <c r="J295" t="s">
        <v>153</v>
      </c>
      <c r="K295" t="s">
        <v>24</v>
      </c>
      <c r="L295" t="s">
        <v>142</v>
      </c>
      <c r="M295" t="s">
        <v>39</v>
      </c>
      <c r="N295">
        <v>1</v>
      </c>
      <c r="O295">
        <v>14</v>
      </c>
      <c r="P295" t="s">
        <v>154</v>
      </c>
      <c r="Q295" t="s">
        <v>28</v>
      </c>
      <c r="R295" t="s">
        <v>28</v>
      </c>
      <c r="S295" t="s">
        <v>28</v>
      </c>
      <c r="T295" t="s">
        <v>28</v>
      </c>
      <c r="U295" t="s">
        <v>28</v>
      </c>
      <c r="V295" t="s">
        <v>28</v>
      </c>
      <c r="W295">
        <v>6</v>
      </c>
      <c r="X295" t="s">
        <v>151</v>
      </c>
    </row>
    <row r="296" spans="1:24" x14ac:dyDescent="0.2">
      <c r="A296" t="str">
        <f t="shared" si="12"/>
        <v>sample_miseq-16S-D-A07-L6_SICap-P15-A7-P4D14-M9-C4R1-yesBile-rep1-day14</v>
      </c>
      <c r="B296" s="1" t="s">
        <v>468</v>
      </c>
      <c r="C296" s="3" t="s">
        <v>1044</v>
      </c>
      <c r="D296" s="3" t="s">
        <v>1327</v>
      </c>
      <c r="E296" t="s">
        <v>20</v>
      </c>
      <c r="F296" t="s">
        <v>152</v>
      </c>
      <c r="G296" t="s">
        <v>40</v>
      </c>
      <c r="H296" t="str">
        <f t="shared" si="13"/>
        <v>07</v>
      </c>
      <c r="I296" t="str">
        <f t="shared" si="14"/>
        <v>A</v>
      </c>
      <c r="J296" t="s">
        <v>153</v>
      </c>
      <c r="K296" t="s">
        <v>24</v>
      </c>
      <c r="L296" t="s">
        <v>142</v>
      </c>
      <c r="M296" t="s">
        <v>41</v>
      </c>
      <c r="N296">
        <v>1</v>
      </c>
      <c r="O296">
        <v>14</v>
      </c>
      <c r="P296" t="s">
        <v>154</v>
      </c>
      <c r="Q296" t="s">
        <v>28</v>
      </c>
      <c r="R296" t="s">
        <v>28</v>
      </c>
      <c r="S296" t="s">
        <v>28</v>
      </c>
      <c r="T296" t="s">
        <v>28</v>
      </c>
      <c r="U296" t="s">
        <v>28</v>
      </c>
      <c r="V296" t="s">
        <v>28</v>
      </c>
      <c r="W296">
        <v>6</v>
      </c>
      <c r="X296" t="s">
        <v>151</v>
      </c>
    </row>
    <row r="297" spans="1:24" x14ac:dyDescent="0.2">
      <c r="A297" t="str">
        <f t="shared" si="12"/>
        <v>sample_miseq-16S-D-A08-L6_SICap-P15-A8-P4D14-M9-C4R2-yesBile-rep1-day14</v>
      </c>
      <c r="B297" s="1" t="s">
        <v>469</v>
      </c>
      <c r="C297" s="3" t="s">
        <v>1045</v>
      </c>
      <c r="D297" s="3" t="s">
        <v>1327</v>
      </c>
      <c r="E297" t="s">
        <v>20</v>
      </c>
      <c r="F297" t="s">
        <v>152</v>
      </c>
      <c r="G297" t="s">
        <v>42</v>
      </c>
      <c r="H297" t="str">
        <f t="shared" si="13"/>
        <v>08</v>
      </c>
      <c r="I297" t="str">
        <f t="shared" si="14"/>
        <v>A</v>
      </c>
      <c r="J297" t="s">
        <v>153</v>
      </c>
      <c r="K297" t="s">
        <v>24</v>
      </c>
      <c r="L297" t="s">
        <v>142</v>
      </c>
      <c r="M297" t="s">
        <v>43</v>
      </c>
      <c r="N297">
        <v>1</v>
      </c>
      <c r="O297">
        <v>14</v>
      </c>
      <c r="P297" t="s">
        <v>154</v>
      </c>
      <c r="Q297" t="s">
        <v>28</v>
      </c>
      <c r="R297" t="s">
        <v>28</v>
      </c>
      <c r="S297" t="s">
        <v>28</v>
      </c>
      <c r="T297" t="s">
        <v>28</v>
      </c>
      <c r="U297" t="s">
        <v>28</v>
      </c>
      <c r="V297" t="s">
        <v>28</v>
      </c>
      <c r="W297">
        <v>6</v>
      </c>
      <c r="X297" t="s">
        <v>151</v>
      </c>
    </row>
    <row r="298" spans="1:24" x14ac:dyDescent="0.2">
      <c r="A298" t="str">
        <f t="shared" si="12"/>
        <v>sample_miseq-16S-D-A09-L6_SICap-P15-A9-P4D14-M9-S1R2-yesBile-rep1-day14</v>
      </c>
      <c r="B298" s="1" t="s">
        <v>470</v>
      </c>
      <c r="C298" s="3" t="s">
        <v>1046</v>
      </c>
      <c r="D298" s="3" t="s">
        <v>1327</v>
      </c>
      <c r="E298" t="s">
        <v>20</v>
      </c>
      <c r="F298" t="s">
        <v>152</v>
      </c>
      <c r="G298" t="s">
        <v>44</v>
      </c>
      <c r="H298" t="str">
        <f t="shared" si="13"/>
        <v>09</v>
      </c>
      <c r="I298" t="str">
        <f t="shared" si="14"/>
        <v>A</v>
      </c>
      <c r="J298" t="s">
        <v>153</v>
      </c>
      <c r="K298" t="s">
        <v>24</v>
      </c>
      <c r="L298" t="s">
        <v>142</v>
      </c>
      <c r="M298" t="s">
        <v>45</v>
      </c>
      <c r="N298">
        <v>1</v>
      </c>
      <c r="O298">
        <v>14</v>
      </c>
      <c r="P298" t="s">
        <v>154</v>
      </c>
      <c r="Q298" t="s">
        <v>28</v>
      </c>
      <c r="R298" t="s">
        <v>28</v>
      </c>
      <c r="S298" t="s">
        <v>28</v>
      </c>
      <c r="T298" t="s">
        <v>28</v>
      </c>
      <c r="U298" t="s">
        <v>28</v>
      </c>
      <c r="V298" t="s">
        <v>28</v>
      </c>
      <c r="W298">
        <v>6</v>
      </c>
      <c r="X298" t="s">
        <v>151</v>
      </c>
    </row>
    <row r="299" spans="1:24" x14ac:dyDescent="0.2">
      <c r="A299" t="str">
        <f t="shared" si="12"/>
        <v>sample_miseq-16S-D-A10-L6_SICap-P15-A10-P4D14-M9-StoolPool-yesBile-rep1-day14</v>
      </c>
      <c r="B299" s="1" t="s">
        <v>471</v>
      </c>
      <c r="C299" s="3" t="s">
        <v>1047</v>
      </c>
      <c r="D299" s="3" t="s">
        <v>1327</v>
      </c>
      <c r="E299" t="s">
        <v>20</v>
      </c>
      <c r="F299" t="s">
        <v>152</v>
      </c>
      <c r="G299" t="s">
        <v>46</v>
      </c>
      <c r="H299" t="str">
        <f t="shared" si="13"/>
        <v>10</v>
      </c>
      <c r="I299" t="str">
        <f t="shared" si="14"/>
        <v>A</v>
      </c>
      <c r="J299" t="s">
        <v>153</v>
      </c>
      <c r="K299" t="s">
        <v>24</v>
      </c>
      <c r="L299" t="s">
        <v>142</v>
      </c>
      <c r="M299" t="s">
        <v>47</v>
      </c>
      <c r="N299">
        <v>1</v>
      </c>
      <c r="O299">
        <v>14</v>
      </c>
      <c r="P299" t="s">
        <v>154</v>
      </c>
      <c r="Q299" t="s">
        <v>28</v>
      </c>
      <c r="R299" t="s">
        <v>28</v>
      </c>
      <c r="S299" t="s">
        <v>28</v>
      </c>
      <c r="T299" t="s">
        <v>28</v>
      </c>
      <c r="U299" t="s">
        <v>28</v>
      </c>
      <c r="V299" t="s">
        <v>28</v>
      </c>
      <c r="W299">
        <v>6</v>
      </c>
      <c r="X299" t="s">
        <v>151</v>
      </c>
    </row>
    <row r="300" spans="1:24" x14ac:dyDescent="0.2">
      <c r="A300" t="str">
        <f t="shared" si="12"/>
        <v>sample_miseq-16S-D-A11-L6_SICap-P15-A11-P4D14-M9-SIPool-yesBile-rep1-day14</v>
      </c>
      <c r="B300" s="1" t="s">
        <v>472</v>
      </c>
      <c r="C300" s="3" t="s">
        <v>1048</v>
      </c>
      <c r="D300" s="3" t="s">
        <v>1327</v>
      </c>
      <c r="E300" t="s">
        <v>20</v>
      </c>
      <c r="F300" t="s">
        <v>152</v>
      </c>
      <c r="G300" t="s">
        <v>48</v>
      </c>
      <c r="H300" t="str">
        <f t="shared" si="13"/>
        <v>11</v>
      </c>
      <c r="I300" t="str">
        <f t="shared" si="14"/>
        <v>A</v>
      </c>
      <c r="J300" t="s">
        <v>153</v>
      </c>
      <c r="K300" t="s">
        <v>24</v>
      </c>
      <c r="L300" t="s">
        <v>142</v>
      </c>
      <c r="M300" t="s">
        <v>49</v>
      </c>
      <c r="N300">
        <v>1</v>
      </c>
      <c r="O300">
        <v>14</v>
      </c>
      <c r="P300" t="s">
        <v>154</v>
      </c>
      <c r="Q300" t="s">
        <v>28</v>
      </c>
      <c r="R300" t="s">
        <v>28</v>
      </c>
      <c r="S300" t="s">
        <v>28</v>
      </c>
      <c r="T300" t="s">
        <v>28</v>
      </c>
      <c r="U300" t="s">
        <v>28</v>
      </c>
      <c r="V300" t="s">
        <v>28</v>
      </c>
      <c r="W300">
        <v>6</v>
      </c>
      <c r="X300" t="s">
        <v>151</v>
      </c>
    </row>
    <row r="301" spans="1:24" x14ac:dyDescent="0.2">
      <c r="A301" t="str">
        <f t="shared" si="12"/>
        <v>sample_miseq-16S-D-A12-L6_SICap-P15-A12-P4D14-M9-Media-yesBile-rep1-day14</v>
      </c>
      <c r="B301" s="1" t="s">
        <v>473</v>
      </c>
      <c r="C301" s="3" t="s">
        <v>1049</v>
      </c>
      <c r="D301" s="3" t="s">
        <v>1327</v>
      </c>
      <c r="E301" t="s">
        <v>20</v>
      </c>
      <c r="F301" t="s">
        <v>152</v>
      </c>
      <c r="G301" t="s">
        <v>50</v>
      </c>
      <c r="H301" t="str">
        <f t="shared" si="13"/>
        <v>12</v>
      </c>
      <c r="I301" t="str">
        <f t="shared" si="14"/>
        <v>A</v>
      </c>
      <c r="J301" t="s">
        <v>153</v>
      </c>
      <c r="K301" t="s">
        <v>24</v>
      </c>
      <c r="L301" t="s">
        <v>142</v>
      </c>
      <c r="M301" t="s">
        <v>6</v>
      </c>
      <c r="N301">
        <v>1</v>
      </c>
      <c r="O301">
        <v>14</v>
      </c>
      <c r="P301" t="s">
        <v>154</v>
      </c>
      <c r="Q301" t="s">
        <v>28</v>
      </c>
      <c r="R301" t="s">
        <v>28</v>
      </c>
      <c r="S301" t="s">
        <v>28</v>
      </c>
      <c r="T301" t="s">
        <v>28</v>
      </c>
      <c r="U301" t="s">
        <v>28</v>
      </c>
      <c r="V301" t="s">
        <v>28</v>
      </c>
      <c r="W301">
        <v>6</v>
      </c>
      <c r="X301" t="s">
        <v>151</v>
      </c>
    </row>
    <row r="302" spans="1:24" x14ac:dyDescent="0.2">
      <c r="A302" t="str">
        <f t="shared" si="12"/>
        <v>sample_miseq-16S-D-B01-L6_SICap-P15-B1-P4D14-EZ-RDM-C1R1-yesBile-rep1-day14</v>
      </c>
      <c r="B302" s="1" t="s">
        <v>474</v>
      </c>
      <c r="C302" s="3" t="s">
        <v>1050</v>
      </c>
      <c r="D302" s="3" t="s">
        <v>1327</v>
      </c>
      <c r="E302" t="s">
        <v>20</v>
      </c>
      <c r="F302" t="s">
        <v>152</v>
      </c>
      <c r="G302" t="s">
        <v>51</v>
      </c>
      <c r="H302" t="str">
        <f t="shared" si="13"/>
        <v>01</v>
      </c>
      <c r="I302" t="str">
        <f t="shared" si="14"/>
        <v>B</v>
      </c>
      <c r="J302" t="s">
        <v>153</v>
      </c>
      <c r="K302" t="s">
        <v>52</v>
      </c>
      <c r="L302" t="s">
        <v>142</v>
      </c>
      <c r="M302" t="s">
        <v>26</v>
      </c>
      <c r="N302">
        <v>1</v>
      </c>
      <c r="O302">
        <v>14</v>
      </c>
      <c r="P302" t="s">
        <v>154</v>
      </c>
      <c r="Q302" t="s">
        <v>28</v>
      </c>
      <c r="R302" t="s">
        <v>28</v>
      </c>
      <c r="S302" t="s">
        <v>28</v>
      </c>
      <c r="T302" t="s">
        <v>28</v>
      </c>
      <c r="U302" t="s">
        <v>28</v>
      </c>
      <c r="V302" t="s">
        <v>28</v>
      </c>
      <c r="W302">
        <v>6</v>
      </c>
      <c r="X302" t="s">
        <v>151</v>
      </c>
    </row>
    <row r="303" spans="1:24" x14ac:dyDescent="0.2">
      <c r="A303" t="str">
        <f t="shared" si="12"/>
        <v>sample_miseq-16S-D-B02-L6_SICap-P15-B2-P4D14-EZ-RDM-C1R2-yesBile-rep1-day14</v>
      </c>
      <c r="B303" s="1" t="s">
        <v>475</v>
      </c>
      <c r="C303" s="3" t="s">
        <v>1051</v>
      </c>
      <c r="D303" s="3" t="s">
        <v>1327</v>
      </c>
      <c r="E303" t="s">
        <v>20</v>
      </c>
      <c r="F303" t="s">
        <v>152</v>
      </c>
      <c r="G303" t="s">
        <v>53</v>
      </c>
      <c r="H303" t="str">
        <f t="shared" si="13"/>
        <v>02</v>
      </c>
      <c r="I303" t="str">
        <f t="shared" si="14"/>
        <v>B</v>
      </c>
      <c r="J303" t="s">
        <v>153</v>
      </c>
      <c r="K303" t="s">
        <v>52</v>
      </c>
      <c r="L303" t="s">
        <v>142</v>
      </c>
      <c r="M303" t="s">
        <v>31</v>
      </c>
      <c r="N303">
        <v>1</v>
      </c>
      <c r="O303">
        <v>14</v>
      </c>
      <c r="P303" t="s">
        <v>154</v>
      </c>
      <c r="Q303" t="s">
        <v>28</v>
      </c>
      <c r="R303" t="s">
        <v>28</v>
      </c>
      <c r="S303" t="s">
        <v>28</v>
      </c>
      <c r="T303" t="s">
        <v>28</v>
      </c>
      <c r="U303" t="s">
        <v>28</v>
      </c>
      <c r="V303" t="s">
        <v>28</v>
      </c>
      <c r="W303">
        <v>6</v>
      </c>
      <c r="X303" t="s">
        <v>151</v>
      </c>
    </row>
    <row r="304" spans="1:24" x14ac:dyDescent="0.2">
      <c r="A304" t="str">
        <f t="shared" si="12"/>
        <v>sample_miseq-16S-D-B03-L6_SICap-P15-B3-P4D14-EZ-RDM-C2R1-yesBile-rep1-day14</v>
      </c>
      <c r="B304" s="1" t="s">
        <v>476</v>
      </c>
      <c r="C304" s="3" t="s">
        <v>1052</v>
      </c>
      <c r="D304" s="3" t="s">
        <v>1327</v>
      </c>
      <c r="E304" t="s">
        <v>20</v>
      </c>
      <c r="F304" t="s">
        <v>152</v>
      </c>
      <c r="G304" t="s">
        <v>54</v>
      </c>
      <c r="H304" t="str">
        <f t="shared" si="13"/>
        <v>03</v>
      </c>
      <c r="I304" t="str">
        <f t="shared" si="14"/>
        <v>B</v>
      </c>
      <c r="J304" t="s">
        <v>153</v>
      </c>
      <c r="K304" t="s">
        <v>52</v>
      </c>
      <c r="L304" t="s">
        <v>142</v>
      </c>
      <c r="M304" t="s">
        <v>33</v>
      </c>
      <c r="N304">
        <v>1</v>
      </c>
      <c r="O304">
        <v>14</v>
      </c>
      <c r="P304" t="s">
        <v>154</v>
      </c>
      <c r="Q304" t="s">
        <v>28</v>
      </c>
      <c r="R304" t="s">
        <v>28</v>
      </c>
      <c r="S304" t="s">
        <v>28</v>
      </c>
      <c r="T304" t="s">
        <v>28</v>
      </c>
      <c r="U304" t="s">
        <v>28</v>
      </c>
      <c r="V304" t="s">
        <v>28</v>
      </c>
      <c r="W304">
        <v>6</v>
      </c>
      <c r="X304" t="s">
        <v>151</v>
      </c>
    </row>
    <row r="305" spans="1:24" x14ac:dyDescent="0.2">
      <c r="A305" t="str">
        <f t="shared" si="12"/>
        <v>sample_miseq-16S-D-B04-L6_SICap-P15-B4-P4D14-EZ-RDM-C2R2-yesBile-rep1-day14</v>
      </c>
      <c r="B305" s="1" t="s">
        <v>477</v>
      </c>
      <c r="C305" s="3" t="s">
        <v>1053</v>
      </c>
      <c r="D305" s="3" t="s">
        <v>1327</v>
      </c>
      <c r="E305" t="s">
        <v>20</v>
      </c>
      <c r="F305" t="s">
        <v>152</v>
      </c>
      <c r="G305" t="s">
        <v>55</v>
      </c>
      <c r="H305" t="str">
        <f t="shared" si="13"/>
        <v>04</v>
      </c>
      <c r="I305" t="str">
        <f t="shared" si="14"/>
        <v>B</v>
      </c>
      <c r="J305" t="s">
        <v>153</v>
      </c>
      <c r="K305" t="s">
        <v>52</v>
      </c>
      <c r="L305" t="s">
        <v>142</v>
      </c>
      <c r="M305" t="s">
        <v>35</v>
      </c>
      <c r="N305">
        <v>1</v>
      </c>
      <c r="O305">
        <v>14</v>
      </c>
      <c r="P305" t="s">
        <v>154</v>
      </c>
      <c r="Q305" t="s">
        <v>28</v>
      </c>
      <c r="R305" t="s">
        <v>28</v>
      </c>
      <c r="S305" t="s">
        <v>28</v>
      </c>
      <c r="T305" t="s">
        <v>28</v>
      </c>
      <c r="U305" t="s">
        <v>28</v>
      </c>
      <c r="V305" t="s">
        <v>28</v>
      </c>
      <c r="W305">
        <v>6</v>
      </c>
      <c r="X305" t="s">
        <v>151</v>
      </c>
    </row>
    <row r="306" spans="1:24" x14ac:dyDescent="0.2">
      <c r="A306" t="str">
        <f t="shared" si="12"/>
        <v>sample_miseq-16S-D-B05-L6_SICap-P15-B5-P4D14-EZ-RDM-C3R1-yesBile-rep1-day14</v>
      </c>
      <c r="B306" s="1" t="s">
        <v>478</v>
      </c>
      <c r="C306" s="3" t="s">
        <v>1054</v>
      </c>
      <c r="D306" s="3" t="s">
        <v>1327</v>
      </c>
      <c r="E306" t="s">
        <v>20</v>
      </c>
      <c r="F306" t="s">
        <v>152</v>
      </c>
      <c r="G306" t="s">
        <v>56</v>
      </c>
      <c r="H306" t="str">
        <f t="shared" si="13"/>
        <v>05</v>
      </c>
      <c r="I306" t="str">
        <f t="shared" si="14"/>
        <v>B</v>
      </c>
      <c r="J306" t="s">
        <v>153</v>
      </c>
      <c r="K306" t="s">
        <v>52</v>
      </c>
      <c r="L306" t="s">
        <v>142</v>
      </c>
      <c r="M306" t="s">
        <v>37</v>
      </c>
      <c r="N306">
        <v>1</v>
      </c>
      <c r="O306">
        <v>14</v>
      </c>
      <c r="P306" t="s">
        <v>154</v>
      </c>
      <c r="Q306" t="s">
        <v>28</v>
      </c>
      <c r="R306" t="s">
        <v>28</v>
      </c>
      <c r="S306" t="s">
        <v>28</v>
      </c>
      <c r="T306" t="s">
        <v>28</v>
      </c>
      <c r="U306" t="s">
        <v>28</v>
      </c>
      <c r="V306" t="s">
        <v>28</v>
      </c>
      <c r="W306">
        <v>6</v>
      </c>
      <c r="X306" t="s">
        <v>151</v>
      </c>
    </row>
    <row r="307" spans="1:24" x14ac:dyDescent="0.2">
      <c r="A307" t="str">
        <f t="shared" si="12"/>
        <v>sample_miseq-16S-D-B06-L6_SICap-P15-B6-P4D14-EZ-RDM-C3R2-yesBile-rep1-day14</v>
      </c>
      <c r="B307" s="1" t="s">
        <v>479</v>
      </c>
      <c r="C307" s="3" t="s">
        <v>1055</v>
      </c>
      <c r="D307" s="3" t="s">
        <v>1327</v>
      </c>
      <c r="E307" t="s">
        <v>20</v>
      </c>
      <c r="F307" t="s">
        <v>152</v>
      </c>
      <c r="G307" t="s">
        <v>57</v>
      </c>
      <c r="H307" t="str">
        <f t="shared" si="13"/>
        <v>06</v>
      </c>
      <c r="I307" t="str">
        <f t="shared" si="14"/>
        <v>B</v>
      </c>
      <c r="J307" t="s">
        <v>153</v>
      </c>
      <c r="K307" t="s">
        <v>52</v>
      </c>
      <c r="L307" t="s">
        <v>142</v>
      </c>
      <c r="M307" t="s">
        <v>39</v>
      </c>
      <c r="N307">
        <v>1</v>
      </c>
      <c r="O307">
        <v>14</v>
      </c>
      <c r="P307" t="s">
        <v>154</v>
      </c>
      <c r="Q307" t="s">
        <v>28</v>
      </c>
      <c r="R307" t="s">
        <v>28</v>
      </c>
      <c r="S307" t="s">
        <v>28</v>
      </c>
      <c r="T307" t="s">
        <v>28</v>
      </c>
      <c r="U307" t="s">
        <v>28</v>
      </c>
      <c r="V307" t="s">
        <v>28</v>
      </c>
      <c r="W307">
        <v>6</v>
      </c>
      <c r="X307" t="s">
        <v>151</v>
      </c>
    </row>
    <row r="308" spans="1:24" x14ac:dyDescent="0.2">
      <c r="A308" t="str">
        <f t="shared" si="12"/>
        <v>sample_miseq-16S-D-B07-L6_SICap-P15-B7-P4D14-EZ-RDM-C4R1-yesBile-rep1-day14</v>
      </c>
      <c r="B308" s="1" t="s">
        <v>480</v>
      </c>
      <c r="C308" s="3" t="s">
        <v>1056</v>
      </c>
      <c r="D308" s="3" t="s">
        <v>1327</v>
      </c>
      <c r="E308" t="s">
        <v>20</v>
      </c>
      <c r="F308" t="s">
        <v>152</v>
      </c>
      <c r="G308" t="s">
        <v>58</v>
      </c>
      <c r="H308" t="str">
        <f t="shared" si="13"/>
        <v>07</v>
      </c>
      <c r="I308" t="str">
        <f t="shared" si="14"/>
        <v>B</v>
      </c>
      <c r="J308" t="s">
        <v>153</v>
      </c>
      <c r="K308" t="s">
        <v>52</v>
      </c>
      <c r="L308" t="s">
        <v>142</v>
      </c>
      <c r="M308" t="s">
        <v>41</v>
      </c>
      <c r="N308">
        <v>1</v>
      </c>
      <c r="O308">
        <v>14</v>
      </c>
      <c r="P308" t="s">
        <v>154</v>
      </c>
      <c r="Q308" t="s">
        <v>28</v>
      </c>
      <c r="R308" t="s">
        <v>28</v>
      </c>
      <c r="S308" t="s">
        <v>28</v>
      </c>
      <c r="T308" t="s">
        <v>28</v>
      </c>
      <c r="U308" t="s">
        <v>28</v>
      </c>
      <c r="V308" t="s">
        <v>28</v>
      </c>
      <c r="W308">
        <v>6</v>
      </c>
      <c r="X308" t="s">
        <v>151</v>
      </c>
    </row>
    <row r="309" spans="1:24" x14ac:dyDescent="0.2">
      <c r="A309" t="str">
        <f t="shared" si="12"/>
        <v>sample_miseq-16S-D-B08-L6_SICap-P15-B8-P4D14-EZ-RDM-C4R2-yesBile-rep1-day14</v>
      </c>
      <c r="B309" s="1" t="s">
        <v>481</v>
      </c>
      <c r="C309" s="3" t="s">
        <v>1057</v>
      </c>
      <c r="D309" s="3" t="s">
        <v>1327</v>
      </c>
      <c r="E309" t="s">
        <v>20</v>
      </c>
      <c r="F309" t="s">
        <v>152</v>
      </c>
      <c r="G309" t="s">
        <v>59</v>
      </c>
      <c r="H309" t="str">
        <f t="shared" si="13"/>
        <v>08</v>
      </c>
      <c r="I309" t="str">
        <f t="shared" si="14"/>
        <v>B</v>
      </c>
      <c r="J309" t="s">
        <v>153</v>
      </c>
      <c r="K309" t="s">
        <v>52</v>
      </c>
      <c r="L309" t="s">
        <v>142</v>
      </c>
      <c r="M309" t="s">
        <v>43</v>
      </c>
      <c r="N309">
        <v>1</v>
      </c>
      <c r="O309">
        <v>14</v>
      </c>
      <c r="P309" t="s">
        <v>154</v>
      </c>
      <c r="Q309" t="s">
        <v>28</v>
      </c>
      <c r="R309" t="s">
        <v>28</v>
      </c>
      <c r="S309" t="s">
        <v>28</v>
      </c>
      <c r="T309" t="s">
        <v>28</v>
      </c>
      <c r="U309" t="s">
        <v>28</v>
      </c>
      <c r="V309" t="s">
        <v>28</v>
      </c>
      <c r="W309">
        <v>6</v>
      </c>
      <c r="X309" t="s">
        <v>151</v>
      </c>
    </row>
    <row r="310" spans="1:24" x14ac:dyDescent="0.2">
      <c r="A310" t="str">
        <f t="shared" si="12"/>
        <v>sample_miseq-16S-D-B09-L6_SICap-P15-B9-P4D14-EZ-RDM-S1R2-yesBile-rep1-day14</v>
      </c>
      <c r="B310" s="1" t="s">
        <v>482</v>
      </c>
      <c r="C310" s="3" t="s">
        <v>1058</v>
      </c>
      <c r="D310" s="3" t="s">
        <v>1327</v>
      </c>
      <c r="E310" t="s">
        <v>20</v>
      </c>
      <c r="F310" t="s">
        <v>152</v>
      </c>
      <c r="G310" t="s">
        <v>60</v>
      </c>
      <c r="H310" t="str">
        <f t="shared" si="13"/>
        <v>09</v>
      </c>
      <c r="I310" t="str">
        <f t="shared" si="14"/>
        <v>B</v>
      </c>
      <c r="J310" t="s">
        <v>153</v>
      </c>
      <c r="K310" t="s">
        <v>52</v>
      </c>
      <c r="L310" t="s">
        <v>142</v>
      </c>
      <c r="M310" t="s">
        <v>45</v>
      </c>
      <c r="N310">
        <v>1</v>
      </c>
      <c r="O310">
        <v>14</v>
      </c>
      <c r="P310" t="s">
        <v>154</v>
      </c>
      <c r="Q310" t="s">
        <v>28</v>
      </c>
      <c r="R310" t="s">
        <v>28</v>
      </c>
      <c r="S310" t="s">
        <v>28</v>
      </c>
      <c r="T310" t="s">
        <v>28</v>
      </c>
      <c r="U310" t="s">
        <v>28</v>
      </c>
      <c r="V310" t="s">
        <v>28</v>
      </c>
      <c r="W310">
        <v>6</v>
      </c>
      <c r="X310" t="s">
        <v>151</v>
      </c>
    </row>
    <row r="311" spans="1:24" x14ac:dyDescent="0.2">
      <c r="A311" t="str">
        <f t="shared" si="12"/>
        <v>sample_miseq-16S-D-B10-L6_SICap-P15-B10-P4D14-EZ-RDM-StoolPool-yesBile-rep1-day14</v>
      </c>
      <c r="B311" s="1" t="s">
        <v>483</v>
      </c>
      <c r="C311" s="3" t="s">
        <v>1059</v>
      </c>
      <c r="D311" s="3" t="s">
        <v>1327</v>
      </c>
      <c r="E311" t="s">
        <v>20</v>
      </c>
      <c r="F311" t="s">
        <v>152</v>
      </c>
      <c r="G311" t="s">
        <v>61</v>
      </c>
      <c r="H311" t="str">
        <f t="shared" si="13"/>
        <v>10</v>
      </c>
      <c r="I311" t="str">
        <f t="shared" si="14"/>
        <v>B</v>
      </c>
      <c r="J311" t="s">
        <v>153</v>
      </c>
      <c r="K311" t="s">
        <v>52</v>
      </c>
      <c r="L311" t="s">
        <v>142</v>
      </c>
      <c r="M311" t="s">
        <v>47</v>
      </c>
      <c r="N311">
        <v>1</v>
      </c>
      <c r="O311">
        <v>14</v>
      </c>
      <c r="P311" t="s">
        <v>154</v>
      </c>
      <c r="Q311" t="s">
        <v>28</v>
      </c>
      <c r="R311" t="s">
        <v>28</v>
      </c>
      <c r="S311" t="s">
        <v>28</v>
      </c>
      <c r="T311" t="s">
        <v>28</v>
      </c>
      <c r="U311" t="s">
        <v>28</v>
      </c>
      <c r="V311" t="s">
        <v>28</v>
      </c>
      <c r="W311">
        <v>6</v>
      </c>
      <c r="X311" t="s">
        <v>151</v>
      </c>
    </row>
    <row r="312" spans="1:24" x14ac:dyDescent="0.2">
      <c r="A312" t="str">
        <f t="shared" si="12"/>
        <v>sample_miseq-16S-D-B11-L6_SICap-P15-B11-P4D14-EZ-RDM-SIPool-yesBile-rep1-day14</v>
      </c>
      <c r="B312" s="1" t="s">
        <v>484</v>
      </c>
      <c r="C312" s="3" t="s">
        <v>1060</v>
      </c>
      <c r="D312" s="3" t="s">
        <v>1327</v>
      </c>
      <c r="E312" t="s">
        <v>20</v>
      </c>
      <c r="F312" t="s">
        <v>152</v>
      </c>
      <c r="G312" t="s">
        <v>62</v>
      </c>
      <c r="H312" t="str">
        <f t="shared" si="13"/>
        <v>11</v>
      </c>
      <c r="I312" t="str">
        <f t="shared" si="14"/>
        <v>B</v>
      </c>
      <c r="J312" t="s">
        <v>153</v>
      </c>
      <c r="K312" t="s">
        <v>52</v>
      </c>
      <c r="L312" t="s">
        <v>142</v>
      </c>
      <c r="M312" t="s">
        <v>49</v>
      </c>
      <c r="N312">
        <v>1</v>
      </c>
      <c r="O312">
        <v>14</v>
      </c>
      <c r="P312" t="s">
        <v>154</v>
      </c>
      <c r="Q312" t="s">
        <v>28</v>
      </c>
      <c r="R312" t="s">
        <v>28</v>
      </c>
      <c r="S312" t="s">
        <v>28</v>
      </c>
      <c r="T312" t="s">
        <v>28</v>
      </c>
      <c r="U312" t="s">
        <v>28</v>
      </c>
      <c r="V312" t="s">
        <v>28</v>
      </c>
      <c r="W312">
        <v>6</v>
      </c>
      <c r="X312" t="s">
        <v>151</v>
      </c>
    </row>
    <row r="313" spans="1:24" x14ac:dyDescent="0.2">
      <c r="A313" t="str">
        <f t="shared" si="12"/>
        <v>sample_miseq-16S-D-B12-L6_SICap-P15-B12-P4D14-EZ-RDM-Media-yesBile-rep1-day14</v>
      </c>
      <c r="B313" s="1" t="s">
        <v>485</v>
      </c>
      <c r="C313" s="3" t="s">
        <v>1061</v>
      </c>
      <c r="D313" s="3" t="s">
        <v>1327</v>
      </c>
      <c r="E313" t="s">
        <v>20</v>
      </c>
      <c r="F313" t="s">
        <v>152</v>
      </c>
      <c r="G313" t="s">
        <v>63</v>
      </c>
      <c r="H313" t="str">
        <f t="shared" si="13"/>
        <v>12</v>
      </c>
      <c r="I313" t="str">
        <f t="shared" si="14"/>
        <v>B</v>
      </c>
      <c r="J313" t="s">
        <v>153</v>
      </c>
      <c r="K313" t="s">
        <v>52</v>
      </c>
      <c r="L313" t="s">
        <v>142</v>
      </c>
      <c r="M313" t="s">
        <v>6</v>
      </c>
      <c r="N313">
        <v>1</v>
      </c>
      <c r="O313">
        <v>14</v>
      </c>
      <c r="P313" t="s">
        <v>154</v>
      </c>
      <c r="Q313" t="s">
        <v>28</v>
      </c>
      <c r="R313" t="s">
        <v>28</v>
      </c>
      <c r="S313" t="s">
        <v>28</v>
      </c>
      <c r="T313" t="s">
        <v>28</v>
      </c>
      <c r="U313" t="s">
        <v>28</v>
      </c>
      <c r="V313" t="s">
        <v>28</v>
      </c>
      <c r="W313">
        <v>6</v>
      </c>
      <c r="X313" t="s">
        <v>151</v>
      </c>
    </row>
    <row r="314" spans="1:24" x14ac:dyDescent="0.2">
      <c r="A314" t="str">
        <f t="shared" si="12"/>
        <v>sample_miseq-16S-D-C01-L6_SICap-P15-C1-P4D14-BHI-C1R1-yesBile-rep1-day14</v>
      </c>
      <c r="B314" s="1" t="s">
        <v>486</v>
      </c>
      <c r="C314" s="3" t="s">
        <v>1062</v>
      </c>
      <c r="D314" s="3" t="s">
        <v>1327</v>
      </c>
      <c r="E314" t="s">
        <v>20</v>
      </c>
      <c r="F314" t="s">
        <v>152</v>
      </c>
      <c r="G314" t="s">
        <v>64</v>
      </c>
      <c r="H314" t="str">
        <f t="shared" si="13"/>
        <v>01</v>
      </c>
      <c r="I314" t="str">
        <f t="shared" si="14"/>
        <v>C</v>
      </c>
      <c r="J314" t="s">
        <v>153</v>
      </c>
      <c r="K314" t="s">
        <v>65</v>
      </c>
      <c r="L314" t="s">
        <v>142</v>
      </c>
      <c r="M314" t="s">
        <v>26</v>
      </c>
      <c r="N314">
        <v>1</v>
      </c>
      <c r="O314">
        <v>14</v>
      </c>
      <c r="P314" t="s">
        <v>154</v>
      </c>
      <c r="Q314" t="s">
        <v>28</v>
      </c>
      <c r="R314" t="s">
        <v>28</v>
      </c>
      <c r="S314" t="s">
        <v>28</v>
      </c>
      <c r="T314" t="s">
        <v>28</v>
      </c>
      <c r="U314" t="s">
        <v>28</v>
      </c>
      <c r="V314" t="s">
        <v>28</v>
      </c>
      <c r="W314">
        <v>6</v>
      </c>
      <c r="X314" t="s">
        <v>151</v>
      </c>
    </row>
    <row r="315" spans="1:24" x14ac:dyDescent="0.2">
      <c r="A315" t="str">
        <f t="shared" si="12"/>
        <v>sample_miseq-16S-D-C02-L6_SICap-P15-C2-P4D14-BHI-C1R2-yesBile-rep1-day14</v>
      </c>
      <c r="B315" s="1" t="s">
        <v>487</v>
      </c>
      <c r="C315" s="3" t="s">
        <v>1063</v>
      </c>
      <c r="D315" s="3" t="s">
        <v>1327</v>
      </c>
      <c r="E315" t="s">
        <v>20</v>
      </c>
      <c r="F315" t="s">
        <v>152</v>
      </c>
      <c r="G315" t="s">
        <v>66</v>
      </c>
      <c r="H315" t="str">
        <f t="shared" si="13"/>
        <v>02</v>
      </c>
      <c r="I315" t="str">
        <f t="shared" si="14"/>
        <v>C</v>
      </c>
      <c r="J315" t="s">
        <v>153</v>
      </c>
      <c r="K315" t="s">
        <v>65</v>
      </c>
      <c r="L315" t="s">
        <v>142</v>
      </c>
      <c r="M315" t="s">
        <v>31</v>
      </c>
      <c r="N315">
        <v>1</v>
      </c>
      <c r="O315">
        <v>14</v>
      </c>
      <c r="P315" t="s">
        <v>154</v>
      </c>
      <c r="Q315" t="s">
        <v>28</v>
      </c>
      <c r="R315" t="s">
        <v>28</v>
      </c>
      <c r="S315" t="s">
        <v>28</v>
      </c>
      <c r="T315" t="s">
        <v>28</v>
      </c>
      <c r="U315" t="s">
        <v>28</v>
      </c>
      <c r="V315" t="s">
        <v>28</v>
      </c>
      <c r="W315">
        <v>6</v>
      </c>
      <c r="X315" t="s">
        <v>151</v>
      </c>
    </row>
    <row r="316" spans="1:24" x14ac:dyDescent="0.2">
      <c r="A316" t="str">
        <f t="shared" si="12"/>
        <v>sample_miseq-16S-D-C03-L6_SICap-P15-C3-P4D14-BHI-C2R1-yesBile-rep1-day14</v>
      </c>
      <c r="B316" s="1" t="s">
        <v>488</v>
      </c>
      <c r="C316" s="3" t="s">
        <v>1064</v>
      </c>
      <c r="D316" s="3" t="s">
        <v>1327</v>
      </c>
      <c r="E316" t="s">
        <v>20</v>
      </c>
      <c r="F316" t="s">
        <v>152</v>
      </c>
      <c r="G316" t="s">
        <v>67</v>
      </c>
      <c r="H316" t="str">
        <f t="shared" si="13"/>
        <v>03</v>
      </c>
      <c r="I316" t="str">
        <f t="shared" si="14"/>
        <v>C</v>
      </c>
      <c r="J316" t="s">
        <v>153</v>
      </c>
      <c r="K316" t="s">
        <v>65</v>
      </c>
      <c r="L316" t="s">
        <v>142</v>
      </c>
      <c r="M316" t="s">
        <v>33</v>
      </c>
      <c r="N316">
        <v>1</v>
      </c>
      <c r="O316">
        <v>14</v>
      </c>
      <c r="P316" t="s">
        <v>154</v>
      </c>
      <c r="Q316" t="s">
        <v>28</v>
      </c>
      <c r="R316" t="s">
        <v>28</v>
      </c>
      <c r="S316" t="s">
        <v>28</v>
      </c>
      <c r="T316" t="s">
        <v>28</v>
      </c>
      <c r="U316" t="s">
        <v>28</v>
      </c>
      <c r="V316" t="s">
        <v>28</v>
      </c>
      <c r="W316">
        <v>6</v>
      </c>
      <c r="X316" t="s">
        <v>151</v>
      </c>
    </row>
    <row r="317" spans="1:24" x14ac:dyDescent="0.2">
      <c r="A317" t="str">
        <f t="shared" si="12"/>
        <v>sample_miseq-16S-D-C04-L6_SICap-P15-C4-P4D14-BHI-C2R2-yesBile-rep1-day14</v>
      </c>
      <c r="B317" s="1" t="s">
        <v>489</v>
      </c>
      <c r="C317" s="3" t="s">
        <v>1065</v>
      </c>
      <c r="D317" s="3" t="s">
        <v>1327</v>
      </c>
      <c r="E317" t="s">
        <v>20</v>
      </c>
      <c r="F317" t="s">
        <v>152</v>
      </c>
      <c r="G317" t="s">
        <v>68</v>
      </c>
      <c r="H317" t="str">
        <f t="shared" si="13"/>
        <v>04</v>
      </c>
      <c r="I317" t="str">
        <f t="shared" si="14"/>
        <v>C</v>
      </c>
      <c r="J317" t="s">
        <v>153</v>
      </c>
      <c r="K317" t="s">
        <v>65</v>
      </c>
      <c r="L317" t="s">
        <v>142</v>
      </c>
      <c r="M317" t="s">
        <v>35</v>
      </c>
      <c r="N317">
        <v>1</v>
      </c>
      <c r="O317">
        <v>14</v>
      </c>
      <c r="P317" t="s">
        <v>154</v>
      </c>
      <c r="Q317" t="s">
        <v>28</v>
      </c>
      <c r="R317" t="s">
        <v>28</v>
      </c>
      <c r="S317" t="s">
        <v>28</v>
      </c>
      <c r="T317" t="s">
        <v>28</v>
      </c>
      <c r="U317" t="s">
        <v>28</v>
      </c>
      <c r="V317" t="s">
        <v>28</v>
      </c>
      <c r="W317">
        <v>6</v>
      </c>
      <c r="X317" t="s">
        <v>151</v>
      </c>
    </row>
    <row r="318" spans="1:24" x14ac:dyDescent="0.2">
      <c r="A318" t="str">
        <f t="shared" si="12"/>
        <v>sample_miseq-16S-D-C05-L6_SICap-P15-C5-P4D14-BHI-C3R1-yesBile-rep1-day14</v>
      </c>
      <c r="B318" s="1" t="s">
        <v>490</v>
      </c>
      <c r="C318" s="3" t="s">
        <v>1066</v>
      </c>
      <c r="D318" s="3" t="s">
        <v>1327</v>
      </c>
      <c r="E318" t="s">
        <v>20</v>
      </c>
      <c r="F318" t="s">
        <v>152</v>
      </c>
      <c r="G318" t="s">
        <v>69</v>
      </c>
      <c r="H318" t="str">
        <f t="shared" si="13"/>
        <v>05</v>
      </c>
      <c r="I318" t="str">
        <f t="shared" si="14"/>
        <v>C</v>
      </c>
      <c r="J318" t="s">
        <v>153</v>
      </c>
      <c r="K318" t="s">
        <v>65</v>
      </c>
      <c r="L318" t="s">
        <v>142</v>
      </c>
      <c r="M318" t="s">
        <v>37</v>
      </c>
      <c r="N318">
        <v>1</v>
      </c>
      <c r="O318">
        <v>14</v>
      </c>
      <c r="P318" t="s">
        <v>154</v>
      </c>
      <c r="Q318" t="s">
        <v>28</v>
      </c>
      <c r="R318" t="s">
        <v>28</v>
      </c>
      <c r="S318" t="s">
        <v>28</v>
      </c>
      <c r="T318" t="s">
        <v>28</v>
      </c>
      <c r="U318" t="s">
        <v>28</v>
      </c>
      <c r="V318" t="s">
        <v>28</v>
      </c>
      <c r="W318">
        <v>6</v>
      </c>
      <c r="X318" t="s">
        <v>151</v>
      </c>
    </row>
    <row r="319" spans="1:24" x14ac:dyDescent="0.2">
      <c r="A319" t="str">
        <f t="shared" si="12"/>
        <v>sample_miseq-16S-D-C06-L6_SICap-P15-C6-P4D14-BHI-C3R2-yesBile-rep1-day14</v>
      </c>
      <c r="B319" s="1" t="s">
        <v>491</v>
      </c>
      <c r="C319" s="3" t="s">
        <v>1067</v>
      </c>
      <c r="D319" s="3" t="s">
        <v>1327</v>
      </c>
      <c r="E319" t="s">
        <v>20</v>
      </c>
      <c r="F319" t="s">
        <v>152</v>
      </c>
      <c r="G319" t="s">
        <v>70</v>
      </c>
      <c r="H319" t="str">
        <f t="shared" si="13"/>
        <v>06</v>
      </c>
      <c r="I319" t="str">
        <f t="shared" si="14"/>
        <v>C</v>
      </c>
      <c r="J319" t="s">
        <v>153</v>
      </c>
      <c r="K319" t="s">
        <v>65</v>
      </c>
      <c r="L319" t="s">
        <v>142</v>
      </c>
      <c r="M319" t="s">
        <v>39</v>
      </c>
      <c r="N319">
        <v>1</v>
      </c>
      <c r="O319">
        <v>14</v>
      </c>
      <c r="P319" t="s">
        <v>154</v>
      </c>
      <c r="Q319" t="s">
        <v>28</v>
      </c>
      <c r="R319" t="s">
        <v>28</v>
      </c>
      <c r="S319" t="s">
        <v>28</v>
      </c>
      <c r="T319" t="s">
        <v>28</v>
      </c>
      <c r="U319" t="s">
        <v>28</v>
      </c>
      <c r="V319" t="s">
        <v>28</v>
      </c>
      <c r="W319">
        <v>6</v>
      </c>
      <c r="X319" t="s">
        <v>151</v>
      </c>
    </row>
    <row r="320" spans="1:24" x14ac:dyDescent="0.2">
      <c r="A320" t="str">
        <f t="shared" si="12"/>
        <v>sample_miseq-16S-D-C07-L6_SICap-P15-C7-P4D14-BHI-C4R1-yesBile-rep1-day14</v>
      </c>
      <c r="B320" s="1" t="s">
        <v>492</v>
      </c>
      <c r="C320" s="3" t="s">
        <v>1068</v>
      </c>
      <c r="D320" s="3" t="s">
        <v>1327</v>
      </c>
      <c r="E320" t="s">
        <v>20</v>
      </c>
      <c r="F320" t="s">
        <v>152</v>
      </c>
      <c r="G320" t="s">
        <v>71</v>
      </c>
      <c r="H320" t="str">
        <f t="shared" si="13"/>
        <v>07</v>
      </c>
      <c r="I320" t="str">
        <f t="shared" si="14"/>
        <v>C</v>
      </c>
      <c r="J320" t="s">
        <v>153</v>
      </c>
      <c r="K320" t="s">
        <v>65</v>
      </c>
      <c r="L320" t="s">
        <v>142</v>
      </c>
      <c r="M320" t="s">
        <v>41</v>
      </c>
      <c r="N320">
        <v>1</v>
      </c>
      <c r="O320">
        <v>14</v>
      </c>
      <c r="P320" t="s">
        <v>154</v>
      </c>
      <c r="Q320" t="s">
        <v>28</v>
      </c>
      <c r="R320" t="s">
        <v>28</v>
      </c>
      <c r="S320" t="s">
        <v>28</v>
      </c>
      <c r="T320" t="s">
        <v>28</v>
      </c>
      <c r="U320" t="s">
        <v>28</v>
      </c>
      <c r="V320" t="s">
        <v>28</v>
      </c>
      <c r="W320">
        <v>6</v>
      </c>
      <c r="X320" t="s">
        <v>151</v>
      </c>
    </row>
    <row r="321" spans="1:24" x14ac:dyDescent="0.2">
      <c r="A321" t="str">
        <f t="shared" si="12"/>
        <v>sample_miseq-16S-D-C08-L6_SICap-P15-C8-P4D14-BHI-C4R2-yesBile-rep1-day14</v>
      </c>
      <c r="B321" s="1" t="s">
        <v>493</v>
      </c>
      <c r="C321" s="3" t="s">
        <v>1069</v>
      </c>
      <c r="D321" s="3" t="s">
        <v>1327</v>
      </c>
      <c r="E321" t="s">
        <v>20</v>
      </c>
      <c r="F321" t="s">
        <v>152</v>
      </c>
      <c r="G321" t="s">
        <v>72</v>
      </c>
      <c r="H321" t="str">
        <f t="shared" si="13"/>
        <v>08</v>
      </c>
      <c r="I321" t="str">
        <f t="shared" si="14"/>
        <v>C</v>
      </c>
      <c r="J321" t="s">
        <v>153</v>
      </c>
      <c r="K321" t="s">
        <v>65</v>
      </c>
      <c r="L321" t="s">
        <v>142</v>
      </c>
      <c r="M321" t="s">
        <v>43</v>
      </c>
      <c r="N321">
        <v>1</v>
      </c>
      <c r="O321">
        <v>14</v>
      </c>
      <c r="P321" t="s">
        <v>154</v>
      </c>
      <c r="Q321" t="s">
        <v>28</v>
      </c>
      <c r="R321" t="s">
        <v>28</v>
      </c>
      <c r="S321" t="s">
        <v>28</v>
      </c>
      <c r="T321" t="s">
        <v>28</v>
      </c>
      <c r="U321" t="s">
        <v>28</v>
      </c>
      <c r="V321" t="s">
        <v>28</v>
      </c>
      <c r="W321">
        <v>6</v>
      </c>
      <c r="X321" t="s">
        <v>151</v>
      </c>
    </row>
    <row r="322" spans="1:24" x14ac:dyDescent="0.2">
      <c r="A322" t="str">
        <f t="shared" si="12"/>
        <v>sample_miseq-16S-D-C09-L6_SICap-P15-C9-P4D14-BHI-S1R2-yesBile-rep1-day14</v>
      </c>
      <c r="B322" s="1" t="s">
        <v>494</v>
      </c>
      <c r="C322" s="3" t="s">
        <v>1070</v>
      </c>
      <c r="D322" s="3" t="s">
        <v>1327</v>
      </c>
      <c r="E322" t="s">
        <v>20</v>
      </c>
      <c r="F322" t="s">
        <v>152</v>
      </c>
      <c r="G322" t="s">
        <v>73</v>
      </c>
      <c r="H322" t="str">
        <f t="shared" si="13"/>
        <v>09</v>
      </c>
      <c r="I322" t="str">
        <f t="shared" si="14"/>
        <v>C</v>
      </c>
      <c r="J322" t="s">
        <v>153</v>
      </c>
      <c r="K322" t="s">
        <v>65</v>
      </c>
      <c r="L322" t="s">
        <v>142</v>
      </c>
      <c r="M322" t="s">
        <v>45</v>
      </c>
      <c r="N322">
        <v>1</v>
      </c>
      <c r="O322">
        <v>14</v>
      </c>
      <c r="P322" t="s">
        <v>154</v>
      </c>
      <c r="Q322" t="s">
        <v>28</v>
      </c>
      <c r="R322" t="s">
        <v>28</v>
      </c>
      <c r="S322" t="s">
        <v>28</v>
      </c>
      <c r="T322" t="s">
        <v>28</v>
      </c>
      <c r="U322" t="s">
        <v>28</v>
      </c>
      <c r="V322" t="s">
        <v>28</v>
      </c>
      <c r="W322">
        <v>6</v>
      </c>
      <c r="X322" t="s">
        <v>151</v>
      </c>
    </row>
    <row r="323" spans="1:24" x14ac:dyDescent="0.2">
      <c r="A323" t="str">
        <f t="shared" ref="A323:A386" si="15">_xlfn.CONCAT("sample_miseq-",C323)</f>
        <v>sample_miseq-16S-D-C10-L6_SICap-P15-C10-P4D14-BHI-StoolPool-yesBile-rep1-day14</v>
      </c>
      <c r="B323" s="1" t="s">
        <v>495</v>
      </c>
      <c r="C323" s="3" t="s">
        <v>1071</v>
      </c>
      <c r="D323" s="3" t="s">
        <v>1327</v>
      </c>
      <c r="E323" t="s">
        <v>20</v>
      </c>
      <c r="F323" t="s">
        <v>152</v>
      </c>
      <c r="G323" t="s">
        <v>74</v>
      </c>
      <c r="H323" t="str">
        <f t="shared" ref="H323:H386" si="16">RIGHT(G323,2)</f>
        <v>10</v>
      </c>
      <c r="I323" t="str">
        <f t="shared" ref="I323:I386" si="17">LEFT(G323)</f>
        <v>C</v>
      </c>
      <c r="J323" t="s">
        <v>153</v>
      </c>
      <c r="K323" t="s">
        <v>65</v>
      </c>
      <c r="L323" t="s">
        <v>142</v>
      </c>
      <c r="M323" t="s">
        <v>47</v>
      </c>
      <c r="N323">
        <v>1</v>
      </c>
      <c r="O323">
        <v>14</v>
      </c>
      <c r="P323" t="s">
        <v>154</v>
      </c>
      <c r="Q323" t="s">
        <v>28</v>
      </c>
      <c r="R323" t="s">
        <v>28</v>
      </c>
      <c r="S323" t="s">
        <v>28</v>
      </c>
      <c r="T323" t="s">
        <v>28</v>
      </c>
      <c r="U323" t="s">
        <v>28</v>
      </c>
      <c r="V323" t="s">
        <v>28</v>
      </c>
      <c r="W323">
        <v>6</v>
      </c>
      <c r="X323" t="s">
        <v>151</v>
      </c>
    </row>
    <row r="324" spans="1:24" x14ac:dyDescent="0.2">
      <c r="A324" t="str">
        <f t="shared" si="15"/>
        <v>sample_miseq-16S-D-C11-L6_SICap-P15-C11-P4D14-BHI-SIPool-yesBile-rep1-day14</v>
      </c>
      <c r="B324" s="1" t="s">
        <v>496</v>
      </c>
      <c r="C324" s="3" t="s">
        <v>1072</v>
      </c>
      <c r="D324" s="3" t="s">
        <v>1327</v>
      </c>
      <c r="E324" t="s">
        <v>20</v>
      </c>
      <c r="F324" t="s">
        <v>152</v>
      </c>
      <c r="G324" t="s">
        <v>75</v>
      </c>
      <c r="H324" t="str">
        <f t="shared" si="16"/>
        <v>11</v>
      </c>
      <c r="I324" t="str">
        <f t="shared" si="17"/>
        <v>C</v>
      </c>
      <c r="J324" t="s">
        <v>153</v>
      </c>
      <c r="K324" t="s">
        <v>65</v>
      </c>
      <c r="L324" t="s">
        <v>142</v>
      </c>
      <c r="M324" t="s">
        <v>49</v>
      </c>
      <c r="N324">
        <v>1</v>
      </c>
      <c r="O324">
        <v>14</v>
      </c>
      <c r="P324" t="s">
        <v>154</v>
      </c>
      <c r="Q324" t="s">
        <v>28</v>
      </c>
      <c r="R324" t="s">
        <v>28</v>
      </c>
      <c r="S324" t="s">
        <v>28</v>
      </c>
      <c r="T324" t="s">
        <v>28</v>
      </c>
      <c r="U324" t="s">
        <v>28</v>
      </c>
      <c r="V324" t="s">
        <v>28</v>
      </c>
      <c r="W324">
        <v>6</v>
      </c>
      <c r="X324" t="s">
        <v>151</v>
      </c>
    </row>
    <row r="325" spans="1:24" x14ac:dyDescent="0.2">
      <c r="A325" t="str">
        <f t="shared" si="15"/>
        <v>sample_miseq-16S-D-C12-L6_SICap-P15-C12-P4D14-BHI-Media-yesBile-rep1-day14</v>
      </c>
      <c r="B325" s="1" t="s">
        <v>497</v>
      </c>
      <c r="C325" s="3" t="s">
        <v>1073</v>
      </c>
      <c r="D325" s="3" t="s">
        <v>1327</v>
      </c>
      <c r="E325" t="s">
        <v>20</v>
      </c>
      <c r="F325" t="s">
        <v>152</v>
      </c>
      <c r="G325" t="s">
        <v>76</v>
      </c>
      <c r="H325" t="str">
        <f t="shared" si="16"/>
        <v>12</v>
      </c>
      <c r="I325" t="str">
        <f t="shared" si="17"/>
        <v>C</v>
      </c>
      <c r="J325" t="s">
        <v>153</v>
      </c>
      <c r="K325" t="s">
        <v>65</v>
      </c>
      <c r="L325" t="s">
        <v>142</v>
      </c>
      <c r="M325" t="s">
        <v>6</v>
      </c>
      <c r="N325">
        <v>1</v>
      </c>
      <c r="O325">
        <v>14</v>
      </c>
      <c r="P325" t="s">
        <v>154</v>
      </c>
      <c r="Q325" t="s">
        <v>28</v>
      </c>
      <c r="R325" t="s">
        <v>28</v>
      </c>
      <c r="S325" t="s">
        <v>28</v>
      </c>
      <c r="T325" t="s">
        <v>28</v>
      </c>
      <c r="U325" t="s">
        <v>28</v>
      </c>
      <c r="V325" t="s">
        <v>28</v>
      </c>
      <c r="W325">
        <v>6</v>
      </c>
      <c r="X325" t="s">
        <v>151</v>
      </c>
    </row>
    <row r="326" spans="1:24" x14ac:dyDescent="0.2">
      <c r="A326" t="str">
        <f t="shared" si="15"/>
        <v>sample_miseq-16S-D-D01-L6_SICap-P15-D1-P4D14-GAM-C1R1-yesBile-rep1-day14</v>
      </c>
      <c r="B326" s="1" t="s">
        <v>498</v>
      </c>
      <c r="C326" s="3" t="s">
        <v>1074</v>
      </c>
      <c r="D326" s="3" t="s">
        <v>1327</v>
      </c>
      <c r="E326" t="s">
        <v>20</v>
      </c>
      <c r="F326" t="s">
        <v>152</v>
      </c>
      <c r="G326" t="s">
        <v>77</v>
      </c>
      <c r="H326" t="str">
        <f t="shared" si="16"/>
        <v>01</v>
      </c>
      <c r="I326" t="str">
        <f t="shared" si="17"/>
        <v>D</v>
      </c>
      <c r="J326" t="s">
        <v>153</v>
      </c>
      <c r="K326" t="s">
        <v>78</v>
      </c>
      <c r="L326" t="s">
        <v>142</v>
      </c>
      <c r="M326" t="s">
        <v>26</v>
      </c>
      <c r="N326">
        <v>1</v>
      </c>
      <c r="O326">
        <v>14</v>
      </c>
      <c r="P326" t="s">
        <v>154</v>
      </c>
      <c r="Q326" t="s">
        <v>28</v>
      </c>
      <c r="R326" t="s">
        <v>28</v>
      </c>
      <c r="S326" t="s">
        <v>28</v>
      </c>
      <c r="T326" t="s">
        <v>28</v>
      </c>
      <c r="U326" t="s">
        <v>28</v>
      </c>
      <c r="V326" t="s">
        <v>28</v>
      </c>
      <c r="W326">
        <v>6</v>
      </c>
      <c r="X326" t="s">
        <v>151</v>
      </c>
    </row>
    <row r="327" spans="1:24" x14ac:dyDescent="0.2">
      <c r="A327" t="str">
        <f t="shared" si="15"/>
        <v>sample_miseq-16S-D-D02-L6_SICap-P15-D2-P4D14-GAM-C1R2-yesBile-rep1-day14</v>
      </c>
      <c r="B327" s="1" t="s">
        <v>499</v>
      </c>
      <c r="C327" s="3" t="s">
        <v>1075</v>
      </c>
      <c r="D327" s="3" t="s">
        <v>1327</v>
      </c>
      <c r="E327" t="s">
        <v>20</v>
      </c>
      <c r="F327" t="s">
        <v>152</v>
      </c>
      <c r="G327" t="s">
        <v>79</v>
      </c>
      <c r="H327" t="str">
        <f t="shared" si="16"/>
        <v>02</v>
      </c>
      <c r="I327" t="str">
        <f t="shared" si="17"/>
        <v>D</v>
      </c>
      <c r="J327" t="s">
        <v>153</v>
      </c>
      <c r="K327" t="s">
        <v>78</v>
      </c>
      <c r="L327" t="s">
        <v>142</v>
      </c>
      <c r="M327" t="s">
        <v>31</v>
      </c>
      <c r="N327">
        <v>1</v>
      </c>
      <c r="O327">
        <v>14</v>
      </c>
      <c r="P327" t="s">
        <v>154</v>
      </c>
      <c r="Q327" t="s">
        <v>28</v>
      </c>
      <c r="R327" t="s">
        <v>28</v>
      </c>
      <c r="S327" t="s">
        <v>28</v>
      </c>
      <c r="T327" t="s">
        <v>28</v>
      </c>
      <c r="U327" t="s">
        <v>28</v>
      </c>
      <c r="V327" t="s">
        <v>28</v>
      </c>
      <c r="W327">
        <v>6</v>
      </c>
      <c r="X327" t="s">
        <v>151</v>
      </c>
    </row>
    <row r="328" spans="1:24" x14ac:dyDescent="0.2">
      <c r="A328" t="str">
        <f t="shared" si="15"/>
        <v>sample_miseq-16S-D-D03-L6_SICap-P15-D3-P4D14-GAM-C2R1-yesBile-rep1-day14</v>
      </c>
      <c r="B328" s="1" t="s">
        <v>500</v>
      </c>
      <c r="C328" s="3" t="s">
        <v>1076</v>
      </c>
      <c r="D328" s="3" t="s">
        <v>1327</v>
      </c>
      <c r="E328" t="s">
        <v>20</v>
      </c>
      <c r="F328" t="s">
        <v>152</v>
      </c>
      <c r="G328" t="s">
        <v>80</v>
      </c>
      <c r="H328" t="str">
        <f t="shared" si="16"/>
        <v>03</v>
      </c>
      <c r="I328" t="str">
        <f t="shared" si="17"/>
        <v>D</v>
      </c>
      <c r="J328" t="s">
        <v>153</v>
      </c>
      <c r="K328" t="s">
        <v>78</v>
      </c>
      <c r="L328" t="s">
        <v>142</v>
      </c>
      <c r="M328" t="s">
        <v>33</v>
      </c>
      <c r="N328">
        <v>1</v>
      </c>
      <c r="O328">
        <v>14</v>
      </c>
      <c r="P328" t="s">
        <v>154</v>
      </c>
      <c r="Q328" t="s">
        <v>28</v>
      </c>
      <c r="R328" t="s">
        <v>28</v>
      </c>
      <c r="S328" t="s">
        <v>28</v>
      </c>
      <c r="T328" t="s">
        <v>28</v>
      </c>
      <c r="U328" t="s">
        <v>28</v>
      </c>
      <c r="V328" t="s">
        <v>28</v>
      </c>
      <c r="W328">
        <v>6</v>
      </c>
      <c r="X328" t="s">
        <v>151</v>
      </c>
    </row>
    <row r="329" spans="1:24" x14ac:dyDescent="0.2">
      <c r="A329" t="str">
        <f t="shared" si="15"/>
        <v>sample_miseq-16S-D-D04-L6_SICap-P15-D4-P4D14-GAM-C2R2-yesBile-rep1-day14</v>
      </c>
      <c r="B329" s="1" t="s">
        <v>501</v>
      </c>
      <c r="C329" s="3" t="s">
        <v>1077</v>
      </c>
      <c r="D329" s="3" t="s">
        <v>1327</v>
      </c>
      <c r="E329" t="s">
        <v>20</v>
      </c>
      <c r="F329" t="s">
        <v>152</v>
      </c>
      <c r="G329" t="s">
        <v>81</v>
      </c>
      <c r="H329" t="str">
        <f t="shared" si="16"/>
        <v>04</v>
      </c>
      <c r="I329" t="str">
        <f t="shared" si="17"/>
        <v>D</v>
      </c>
      <c r="J329" t="s">
        <v>153</v>
      </c>
      <c r="K329" t="s">
        <v>78</v>
      </c>
      <c r="L329" t="s">
        <v>142</v>
      </c>
      <c r="M329" t="s">
        <v>35</v>
      </c>
      <c r="N329">
        <v>1</v>
      </c>
      <c r="O329">
        <v>14</v>
      </c>
      <c r="P329" t="s">
        <v>154</v>
      </c>
      <c r="Q329" t="s">
        <v>28</v>
      </c>
      <c r="R329" t="s">
        <v>28</v>
      </c>
      <c r="S329" t="s">
        <v>28</v>
      </c>
      <c r="T329" t="s">
        <v>28</v>
      </c>
      <c r="U329" t="s">
        <v>28</v>
      </c>
      <c r="V329" t="s">
        <v>28</v>
      </c>
      <c r="W329">
        <v>6</v>
      </c>
      <c r="X329" t="s">
        <v>151</v>
      </c>
    </row>
    <row r="330" spans="1:24" x14ac:dyDescent="0.2">
      <c r="A330" t="str">
        <f t="shared" si="15"/>
        <v>sample_miseq-16S-D-D05-L6_SICap-P15-D5-P4D14-GAM-C3R1-yesBile-rep1-day14</v>
      </c>
      <c r="B330" s="1" t="s">
        <v>502</v>
      </c>
      <c r="C330" s="3" t="s">
        <v>1078</v>
      </c>
      <c r="D330" s="3" t="s">
        <v>1327</v>
      </c>
      <c r="E330" t="s">
        <v>20</v>
      </c>
      <c r="F330" t="s">
        <v>152</v>
      </c>
      <c r="G330" t="s">
        <v>82</v>
      </c>
      <c r="H330" t="str">
        <f t="shared" si="16"/>
        <v>05</v>
      </c>
      <c r="I330" t="str">
        <f t="shared" si="17"/>
        <v>D</v>
      </c>
      <c r="J330" t="s">
        <v>153</v>
      </c>
      <c r="K330" t="s">
        <v>78</v>
      </c>
      <c r="L330" t="s">
        <v>142</v>
      </c>
      <c r="M330" t="s">
        <v>37</v>
      </c>
      <c r="N330">
        <v>1</v>
      </c>
      <c r="O330">
        <v>14</v>
      </c>
      <c r="P330" t="s">
        <v>154</v>
      </c>
      <c r="Q330" t="s">
        <v>28</v>
      </c>
      <c r="R330" t="s">
        <v>28</v>
      </c>
      <c r="S330" t="s">
        <v>28</v>
      </c>
      <c r="T330" t="s">
        <v>28</v>
      </c>
      <c r="U330" t="s">
        <v>28</v>
      </c>
      <c r="V330" t="s">
        <v>28</v>
      </c>
      <c r="W330">
        <v>6</v>
      </c>
      <c r="X330" t="s">
        <v>151</v>
      </c>
    </row>
    <row r="331" spans="1:24" x14ac:dyDescent="0.2">
      <c r="A331" t="str">
        <f t="shared" si="15"/>
        <v>sample_miseq-16S-D-D06-L6_SICap-P15-D6-P4D14-GAM-C3R2-yesBile-rep1-day14</v>
      </c>
      <c r="B331" s="1" t="s">
        <v>503</v>
      </c>
      <c r="C331" s="3" t="s">
        <v>1079</v>
      </c>
      <c r="D331" s="3" t="s">
        <v>1327</v>
      </c>
      <c r="E331" t="s">
        <v>20</v>
      </c>
      <c r="F331" t="s">
        <v>152</v>
      </c>
      <c r="G331" t="s">
        <v>83</v>
      </c>
      <c r="H331" t="str">
        <f t="shared" si="16"/>
        <v>06</v>
      </c>
      <c r="I331" t="str">
        <f t="shared" si="17"/>
        <v>D</v>
      </c>
      <c r="J331" t="s">
        <v>153</v>
      </c>
      <c r="K331" t="s">
        <v>78</v>
      </c>
      <c r="L331" t="s">
        <v>142</v>
      </c>
      <c r="M331" t="s">
        <v>39</v>
      </c>
      <c r="N331">
        <v>1</v>
      </c>
      <c r="O331">
        <v>14</v>
      </c>
      <c r="P331" t="s">
        <v>154</v>
      </c>
      <c r="Q331" t="s">
        <v>28</v>
      </c>
      <c r="R331" t="s">
        <v>28</v>
      </c>
      <c r="S331" t="s">
        <v>28</v>
      </c>
      <c r="T331" t="s">
        <v>28</v>
      </c>
      <c r="U331" t="s">
        <v>28</v>
      </c>
      <c r="V331" t="s">
        <v>28</v>
      </c>
      <c r="W331">
        <v>6</v>
      </c>
      <c r="X331" t="s">
        <v>151</v>
      </c>
    </row>
    <row r="332" spans="1:24" x14ac:dyDescent="0.2">
      <c r="A332" t="str">
        <f t="shared" si="15"/>
        <v>sample_miseq-16S-D-D07-L6_SICap-P15-D7-P4D14-GAM-C4R1-yesBile-rep1-day14</v>
      </c>
      <c r="B332" s="1" t="s">
        <v>504</v>
      </c>
      <c r="C332" s="3" t="s">
        <v>1080</v>
      </c>
      <c r="D332" s="3" t="s">
        <v>1327</v>
      </c>
      <c r="E332" t="s">
        <v>20</v>
      </c>
      <c r="F332" t="s">
        <v>152</v>
      </c>
      <c r="G332" t="s">
        <v>84</v>
      </c>
      <c r="H332" t="str">
        <f t="shared" si="16"/>
        <v>07</v>
      </c>
      <c r="I332" t="str">
        <f t="shared" si="17"/>
        <v>D</v>
      </c>
      <c r="J332" t="s">
        <v>153</v>
      </c>
      <c r="K332" t="s">
        <v>78</v>
      </c>
      <c r="L332" t="s">
        <v>142</v>
      </c>
      <c r="M332" t="s">
        <v>41</v>
      </c>
      <c r="N332">
        <v>1</v>
      </c>
      <c r="O332">
        <v>14</v>
      </c>
      <c r="P332" t="s">
        <v>154</v>
      </c>
      <c r="Q332" t="s">
        <v>28</v>
      </c>
      <c r="R332" t="s">
        <v>28</v>
      </c>
      <c r="S332" t="s">
        <v>28</v>
      </c>
      <c r="T332" t="s">
        <v>28</v>
      </c>
      <c r="U332" t="s">
        <v>28</v>
      </c>
      <c r="V332" t="s">
        <v>28</v>
      </c>
      <c r="W332">
        <v>6</v>
      </c>
      <c r="X332" t="s">
        <v>151</v>
      </c>
    </row>
    <row r="333" spans="1:24" x14ac:dyDescent="0.2">
      <c r="A333" t="str">
        <f t="shared" si="15"/>
        <v>sample_miseq-16S-D-D08-L6_SICap-P15-D8-P4D14-GAM-C4R2-yesBile-rep1-day14</v>
      </c>
      <c r="B333" s="1" t="s">
        <v>505</v>
      </c>
      <c r="C333" s="3" t="s">
        <v>1081</v>
      </c>
      <c r="D333" s="3" t="s">
        <v>1327</v>
      </c>
      <c r="E333" t="s">
        <v>20</v>
      </c>
      <c r="F333" t="s">
        <v>152</v>
      </c>
      <c r="G333" t="s">
        <v>85</v>
      </c>
      <c r="H333" t="str">
        <f t="shared" si="16"/>
        <v>08</v>
      </c>
      <c r="I333" t="str">
        <f t="shared" si="17"/>
        <v>D</v>
      </c>
      <c r="J333" t="s">
        <v>153</v>
      </c>
      <c r="K333" t="s">
        <v>78</v>
      </c>
      <c r="L333" t="s">
        <v>142</v>
      </c>
      <c r="M333" t="s">
        <v>43</v>
      </c>
      <c r="N333">
        <v>1</v>
      </c>
      <c r="O333">
        <v>14</v>
      </c>
      <c r="P333" t="s">
        <v>154</v>
      </c>
      <c r="Q333" t="s">
        <v>28</v>
      </c>
      <c r="R333" t="s">
        <v>28</v>
      </c>
      <c r="S333" t="s">
        <v>28</v>
      </c>
      <c r="T333" t="s">
        <v>28</v>
      </c>
      <c r="U333" t="s">
        <v>28</v>
      </c>
      <c r="V333" t="s">
        <v>28</v>
      </c>
      <c r="W333">
        <v>6</v>
      </c>
      <c r="X333" t="s">
        <v>151</v>
      </c>
    </row>
    <row r="334" spans="1:24" x14ac:dyDescent="0.2">
      <c r="A334" t="str">
        <f t="shared" si="15"/>
        <v>sample_miseq-16S-D-D09-L6_SICap-P15-D9-P4D14-GAM-S1R2-yesBile-rep1-day14</v>
      </c>
      <c r="B334" s="1" t="s">
        <v>506</v>
      </c>
      <c r="C334" s="3" t="s">
        <v>1082</v>
      </c>
      <c r="D334" s="3" t="s">
        <v>1327</v>
      </c>
      <c r="E334" t="s">
        <v>20</v>
      </c>
      <c r="F334" t="s">
        <v>152</v>
      </c>
      <c r="G334" t="s">
        <v>86</v>
      </c>
      <c r="H334" t="str">
        <f t="shared" si="16"/>
        <v>09</v>
      </c>
      <c r="I334" t="str">
        <f t="shared" si="17"/>
        <v>D</v>
      </c>
      <c r="J334" t="s">
        <v>153</v>
      </c>
      <c r="K334" t="s">
        <v>78</v>
      </c>
      <c r="L334" t="s">
        <v>142</v>
      </c>
      <c r="M334" t="s">
        <v>45</v>
      </c>
      <c r="N334">
        <v>1</v>
      </c>
      <c r="O334">
        <v>14</v>
      </c>
      <c r="P334" t="s">
        <v>154</v>
      </c>
      <c r="Q334" t="s">
        <v>28</v>
      </c>
      <c r="R334" t="s">
        <v>28</v>
      </c>
      <c r="S334" t="s">
        <v>28</v>
      </c>
      <c r="T334" t="s">
        <v>28</v>
      </c>
      <c r="U334" t="s">
        <v>28</v>
      </c>
      <c r="V334" t="s">
        <v>28</v>
      </c>
      <c r="W334">
        <v>6</v>
      </c>
      <c r="X334" t="s">
        <v>151</v>
      </c>
    </row>
    <row r="335" spans="1:24" x14ac:dyDescent="0.2">
      <c r="A335" t="str">
        <f t="shared" si="15"/>
        <v>sample_miseq-16S-D-D10-L6_SICap-P15-D10-P4D14-GAM-StoolPool-yesBile-rep1-day14</v>
      </c>
      <c r="B335" s="1" t="s">
        <v>507</v>
      </c>
      <c r="C335" s="3" t="s">
        <v>1083</v>
      </c>
      <c r="D335" s="3" t="s">
        <v>1327</v>
      </c>
      <c r="E335" t="s">
        <v>20</v>
      </c>
      <c r="F335" t="s">
        <v>152</v>
      </c>
      <c r="G335" t="s">
        <v>87</v>
      </c>
      <c r="H335" t="str">
        <f t="shared" si="16"/>
        <v>10</v>
      </c>
      <c r="I335" t="str">
        <f t="shared" si="17"/>
        <v>D</v>
      </c>
      <c r="J335" t="s">
        <v>153</v>
      </c>
      <c r="K335" t="s">
        <v>78</v>
      </c>
      <c r="L335" t="s">
        <v>142</v>
      </c>
      <c r="M335" t="s">
        <v>47</v>
      </c>
      <c r="N335">
        <v>1</v>
      </c>
      <c r="O335">
        <v>14</v>
      </c>
      <c r="P335" t="s">
        <v>154</v>
      </c>
      <c r="Q335" t="s">
        <v>28</v>
      </c>
      <c r="R335" t="s">
        <v>28</v>
      </c>
      <c r="S335" t="s">
        <v>28</v>
      </c>
      <c r="T335" t="s">
        <v>28</v>
      </c>
      <c r="U335" t="s">
        <v>28</v>
      </c>
      <c r="V335" t="s">
        <v>28</v>
      </c>
      <c r="W335">
        <v>6</v>
      </c>
      <c r="X335" t="s">
        <v>151</v>
      </c>
    </row>
    <row r="336" spans="1:24" x14ac:dyDescent="0.2">
      <c r="A336" t="str">
        <f t="shared" si="15"/>
        <v>sample_miseq-16S-D-D11-L6_SICap-P15-D11-P4D14-GAM-SIPool-yesBile-rep1-day14</v>
      </c>
      <c r="B336" s="1" t="s">
        <v>508</v>
      </c>
      <c r="C336" s="3" t="s">
        <v>1084</v>
      </c>
      <c r="D336" s="3" t="s">
        <v>1327</v>
      </c>
      <c r="E336" t="s">
        <v>20</v>
      </c>
      <c r="F336" t="s">
        <v>152</v>
      </c>
      <c r="G336" t="s">
        <v>88</v>
      </c>
      <c r="H336" t="str">
        <f t="shared" si="16"/>
        <v>11</v>
      </c>
      <c r="I336" t="str">
        <f t="shared" si="17"/>
        <v>D</v>
      </c>
      <c r="J336" t="s">
        <v>153</v>
      </c>
      <c r="K336" t="s">
        <v>78</v>
      </c>
      <c r="L336" t="s">
        <v>142</v>
      </c>
      <c r="M336" t="s">
        <v>49</v>
      </c>
      <c r="N336">
        <v>1</v>
      </c>
      <c r="O336">
        <v>14</v>
      </c>
      <c r="P336" t="s">
        <v>154</v>
      </c>
      <c r="Q336" t="s">
        <v>28</v>
      </c>
      <c r="R336" t="s">
        <v>28</v>
      </c>
      <c r="S336" t="s">
        <v>28</v>
      </c>
      <c r="T336" t="s">
        <v>28</v>
      </c>
      <c r="U336" t="s">
        <v>28</v>
      </c>
      <c r="V336" t="s">
        <v>28</v>
      </c>
      <c r="W336">
        <v>6</v>
      </c>
      <c r="X336" t="s">
        <v>151</v>
      </c>
    </row>
    <row r="337" spans="1:24" x14ac:dyDescent="0.2">
      <c r="A337" t="str">
        <f t="shared" si="15"/>
        <v>sample_miseq-16S-D-D12-L6_SICap-P15-D12-P4D14-GAM-Media-yesBile-rep1-day14</v>
      </c>
      <c r="B337" s="1" t="s">
        <v>509</v>
      </c>
      <c r="C337" s="3" t="s">
        <v>1085</v>
      </c>
      <c r="D337" s="3" t="s">
        <v>1327</v>
      </c>
      <c r="E337" t="s">
        <v>20</v>
      </c>
      <c r="F337" t="s">
        <v>152</v>
      </c>
      <c r="G337" t="s">
        <v>89</v>
      </c>
      <c r="H337" t="str">
        <f t="shared" si="16"/>
        <v>12</v>
      </c>
      <c r="I337" t="str">
        <f t="shared" si="17"/>
        <v>D</v>
      </c>
      <c r="J337" t="s">
        <v>153</v>
      </c>
      <c r="K337" t="s">
        <v>78</v>
      </c>
      <c r="L337" t="s">
        <v>142</v>
      </c>
      <c r="M337" t="s">
        <v>6</v>
      </c>
      <c r="N337">
        <v>1</v>
      </c>
      <c r="O337">
        <v>14</v>
      </c>
      <c r="P337" t="s">
        <v>154</v>
      </c>
      <c r="Q337" t="s">
        <v>28</v>
      </c>
      <c r="R337" t="s">
        <v>28</v>
      </c>
      <c r="S337" t="s">
        <v>28</v>
      </c>
      <c r="T337" t="s">
        <v>28</v>
      </c>
      <c r="U337" t="s">
        <v>28</v>
      </c>
      <c r="V337" t="s">
        <v>28</v>
      </c>
      <c r="W337">
        <v>6</v>
      </c>
      <c r="X337" t="s">
        <v>151</v>
      </c>
    </row>
    <row r="338" spans="1:24" x14ac:dyDescent="0.2">
      <c r="A338" t="str">
        <f t="shared" si="15"/>
        <v>sample_miseq-16S-D-E01-L6_SICap-P15-E1-P4D14-BB-C1R1-yesBile-rep1-day14</v>
      </c>
      <c r="B338" s="1" t="s">
        <v>510</v>
      </c>
      <c r="C338" s="3" t="s">
        <v>1086</v>
      </c>
      <c r="D338" s="3" t="s">
        <v>1327</v>
      </c>
      <c r="E338" t="s">
        <v>20</v>
      </c>
      <c r="F338" t="s">
        <v>152</v>
      </c>
      <c r="G338" t="s">
        <v>90</v>
      </c>
      <c r="H338" t="str">
        <f t="shared" si="16"/>
        <v>01</v>
      </c>
      <c r="I338" t="str">
        <f t="shared" si="17"/>
        <v>E</v>
      </c>
      <c r="J338" t="s">
        <v>153</v>
      </c>
      <c r="K338" t="s">
        <v>91</v>
      </c>
      <c r="L338" t="s">
        <v>142</v>
      </c>
      <c r="M338" t="s">
        <v>26</v>
      </c>
      <c r="N338">
        <v>1</v>
      </c>
      <c r="O338">
        <v>14</v>
      </c>
      <c r="P338" t="s">
        <v>154</v>
      </c>
      <c r="Q338" t="s">
        <v>28</v>
      </c>
      <c r="R338" t="s">
        <v>28</v>
      </c>
      <c r="S338" t="s">
        <v>28</v>
      </c>
      <c r="T338" t="s">
        <v>28</v>
      </c>
      <c r="U338" t="s">
        <v>28</v>
      </c>
      <c r="V338" t="s">
        <v>28</v>
      </c>
      <c r="W338">
        <v>6</v>
      </c>
      <c r="X338" t="s">
        <v>151</v>
      </c>
    </row>
    <row r="339" spans="1:24" x14ac:dyDescent="0.2">
      <c r="A339" t="str">
        <f t="shared" si="15"/>
        <v>sample_miseq-16S-D-E02-L6_SICap-P15-E2-P4D14-BB-C1R2-yesBile-rep1-day14</v>
      </c>
      <c r="B339" s="1" t="s">
        <v>511</v>
      </c>
      <c r="C339" s="3" t="s">
        <v>1087</v>
      </c>
      <c r="D339" s="3" t="s">
        <v>1327</v>
      </c>
      <c r="E339" t="s">
        <v>20</v>
      </c>
      <c r="F339" t="s">
        <v>152</v>
      </c>
      <c r="G339" t="s">
        <v>92</v>
      </c>
      <c r="H339" t="str">
        <f t="shared" si="16"/>
        <v>02</v>
      </c>
      <c r="I339" t="str">
        <f t="shared" si="17"/>
        <v>E</v>
      </c>
      <c r="J339" t="s">
        <v>153</v>
      </c>
      <c r="K339" t="s">
        <v>91</v>
      </c>
      <c r="L339" t="s">
        <v>142</v>
      </c>
      <c r="M339" t="s">
        <v>31</v>
      </c>
      <c r="N339">
        <v>1</v>
      </c>
      <c r="O339">
        <v>14</v>
      </c>
      <c r="P339" t="s">
        <v>154</v>
      </c>
      <c r="Q339" t="s">
        <v>28</v>
      </c>
      <c r="R339" t="s">
        <v>28</v>
      </c>
      <c r="S339" t="s">
        <v>28</v>
      </c>
      <c r="T339" t="s">
        <v>28</v>
      </c>
      <c r="U339" t="s">
        <v>28</v>
      </c>
      <c r="V339" t="s">
        <v>28</v>
      </c>
      <c r="W339">
        <v>6</v>
      </c>
      <c r="X339" t="s">
        <v>151</v>
      </c>
    </row>
    <row r="340" spans="1:24" x14ac:dyDescent="0.2">
      <c r="A340" t="str">
        <f t="shared" si="15"/>
        <v>sample_miseq-16S-D-E03-L6_SICap-P15-E3-P4D14-BB-C2R1-yesBile-rep1-day14</v>
      </c>
      <c r="B340" s="1" t="s">
        <v>512</v>
      </c>
      <c r="C340" s="3" t="s">
        <v>1088</v>
      </c>
      <c r="D340" s="3" t="s">
        <v>1327</v>
      </c>
      <c r="E340" t="s">
        <v>20</v>
      </c>
      <c r="F340" t="s">
        <v>152</v>
      </c>
      <c r="G340" t="s">
        <v>93</v>
      </c>
      <c r="H340" t="str">
        <f t="shared" si="16"/>
        <v>03</v>
      </c>
      <c r="I340" t="str">
        <f t="shared" si="17"/>
        <v>E</v>
      </c>
      <c r="J340" t="s">
        <v>153</v>
      </c>
      <c r="K340" t="s">
        <v>91</v>
      </c>
      <c r="L340" t="s">
        <v>142</v>
      </c>
      <c r="M340" t="s">
        <v>33</v>
      </c>
      <c r="N340">
        <v>1</v>
      </c>
      <c r="O340">
        <v>14</v>
      </c>
      <c r="P340" t="s">
        <v>154</v>
      </c>
      <c r="Q340" t="s">
        <v>28</v>
      </c>
      <c r="R340" t="s">
        <v>28</v>
      </c>
      <c r="S340" t="s">
        <v>28</v>
      </c>
      <c r="T340" t="s">
        <v>28</v>
      </c>
      <c r="U340" t="s">
        <v>28</v>
      </c>
      <c r="V340" t="s">
        <v>28</v>
      </c>
      <c r="W340">
        <v>6</v>
      </c>
      <c r="X340" t="s">
        <v>151</v>
      </c>
    </row>
    <row r="341" spans="1:24" x14ac:dyDescent="0.2">
      <c r="A341" t="str">
        <f t="shared" si="15"/>
        <v>sample_miseq-16S-D-E04-L6_SICap-P15-E4-P4D14-BB-C2R2-yesBile-rep1-day14</v>
      </c>
      <c r="B341" s="1" t="s">
        <v>513</v>
      </c>
      <c r="C341" s="3" t="s">
        <v>1089</v>
      </c>
      <c r="D341" s="3" t="s">
        <v>1327</v>
      </c>
      <c r="E341" t="s">
        <v>20</v>
      </c>
      <c r="F341" t="s">
        <v>152</v>
      </c>
      <c r="G341" t="s">
        <v>94</v>
      </c>
      <c r="H341" t="str">
        <f t="shared" si="16"/>
        <v>04</v>
      </c>
      <c r="I341" t="str">
        <f t="shared" si="17"/>
        <v>E</v>
      </c>
      <c r="J341" t="s">
        <v>153</v>
      </c>
      <c r="K341" t="s">
        <v>91</v>
      </c>
      <c r="L341" t="s">
        <v>142</v>
      </c>
      <c r="M341" t="s">
        <v>35</v>
      </c>
      <c r="N341">
        <v>1</v>
      </c>
      <c r="O341">
        <v>14</v>
      </c>
      <c r="P341" t="s">
        <v>154</v>
      </c>
      <c r="Q341" t="s">
        <v>28</v>
      </c>
      <c r="R341" t="s">
        <v>28</v>
      </c>
      <c r="S341" t="s">
        <v>28</v>
      </c>
      <c r="T341" t="s">
        <v>28</v>
      </c>
      <c r="U341" t="s">
        <v>28</v>
      </c>
      <c r="V341" t="s">
        <v>28</v>
      </c>
      <c r="W341">
        <v>6</v>
      </c>
      <c r="X341" t="s">
        <v>151</v>
      </c>
    </row>
    <row r="342" spans="1:24" x14ac:dyDescent="0.2">
      <c r="A342" t="str">
        <f t="shared" si="15"/>
        <v>sample_miseq-16S-D-E05-L6_SICap-P15-E5-P4D14-BB-C3R1-yesBile-rep1-day14</v>
      </c>
      <c r="B342" s="1" t="s">
        <v>514</v>
      </c>
      <c r="C342" s="3" t="s">
        <v>1090</v>
      </c>
      <c r="D342" s="3" t="s">
        <v>1327</v>
      </c>
      <c r="E342" t="s">
        <v>20</v>
      </c>
      <c r="F342" t="s">
        <v>152</v>
      </c>
      <c r="G342" t="s">
        <v>95</v>
      </c>
      <c r="H342" t="str">
        <f t="shared" si="16"/>
        <v>05</v>
      </c>
      <c r="I342" t="str">
        <f t="shared" si="17"/>
        <v>E</v>
      </c>
      <c r="J342" t="s">
        <v>153</v>
      </c>
      <c r="K342" t="s">
        <v>91</v>
      </c>
      <c r="L342" t="s">
        <v>142</v>
      </c>
      <c r="M342" t="s">
        <v>37</v>
      </c>
      <c r="N342">
        <v>1</v>
      </c>
      <c r="O342">
        <v>14</v>
      </c>
      <c r="P342" t="s">
        <v>154</v>
      </c>
      <c r="Q342" t="s">
        <v>28</v>
      </c>
      <c r="R342" t="s">
        <v>28</v>
      </c>
      <c r="S342" t="s">
        <v>28</v>
      </c>
      <c r="T342" t="s">
        <v>28</v>
      </c>
      <c r="U342" t="s">
        <v>28</v>
      </c>
      <c r="V342" t="s">
        <v>28</v>
      </c>
      <c r="W342">
        <v>6</v>
      </c>
      <c r="X342" t="s">
        <v>151</v>
      </c>
    </row>
    <row r="343" spans="1:24" x14ac:dyDescent="0.2">
      <c r="A343" t="str">
        <f t="shared" si="15"/>
        <v>sample_miseq-16S-D-E06-L6_SICap-P15-E6-P4D14-BB-C3R2-yesBile-rep1-day14</v>
      </c>
      <c r="B343" s="1" t="s">
        <v>515</v>
      </c>
      <c r="C343" s="3" t="s">
        <v>1091</v>
      </c>
      <c r="D343" s="3" t="s">
        <v>1327</v>
      </c>
      <c r="E343" t="s">
        <v>20</v>
      </c>
      <c r="F343" t="s">
        <v>152</v>
      </c>
      <c r="G343" t="s">
        <v>96</v>
      </c>
      <c r="H343" t="str">
        <f t="shared" si="16"/>
        <v>06</v>
      </c>
      <c r="I343" t="str">
        <f t="shared" si="17"/>
        <v>E</v>
      </c>
      <c r="J343" t="s">
        <v>153</v>
      </c>
      <c r="K343" t="s">
        <v>91</v>
      </c>
      <c r="L343" t="s">
        <v>142</v>
      </c>
      <c r="M343" t="s">
        <v>39</v>
      </c>
      <c r="N343">
        <v>1</v>
      </c>
      <c r="O343">
        <v>14</v>
      </c>
      <c r="P343" t="s">
        <v>154</v>
      </c>
      <c r="Q343" t="s">
        <v>28</v>
      </c>
      <c r="R343" t="s">
        <v>28</v>
      </c>
      <c r="S343" t="s">
        <v>28</v>
      </c>
      <c r="T343" t="s">
        <v>28</v>
      </c>
      <c r="U343" t="s">
        <v>28</v>
      </c>
      <c r="V343" t="s">
        <v>28</v>
      </c>
      <c r="W343">
        <v>6</v>
      </c>
      <c r="X343" t="s">
        <v>151</v>
      </c>
    </row>
    <row r="344" spans="1:24" x14ac:dyDescent="0.2">
      <c r="A344" t="str">
        <f t="shared" si="15"/>
        <v>sample_miseq-16S-D-E07-L6_SICap-P15-E7-P4D14-BB-C4R1-yesBile-rep1-day14</v>
      </c>
      <c r="B344" s="1" t="s">
        <v>516</v>
      </c>
      <c r="C344" s="3" t="s">
        <v>1092</v>
      </c>
      <c r="D344" s="3" t="s">
        <v>1327</v>
      </c>
      <c r="E344" t="s">
        <v>20</v>
      </c>
      <c r="F344" t="s">
        <v>152</v>
      </c>
      <c r="G344" t="s">
        <v>97</v>
      </c>
      <c r="H344" t="str">
        <f t="shared" si="16"/>
        <v>07</v>
      </c>
      <c r="I344" t="str">
        <f t="shared" si="17"/>
        <v>E</v>
      </c>
      <c r="J344" t="s">
        <v>153</v>
      </c>
      <c r="K344" t="s">
        <v>91</v>
      </c>
      <c r="L344" t="s">
        <v>142</v>
      </c>
      <c r="M344" t="s">
        <v>41</v>
      </c>
      <c r="N344">
        <v>1</v>
      </c>
      <c r="O344">
        <v>14</v>
      </c>
      <c r="P344" t="s">
        <v>154</v>
      </c>
      <c r="Q344" t="s">
        <v>28</v>
      </c>
      <c r="R344" t="s">
        <v>28</v>
      </c>
      <c r="S344" t="s">
        <v>28</v>
      </c>
      <c r="T344" t="s">
        <v>28</v>
      </c>
      <c r="U344" t="s">
        <v>28</v>
      </c>
      <c r="V344" t="s">
        <v>28</v>
      </c>
      <c r="W344">
        <v>6</v>
      </c>
      <c r="X344" t="s">
        <v>151</v>
      </c>
    </row>
    <row r="345" spans="1:24" x14ac:dyDescent="0.2">
      <c r="A345" t="str">
        <f t="shared" si="15"/>
        <v>sample_miseq-16S-D-E08-L6_SICap-P15-E8-P4D14-BB-C4R2-yesBile-rep1-day14</v>
      </c>
      <c r="B345" s="1" t="s">
        <v>517</v>
      </c>
      <c r="C345" s="3" t="s">
        <v>1093</v>
      </c>
      <c r="D345" s="3" t="s">
        <v>1327</v>
      </c>
      <c r="E345" t="s">
        <v>20</v>
      </c>
      <c r="F345" t="s">
        <v>152</v>
      </c>
      <c r="G345" t="s">
        <v>98</v>
      </c>
      <c r="H345" t="str">
        <f t="shared" si="16"/>
        <v>08</v>
      </c>
      <c r="I345" t="str">
        <f t="shared" si="17"/>
        <v>E</v>
      </c>
      <c r="J345" t="s">
        <v>153</v>
      </c>
      <c r="K345" t="s">
        <v>91</v>
      </c>
      <c r="L345" t="s">
        <v>142</v>
      </c>
      <c r="M345" t="s">
        <v>43</v>
      </c>
      <c r="N345">
        <v>1</v>
      </c>
      <c r="O345">
        <v>14</v>
      </c>
      <c r="P345" t="s">
        <v>154</v>
      </c>
      <c r="Q345" t="s">
        <v>28</v>
      </c>
      <c r="R345" t="s">
        <v>28</v>
      </c>
      <c r="S345" t="s">
        <v>28</v>
      </c>
      <c r="T345" t="s">
        <v>28</v>
      </c>
      <c r="U345" t="s">
        <v>28</v>
      </c>
      <c r="V345" t="s">
        <v>28</v>
      </c>
      <c r="W345">
        <v>6</v>
      </c>
      <c r="X345" t="s">
        <v>151</v>
      </c>
    </row>
    <row r="346" spans="1:24" x14ac:dyDescent="0.2">
      <c r="A346" t="str">
        <f t="shared" si="15"/>
        <v>sample_miseq-16S-D-E09-L6_SICap-P15-E9-P4D14-BB-S1R2-yesBile-rep1-day14</v>
      </c>
      <c r="B346" s="1" t="s">
        <v>518</v>
      </c>
      <c r="C346" s="3" t="s">
        <v>1094</v>
      </c>
      <c r="D346" s="3" t="s">
        <v>1327</v>
      </c>
      <c r="E346" t="s">
        <v>20</v>
      </c>
      <c r="F346" t="s">
        <v>152</v>
      </c>
      <c r="G346" t="s">
        <v>99</v>
      </c>
      <c r="H346" t="str">
        <f t="shared" si="16"/>
        <v>09</v>
      </c>
      <c r="I346" t="str">
        <f t="shared" si="17"/>
        <v>E</v>
      </c>
      <c r="J346" t="s">
        <v>153</v>
      </c>
      <c r="K346" t="s">
        <v>91</v>
      </c>
      <c r="L346" t="s">
        <v>142</v>
      </c>
      <c r="M346" t="s">
        <v>45</v>
      </c>
      <c r="N346">
        <v>1</v>
      </c>
      <c r="O346">
        <v>14</v>
      </c>
      <c r="P346" t="s">
        <v>154</v>
      </c>
      <c r="Q346" t="s">
        <v>28</v>
      </c>
      <c r="R346" t="s">
        <v>28</v>
      </c>
      <c r="S346" t="s">
        <v>28</v>
      </c>
      <c r="T346" t="s">
        <v>28</v>
      </c>
      <c r="U346" t="s">
        <v>28</v>
      </c>
      <c r="V346" t="s">
        <v>28</v>
      </c>
      <c r="W346">
        <v>6</v>
      </c>
      <c r="X346" t="s">
        <v>151</v>
      </c>
    </row>
    <row r="347" spans="1:24" x14ac:dyDescent="0.2">
      <c r="A347" t="str">
        <f t="shared" si="15"/>
        <v>sample_miseq-16S-D-E10-L6_SICap-P15-E10-P4D14-BB-StoolPool-yesBile-rep1-day14</v>
      </c>
      <c r="B347" s="1" t="s">
        <v>519</v>
      </c>
      <c r="C347" s="3" t="s">
        <v>1095</v>
      </c>
      <c r="D347" s="3" t="s">
        <v>1327</v>
      </c>
      <c r="E347" t="s">
        <v>20</v>
      </c>
      <c r="F347" t="s">
        <v>152</v>
      </c>
      <c r="G347" t="s">
        <v>100</v>
      </c>
      <c r="H347" t="str">
        <f t="shared" si="16"/>
        <v>10</v>
      </c>
      <c r="I347" t="str">
        <f t="shared" si="17"/>
        <v>E</v>
      </c>
      <c r="J347" t="s">
        <v>153</v>
      </c>
      <c r="K347" t="s">
        <v>91</v>
      </c>
      <c r="L347" t="s">
        <v>142</v>
      </c>
      <c r="M347" t="s">
        <v>47</v>
      </c>
      <c r="N347">
        <v>1</v>
      </c>
      <c r="O347">
        <v>14</v>
      </c>
      <c r="P347" t="s">
        <v>154</v>
      </c>
      <c r="Q347" t="s">
        <v>28</v>
      </c>
      <c r="R347" t="s">
        <v>28</v>
      </c>
      <c r="S347" t="s">
        <v>28</v>
      </c>
      <c r="T347" t="s">
        <v>28</v>
      </c>
      <c r="U347" t="s">
        <v>28</v>
      </c>
      <c r="V347" t="s">
        <v>28</v>
      </c>
      <c r="W347">
        <v>6</v>
      </c>
      <c r="X347" t="s">
        <v>151</v>
      </c>
    </row>
    <row r="348" spans="1:24" x14ac:dyDescent="0.2">
      <c r="A348" t="str">
        <f t="shared" si="15"/>
        <v>sample_miseq-16S-D-E11-L6_SICap-P15-E11-P4D14-BB-SIPool-yesBile-rep1-day14</v>
      </c>
      <c r="B348" s="1" t="s">
        <v>520</v>
      </c>
      <c r="C348" s="3" t="s">
        <v>1096</v>
      </c>
      <c r="D348" s="3" t="s">
        <v>1327</v>
      </c>
      <c r="E348" t="s">
        <v>20</v>
      </c>
      <c r="F348" t="s">
        <v>152</v>
      </c>
      <c r="G348" t="s">
        <v>101</v>
      </c>
      <c r="H348" t="str">
        <f t="shared" si="16"/>
        <v>11</v>
      </c>
      <c r="I348" t="str">
        <f t="shared" si="17"/>
        <v>E</v>
      </c>
      <c r="J348" t="s">
        <v>153</v>
      </c>
      <c r="K348" t="s">
        <v>91</v>
      </c>
      <c r="L348" t="s">
        <v>142</v>
      </c>
      <c r="M348" t="s">
        <v>49</v>
      </c>
      <c r="N348">
        <v>1</v>
      </c>
      <c r="O348">
        <v>14</v>
      </c>
      <c r="P348" t="s">
        <v>154</v>
      </c>
      <c r="Q348" t="s">
        <v>28</v>
      </c>
      <c r="R348" t="s">
        <v>28</v>
      </c>
      <c r="S348" t="s">
        <v>28</v>
      </c>
      <c r="T348" t="s">
        <v>28</v>
      </c>
      <c r="U348" t="s">
        <v>28</v>
      </c>
      <c r="V348" t="s">
        <v>28</v>
      </c>
      <c r="W348">
        <v>6</v>
      </c>
      <c r="X348" t="s">
        <v>151</v>
      </c>
    </row>
    <row r="349" spans="1:24" x14ac:dyDescent="0.2">
      <c r="A349" t="str">
        <f t="shared" si="15"/>
        <v>sample_miseq-16S-D-E12-L6_SICap-P15-E12-P4D14-BB-Media-yesBile-rep1-day14</v>
      </c>
      <c r="B349" s="1" t="s">
        <v>521</v>
      </c>
      <c r="C349" s="3" t="s">
        <v>1097</v>
      </c>
      <c r="D349" s="3" t="s">
        <v>1327</v>
      </c>
      <c r="E349" t="s">
        <v>20</v>
      </c>
      <c r="F349" t="s">
        <v>152</v>
      </c>
      <c r="G349" t="s">
        <v>102</v>
      </c>
      <c r="H349" t="str">
        <f t="shared" si="16"/>
        <v>12</v>
      </c>
      <c r="I349" t="str">
        <f t="shared" si="17"/>
        <v>E</v>
      </c>
      <c r="J349" t="s">
        <v>153</v>
      </c>
      <c r="K349" t="s">
        <v>91</v>
      </c>
      <c r="L349" t="s">
        <v>142</v>
      </c>
      <c r="M349" t="s">
        <v>6</v>
      </c>
      <c r="N349">
        <v>1</v>
      </c>
      <c r="O349">
        <v>14</v>
      </c>
      <c r="P349" t="s">
        <v>154</v>
      </c>
      <c r="Q349" t="s">
        <v>28</v>
      </c>
      <c r="R349" t="s">
        <v>28</v>
      </c>
      <c r="S349" t="s">
        <v>28</v>
      </c>
      <c r="T349" t="s">
        <v>28</v>
      </c>
      <c r="U349" t="s">
        <v>28</v>
      </c>
      <c r="V349" t="s">
        <v>28</v>
      </c>
      <c r="W349">
        <v>6</v>
      </c>
      <c r="X349" t="s">
        <v>151</v>
      </c>
    </row>
    <row r="350" spans="1:24" x14ac:dyDescent="0.2">
      <c r="A350" t="str">
        <f t="shared" si="15"/>
        <v>sample_miseq-16S-D-F01-L6_SICap-P15-F1-P4D14-YCFAG-C1R1-yesBile-rep1-day14</v>
      </c>
      <c r="B350" s="1" t="s">
        <v>522</v>
      </c>
      <c r="C350" s="3" t="s">
        <v>1098</v>
      </c>
      <c r="D350" s="3" t="s">
        <v>1327</v>
      </c>
      <c r="E350" t="s">
        <v>20</v>
      </c>
      <c r="F350" t="s">
        <v>152</v>
      </c>
      <c r="G350" t="s">
        <v>103</v>
      </c>
      <c r="H350" t="str">
        <f t="shared" si="16"/>
        <v>01</v>
      </c>
      <c r="I350" t="str">
        <f t="shared" si="17"/>
        <v>F</v>
      </c>
      <c r="J350" t="s">
        <v>153</v>
      </c>
      <c r="K350" t="s">
        <v>104</v>
      </c>
      <c r="L350" t="s">
        <v>142</v>
      </c>
      <c r="M350" t="s">
        <v>26</v>
      </c>
      <c r="N350">
        <v>1</v>
      </c>
      <c r="O350">
        <v>14</v>
      </c>
      <c r="P350" t="s">
        <v>154</v>
      </c>
      <c r="Q350" t="s">
        <v>28</v>
      </c>
      <c r="R350" t="s">
        <v>28</v>
      </c>
      <c r="S350" t="s">
        <v>28</v>
      </c>
      <c r="T350" t="s">
        <v>28</v>
      </c>
      <c r="U350" t="s">
        <v>28</v>
      </c>
      <c r="V350" t="s">
        <v>28</v>
      </c>
      <c r="W350">
        <v>6</v>
      </c>
      <c r="X350" t="s">
        <v>151</v>
      </c>
    </row>
    <row r="351" spans="1:24" x14ac:dyDescent="0.2">
      <c r="A351" t="str">
        <f t="shared" si="15"/>
        <v>sample_miseq-16S-D-F02-L6_SICap-P15-F2-P4D14-YCFAG-C1R2-yesBile-rep1-day14</v>
      </c>
      <c r="B351" s="1" t="s">
        <v>523</v>
      </c>
      <c r="C351" s="3" t="s">
        <v>1099</v>
      </c>
      <c r="D351" s="3" t="s">
        <v>1327</v>
      </c>
      <c r="E351" t="s">
        <v>20</v>
      </c>
      <c r="F351" t="s">
        <v>152</v>
      </c>
      <c r="G351" t="s">
        <v>105</v>
      </c>
      <c r="H351" t="str">
        <f t="shared" si="16"/>
        <v>02</v>
      </c>
      <c r="I351" t="str">
        <f t="shared" si="17"/>
        <v>F</v>
      </c>
      <c r="J351" t="s">
        <v>153</v>
      </c>
      <c r="K351" t="s">
        <v>104</v>
      </c>
      <c r="L351" t="s">
        <v>142</v>
      </c>
      <c r="M351" t="s">
        <v>31</v>
      </c>
      <c r="N351">
        <v>1</v>
      </c>
      <c r="O351">
        <v>14</v>
      </c>
      <c r="P351" t="s">
        <v>154</v>
      </c>
      <c r="Q351" t="s">
        <v>28</v>
      </c>
      <c r="R351" t="s">
        <v>28</v>
      </c>
      <c r="S351" t="s">
        <v>28</v>
      </c>
      <c r="T351" t="s">
        <v>28</v>
      </c>
      <c r="U351" t="s">
        <v>28</v>
      </c>
      <c r="V351" t="s">
        <v>28</v>
      </c>
      <c r="W351">
        <v>6</v>
      </c>
      <c r="X351" t="s">
        <v>151</v>
      </c>
    </row>
    <row r="352" spans="1:24" x14ac:dyDescent="0.2">
      <c r="A352" t="str">
        <f t="shared" si="15"/>
        <v>sample_miseq-16S-D-F03-L6_SICap-P15-F3-P4D14-YCFAG-C2R1-yesBile-rep1-day14</v>
      </c>
      <c r="B352" s="1" t="s">
        <v>524</v>
      </c>
      <c r="C352" s="3" t="s">
        <v>1100</v>
      </c>
      <c r="D352" s="3" t="s">
        <v>1327</v>
      </c>
      <c r="E352" t="s">
        <v>20</v>
      </c>
      <c r="F352" t="s">
        <v>152</v>
      </c>
      <c r="G352" t="s">
        <v>106</v>
      </c>
      <c r="H352" t="str">
        <f t="shared" si="16"/>
        <v>03</v>
      </c>
      <c r="I352" t="str">
        <f t="shared" si="17"/>
        <v>F</v>
      </c>
      <c r="J352" t="s">
        <v>153</v>
      </c>
      <c r="K352" t="s">
        <v>104</v>
      </c>
      <c r="L352" t="s">
        <v>142</v>
      </c>
      <c r="M352" t="s">
        <v>33</v>
      </c>
      <c r="N352">
        <v>1</v>
      </c>
      <c r="O352">
        <v>14</v>
      </c>
      <c r="P352" t="s">
        <v>154</v>
      </c>
      <c r="Q352" t="s">
        <v>28</v>
      </c>
      <c r="R352" t="s">
        <v>28</v>
      </c>
      <c r="S352" t="s">
        <v>28</v>
      </c>
      <c r="T352" t="s">
        <v>28</v>
      </c>
      <c r="U352" t="s">
        <v>28</v>
      </c>
      <c r="V352" t="s">
        <v>28</v>
      </c>
      <c r="W352">
        <v>6</v>
      </c>
      <c r="X352" t="s">
        <v>151</v>
      </c>
    </row>
    <row r="353" spans="1:24" x14ac:dyDescent="0.2">
      <c r="A353" t="str">
        <f t="shared" si="15"/>
        <v>sample_miseq-16S-D-F04-L6_SICap-P15-F4-P4D14-YCFAG-C2R2-yesBile-rep1-day14</v>
      </c>
      <c r="B353" s="1" t="s">
        <v>525</v>
      </c>
      <c r="C353" s="3" t="s">
        <v>1101</v>
      </c>
      <c r="D353" s="3" t="s">
        <v>1327</v>
      </c>
      <c r="E353" t="s">
        <v>20</v>
      </c>
      <c r="F353" t="s">
        <v>152</v>
      </c>
      <c r="G353" t="s">
        <v>107</v>
      </c>
      <c r="H353" t="str">
        <f t="shared" si="16"/>
        <v>04</v>
      </c>
      <c r="I353" t="str">
        <f t="shared" si="17"/>
        <v>F</v>
      </c>
      <c r="J353" t="s">
        <v>153</v>
      </c>
      <c r="K353" t="s">
        <v>104</v>
      </c>
      <c r="L353" t="s">
        <v>142</v>
      </c>
      <c r="M353" t="s">
        <v>35</v>
      </c>
      <c r="N353">
        <v>1</v>
      </c>
      <c r="O353">
        <v>14</v>
      </c>
      <c r="P353" t="s">
        <v>154</v>
      </c>
      <c r="Q353" t="s">
        <v>28</v>
      </c>
      <c r="R353" t="s">
        <v>28</v>
      </c>
      <c r="S353" t="s">
        <v>28</v>
      </c>
      <c r="T353" t="s">
        <v>28</v>
      </c>
      <c r="U353" t="s">
        <v>28</v>
      </c>
      <c r="V353" t="s">
        <v>28</v>
      </c>
      <c r="W353">
        <v>6</v>
      </c>
      <c r="X353" t="s">
        <v>151</v>
      </c>
    </row>
    <row r="354" spans="1:24" x14ac:dyDescent="0.2">
      <c r="A354" t="str">
        <f t="shared" si="15"/>
        <v>sample_miseq-16S-D-F05-L6_SICap-P15-F5-P4D14-YCFAG-C3R1-yesBile-rep1-day14</v>
      </c>
      <c r="B354" s="1" t="s">
        <v>526</v>
      </c>
      <c r="C354" s="3" t="s">
        <v>1102</v>
      </c>
      <c r="D354" s="3" t="s">
        <v>1327</v>
      </c>
      <c r="E354" t="s">
        <v>20</v>
      </c>
      <c r="F354" t="s">
        <v>152</v>
      </c>
      <c r="G354" t="s">
        <v>108</v>
      </c>
      <c r="H354" t="str">
        <f t="shared" si="16"/>
        <v>05</v>
      </c>
      <c r="I354" t="str">
        <f t="shared" si="17"/>
        <v>F</v>
      </c>
      <c r="J354" t="s">
        <v>153</v>
      </c>
      <c r="K354" t="s">
        <v>104</v>
      </c>
      <c r="L354" t="s">
        <v>142</v>
      </c>
      <c r="M354" t="s">
        <v>37</v>
      </c>
      <c r="N354">
        <v>1</v>
      </c>
      <c r="O354">
        <v>14</v>
      </c>
      <c r="P354" t="s">
        <v>154</v>
      </c>
      <c r="Q354" t="s">
        <v>28</v>
      </c>
      <c r="R354" t="s">
        <v>28</v>
      </c>
      <c r="S354" t="s">
        <v>28</v>
      </c>
      <c r="T354" t="s">
        <v>28</v>
      </c>
      <c r="U354" t="s">
        <v>28</v>
      </c>
      <c r="V354" t="s">
        <v>28</v>
      </c>
      <c r="W354">
        <v>6</v>
      </c>
      <c r="X354" t="s">
        <v>151</v>
      </c>
    </row>
    <row r="355" spans="1:24" x14ac:dyDescent="0.2">
      <c r="A355" t="str">
        <f t="shared" si="15"/>
        <v>sample_miseq-16S-D-F06-L6_SICap-P15-F6-P4D14-YCFAG-C3R2-yesBile-rep1-day14</v>
      </c>
      <c r="B355" s="1" t="s">
        <v>527</v>
      </c>
      <c r="C355" s="3" t="s">
        <v>1103</v>
      </c>
      <c r="D355" s="3" t="s">
        <v>1327</v>
      </c>
      <c r="E355" t="s">
        <v>20</v>
      </c>
      <c r="F355" t="s">
        <v>152</v>
      </c>
      <c r="G355" t="s">
        <v>109</v>
      </c>
      <c r="H355" t="str">
        <f t="shared" si="16"/>
        <v>06</v>
      </c>
      <c r="I355" t="str">
        <f t="shared" si="17"/>
        <v>F</v>
      </c>
      <c r="J355" t="s">
        <v>153</v>
      </c>
      <c r="K355" t="s">
        <v>104</v>
      </c>
      <c r="L355" t="s">
        <v>142</v>
      </c>
      <c r="M355" t="s">
        <v>39</v>
      </c>
      <c r="N355">
        <v>1</v>
      </c>
      <c r="O355">
        <v>14</v>
      </c>
      <c r="P355" t="s">
        <v>154</v>
      </c>
      <c r="Q355" t="s">
        <v>28</v>
      </c>
      <c r="R355" t="s">
        <v>28</v>
      </c>
      <c r="S355" t="s">
        <v>28</v>
      </c>
      <c r="T355" t="s">
        <v>28</v>
      </c>
      <c r="U355" t="s">
        <v>28</v>
      </c>
      <c r="V355" t="s">
        <v>28</v>
      </c>
      <c r="W355">
        <v>6</v>
      </c>
      <c r="X355" t="s">
        <v>151</v>
      </c>
    </row>
    <row r="356" spans="1:24" x14ac:dyDescent="0.2">
      <c r="A356" t="str">
        <f t="shared" si="15"/>
        <v>sample_miseq-16S-D-F07-L6_SICap-P15-F7-P4D14-YCFAG-C4R1-yesBile-rep1-day14</v>
      </c>
      <c r="B356" s="1" t="s">
        <v>528</v>
      </c>
      <c r="C356" s="3" t="s">
        <v>1104</v>
      </c>
      <c r="D356" s="3" t="s">
        <v>1327</v>
      </c>
      <c r="E356" t="s">
        <v>20</v>
      </c>
      <c r="F356" t="s">
        <v>152</v>
      </c>
      <c r="G356" t="s">
        <v>110</v>
      </c>
      <c r="H356" t="str">
        <f t="shared" si="16"/>
        <v>07</v>
      </c>
      <c r="I356" t="str">
        <f t="shared" si="17"/>
        <v>F</v>
      </c>
      <c r="J356" t="s">
        <v>153</v>
      </c>
      <c r="K356" t="s">
        <v>104</v>
      </c>
      <c r="L356" t="s">
        <v>142</v>
      </c>
      <c r="M356" t="s">
        <v>41</v>
      </c>
      <c r="N356">
        <v>1</v>
      </c>
      <c r="O356">
        <v>14</v>
      </c>
      <c r="P356" t="s">
        <v>154</v>
      </c>
      <c r="Q356" t="s">
        <v>28</v>
      </c>
      <c r="R356" t="s">
        <v>28</v>
      </c>
      <c r="S356" t="s">
        <v>28</v>
      </c>
      <c r="T356" t="s">
        <v>28</v>
      </c>
      <c r="U356" t="s">
        <v>28</v>
      </c>
      <c r="V356" t="s">
        <v>28</v>
      </c>
      <c r="W356">
        <v>6</v>
      </c>
      <c r="X356" t="s">
        <v>151</v>
      </c>
    </row>
    <row r="357" spans="1:24" x14ac:dyDescent="0.2">
      <c r="A357" t="str">
        <f t="shared" si="15"/>
        <v>sample_miseq-16S-D-F08-L6_SICap-P15-F8-P4D14-YCFAG-C4R2-yesBile-rep1-day14</v>
      </c>
      <c r="B357" s="1" t="s">
        <v>529</v>
      </c>
      <c r="C357" s="3" t="s">
        <v>1105</v>
      </c>
      <c r="D357" s="3" t="s">
        <v>1327</v>
      </c>
      <c r="E357" t="s">
        <v>20</v>
      </c>
      <c r="F357" t="s">
        <v>152</v>
      </c>
      <c r="G357" t="s">
        <v>111</v>
      </c>
      <c r="H357" t="str">
        <f t="shared" si="16"/>
        <v>08</v>
      </c>
      <c r="I357" t="str">
        <f t="shared" si="17"/>
        <v>F</v>
      </c>
      <c r="J357" t="s">
        <v>153</v>
      </c>
      <c r="K357" t="s">
        <v>104</v>
      </c>
      <c r="L357" t="s">
        <v>142</v>
      </c>
      <c r="M357" t="s">
        <v>43</v>
      </c>
      <c r="N357">
        <v>1</v>
      </c>
      <c r="O357">
        <v>14</v>
      </c>
      <c r="P357" t="s">
        <v>154</v>
      </c>
      <c r="Q357" t="s">
        <v>28</v>
      </c>
      <c r="R357" t="s">
        <v>28</v>
      </c>
      <c r="S357" t="s">
        <v>28</v>
      </c>
      <c r="T357" t="s">
        <v>28</v>
      </c>
      <c r="U357" t="s">
        <v>28</v>
      </c>
      <c r="V357" t="s">
        <v>28</v>
      </c>
      <c r="W357">
        <v>6</v>
      </c>
      <c r="X357" t="s">
        <v>151</v>
      </c>
    </row>
    <row r="358" spans="1:24" x14ac:dyDescent="0.2">
      <c r="A358" t="str">
        <f t="shared" si="15"/>
        <v>sample_miseq-16S-D-F09-L6_SICap-P15-F9-P4D14-YCFAG-S1R2-yesBile-rep1-day14</v>
      </c>
      <c r="B358" s="1" t="s">
        <v>530</v>
      </c>
      <c r="C358" s="3" t="s">
        <v>1106</v>
      </c>
      <c r="D358" s="3" t="s">
        <v>1327</v>
      </c>
      <c r="E358" t="s">
        <v>20</v>
      </c>
      <c r="F358" t="s">
        <v>152</v>
      </c>
      <c r="G358" t="s">
        <v>112</v>
      </c>
      <c r="H358" t="str">
        <f t="shared" si="16"/>
        <v>09</v>
      </c>
      <c r="I358" t="str">
        <f t="shared" si="17"/>
        <v>F</v>
      </c>
      <c r="J358" t="s">
        <v>153</v>
      </c>
      <c r="K358" t="s">
        <v>104</v>
      </c>
      <c r="L358" t="s">
        <v>142</v>
      </c>
      <c r="M358" t="s">
        <v>45</v>
      </c>
      <c r="N358">
        <v>1</v>
      </c>
      <c r="O358">
        <v>14</v>
      </c>
      <c r="P358" t="s">
        <v>154</v>
      </c>
      <c r="Q358" t="s">
        <v>28</v>
      </c>
      <c r="R358" t="s">
        <v>28</v>
      </c>
      <c r="S358" t="s">
        <v>28</v>
      </c>
      <c r="T358" t="s">
        <v>28</v>
      </c>
      <c r="U358" t="s">
        <v>28</v>
      </c>
      <c r="V358" t="s">
        <v>28</v>
      </c>
      <c r="W358">
        <v>6</v>
      </c>
      <c r="X358" t="s">
        <v>151</v>
      </c>
    </row>
    <row r="359" spans="1:24" x14ac:dyDescent="0.2">
      <c r="A359" t="str">
        <f t="shared" si="15"/>
        <v>sample_miseq-16S-D-F10-L6_SICap-P15-F10-P4D14-YCFAG-StoolPool-yesBile-rep1-day14</v>
      </c>
      <c r="B359" s="1" t="s">
        <v>531</v>
      </c>
      <c r="C359" s="3" t="s">
        <v>1107</v>
      </c>
      <c r="D359" s="3" t="s">
        <v>1327</v>
      </c>
      <c r="E359" t="s">
        <v>20</v>
      </c>
      <c r="F359" t="s">
        <v>152</v>
      </c>
      <c r="G359" t="s">
        <v>113</v>
      </c>
      <c r="H359" t="str">
        <f t="shared" si="16"/>
        <v>10</v>
      </c>
      <c r="I359" t="str">
        <f t="shared" si="17"/>
        <v>F</v>
      </c>
      <c r="J359" t="s">
        <v>153</v>
      </c>
      <c r="K359" t="s">
        <v>104</v>
      </c>
      <c r="L359" t="s">
        <v>142</v>
      </c>
      <c r="M359" t="s">
        <v>47</v>
      </c>
      <c r="N359">
        <v>1</v>
      </c>
      <c r="O359">
        <v>14</v>
      </c>
      <c r="P359" t="s">
        <v>154</v>
      </c>
      <c r="Q359" t="s">
        <v>28</v>
      </c>
      <c r="R359" t="s">
        <v>28</v>
      </c>
      <c r="S359" t="s">
        <v>28</v>
      </c>
      <c r="T359" t="s">
        <v>28</v>
      </c>
      <c r="U359" t="s">
        <v>28</v>
      </c>
      <c r="V359" t="s">
        <v>28</v>
      </c>
      <c r="W359">
        <v>6</v>
      </c>
      <c r="X359" t="s">
        <v>151</v>
      </c>
    </row>
    <row r="360" spans="1:24" x14ac:dyDescent="0.2">
      <c r="A360" t="str">
        <f t="shared" si="15"/>
        <v>sample_miseq-16S-D-F11-L6_SICap-P15-F11-P4D14-YCFAG-SIPool-yesBile-rep1-day14</v>
      </c>
      <c r="B360" s="1" t="s">
        <v>532</v>
      </c>
      <c r="C360" s="3" t="s">
        <v>1108</v>
      </c>
      <c r="D360" s="3" t="s">
        <v>1327</v>
      </c>
      <c r="E360" t="s">
        <v>20</v>
      </c>
      <c r="F360" t="s">
        <v>152</v>
      </c>
      <c r="G360" t="s">
        <v>114</v>
      </c>
      <c r="H360" t="str">
        <f t="shared" si="16"/>
        <v>11</v>
      </c>
      <c r="I360" t="str">
        <f t="shared" si="17"/>
        <v>F</v>
      </c>
      <c r="J360" t="s">
        <v>153</v>
      </c>
      <c r="K360" t="s">
        <v>104</v>
      </c>
      <c r="L360" t="s">
        <v>142</v>
      </c>
      <c r="M360" t="s">
        <v>49</v>
      </c>
      <c r="N360">
        <v>1</v>
      </c>
      <c r="O360">
        <v>14</v>
      </c>
      <c r="P360" t="s">
        <v>154</v>
      </c>
      <c r="Q360" t="s">
        <v>28</v>
      </c>
      <c r="R360" t="s">
        <v>28</v>
      </c>
      <c r="S360" t="s">
        <v>28</v>
      </c>
      <c r="T360" t="s">
        <v>28</v>
      </c>
      <c r="U360" t="s">
        <v>28</v>
      </c>
      <c r="V360" t="s">
        <v>28</v>
      </c>
      <c r="W360">
        <v>6</v>
      </c>
      <c r="X360" t="s">
        <v>151</v>
      </c>
    </row>
    <row r="361" spans="1:24" x14ac:dyDescent="0.2">
      <c r="A361" t="str">
        <f t="shared" si="15"/>
        <v>sample_miseq-16S-D-F12-L6_SICap-P15-F12-P4D14-YCFAG-Media-yesBile-rep1-day14</v>
      </c>
      <c r="B361" s="1" t="s">
        <v>533</v>
      </c>
      <c r="C361" s="3" t="s">
        <v>1109</v>
      </c>
      <c r="D361" s="3" t="s">
        <v>1327</v>
      </c>
      <c r="E361" t="s">
        <v>20</v>
      </c>
      <c r="F361" t="s">
        <v>152</v>
      </c>
      <c r="G361" t="s">
        <v>115</v>
      </c>
      <c r="H361" t="str">
        <f t="shared" si="16"/>
        <v>12</v>
      </c>
      <c r="I361" t="str">
        <f t="shared" si="17"/>
        <v>F</v>
      </c>
      <c r="J361" t="s">
        <v>153</v>
      </c>
      <c r="K361" t="s">
        <v>104</v>
      </c>
      <c r="L361" t="s">
        <v>142</v>
      </c>
      <c r="M361" t="s">
        <v>6</v>
      </c>
      <c r="N361">
        <v>1</v>
      </c>
      <c r="O361">
        <v>14</v>
      </c>
      <c r="P361" t="s">
        <v>154</v>
      </c>
      <c r="Q361" t="s">
        <v>28</v>
      </c>
      <c r="R361" t="s">
        <v>28</v>
      </c>
      <c r="S361" t="s">
        <v>28</v>
      </c>
      <c r="T361" t="s">
        <v>28</v>
      </c>
      <c r="U361" t="s">
        <v>28</v>
      </c>
      <c r="V361" t="s">
        <v>28</v>
      </c>
      <c r="W361">
        <v>6</v>
      </c>
      <c r="X361" t="s">
        <v>151</v>
      </c>
    </row>
    <row r="362" spans="1:24" x14ac:dyDescent="0.2">
      <c r="A362" t="str">
        <f t="shared" si="15"/>
        <v>sample_miseq-16S-D-G01-L6_SICap-P15-G1-P4D14-TYG-C1R1-yesBile-rep1-day14</v>
      </c>
      <c r="B362" s="1" t="s">
        <v>534</v>
      </c>
      <c r="C362" s="3" t="s">
        <v>1110</v>
      </c>
      <c r="D362" s="3" t="s">
        <v>1327</v>
      </c>
      <c r="E362" t="s">
        <v>20</v>
      </c>
      <c r="F362" t="s">
        <v>152</v>
      </c>
      <c r="G362" t="s">
        <v>116</v>
      </c>
      <c r="H362" t="str">
        <f t="shared" si="16"/>
        <v>01</v>
      </c>
      <c r="I362" t="str">
        <f t="shared" si="17"/>
        <v>G</v>
      </c>
      <c r="J362" t="s">
        <v>153</v>
      </c>
      <c r="K362" t="s">
        <v>117</v>
      </c>
      <c r="L362" t="s">
        <v>142</v>
      </c>
      <c r="M362" t="s">
        <v>26</v>
      </c>
      <c r="N362">
        <v>1</v>
      </c>
      <c r="O362">
        <v>14</v>
      </c>
      <c r="P362" t="s">
        <v>154</v>
      </c>
      <c r="Q362" t="s">
        <v>28</v>
      </c>
      <c r="R362" t="s">
        <v>28</v>
      </c>
      <c r="S362" t="s">
        <v>28</v>
      </c>
      <c r="T362" t="s">
        <v>28</v>
      </c>
      <c r="U362" t="s">
        <v>28</v>
      </c>
      <c r="V362" t="s">
        <v>28</v>
      </c>
      <c r="W362">
        <v>6</v>
      </c>
      <c r="X362" t="s">
        <v>151</v>
      </c>
    </row>
    <row r="363" spans="1:24" x14ac:dyDescent="0.2">
      <c r="A363" t="str">
        <f t="shared" si="15"/>
        <v>sample_miseq-16S-D-G02-L6_SICap-P15-G2-P4D14-TYG-C1R2-yesBile-rep1-day14</v>
      </c>
      <c r="B363" s="1" t="s">
        <v>535</v>
      </c>
      <c r="C363" s="3" t="s">
        <v>1111</v>
      </c>
      <c r="D363" s="3" t="s">
        <v>1327</v>
      </c>
      <c r="E363" t="s">
        <v>20</v>
      </c>
      <c r="F363" t="s">
        <v>152</v>
      </c>
      <c r="G363" t="s">
        <v>118</v>
      </c>
      <c r="H363" t="str">
        <f t="shared" si="16"/>
        <v>02</v>
      </c>
      <c r="I363" t="str">
        <f t="shared" si="17"/>
        <v>G</v>
      </c>
      <c r="J363" t="s">
        <v>153</v>
      </c>
      <c r="K363" t="s">
        <v>117</v>
      </c>
      <c r="L363" t="s">
        <v>142</v>
      </c>
      <c r="M363" t="s">
        <v>31</v>
      </c>
      <c r="N363">
        <v>1</v>
      </c>
      <c r="O363">
        <v>14</v>
      </c>
      <c r="P363" t="s">
        <v>154</v>
      </c>
      <c r="Q363" t="s">
        <v>28</v>
      </c>
      <c r="R363" t="s">
        <v>28</v>
      </c>
      <c r="S363" t="s">
        <v>28</v>
      </c>
      <c r="T363" t="s">
        <v>28</v>
      </c>
      <c r="U363" t="s">
        <v>28</v>
      </c>
      <c r="V363" t="s">
        <v>28</v>
      </c>
      <c r="W363">
        <v>6</v>
      </c>
      <c r="X363" t="s">
        <v>151</v>
      </c>
    </row>
    <row r="364" spans="1:24" x14ac:dyDescent="0.2">
      <c r="A364" t="str">
        <f t="shared" si="15"/>
        <v>sample_miseq-16S-D-G03-L6_SICap-P15-G3-P4D14-TYG-C2R1-yesBile-rep1-day14</v>
      </c>
      <c r="B364" s="1" t="s">
        <v>536</v>
      </c>
      <c r="C364" s="3" t="s">
        <v>1112</v>
      </c>
      <c r="D364" s="3" t="s">
        <v>1327</v>
      </c>
      <c r="E364" t="s">
        <v>20</v>
      </c>
      <c r="F364" t="s">
        <v>152</v>
      </c>
      <c r="G364" t="s">
        <v>119</v>
      </c>
      <c r="H364" t="str">
        <f t="shared" si="16"/>
        <v>03</v>
      </c>
      <c r="I364" t="str">
        <f t="shared" si="17"/>
        <v>G</v>
      </c>
      <c r="J364" t="s">
        <v>153</v>
      </c>
      <c r="K364" t="s">
        <v>117</v>
      </c>
      <c r="L364" t="s">
        <v>142</v>
      </c>
      <c r="M364" t="s">
        <v>33</v>
      </c>
      <c r="N364">
        <v>1</v>
      </c>
      <c r="O364">
        <v>14</v>
      </c>
      <c r="P364" t="s">
        <v>154</v>
      </c>
      <c r="Q364" t="s">
        <v>28</v>
      </c>
      <c r="R364" t="s">
        <v>28</v>
      </c>
      <c r="S364" t="s">
        <v>28</v>
      </c>
      <c r="T364" t="s">
        <v>28</v>
      </c>
      <c r="U364" t="s">
        <v>28</v>
      </c>
      <c r="V364" t="s">
        <v>28</v>
      </c>
      <c r="W364">
        <v>6</v>
      </c>
      <c r="X364" t="s">
        <v>151</v>
      </c>
    </row>
    <row r="365" spans="1:24" x14ac:dyDescent="0.2">
      <c r="A365" t="str">
        <f t="shared" si="15"/>
        <v>sample_miseq-16S-D-G04-L6_SICap-P15-G4-P4D14-TYG-C2R2-yesBile-rep1-day14</v>
      </c>
      <c r="B365" s="1" t="s">
        <v>537</v>
      </c>
      <c r="C365" s="3" t="s">
        <v>1113</v>
      </c>
      <c r="D365" s="3" t="s">
        <v>1327</v>
      </c>
      <c r="E365" t="s">
        <v>20</v>
      </c>
      <c r="F365" t="s">
        <v>152</v>
      </c>
      <c r="G365" t="s">
        <v>120</v>
      </c>
      <c r="H365" t="str">
        <f t="shared" si="16"/>
        <v>04</v>
      </c>
      <c r="I365" t="str">
        <f t="shared" si="17"/>
        <v>G</v>
      </c>
      <c r="J365" t="s">
        <v>153</v>
      </c>
      <c r="K365" t="s">
        <v>117</v>
      </c>
      <c r="L365" t="s">
        <v>142</v>
      </c>
      <c r="M365" t="s">
        <v>35</v>
      </c>
      <c r="N365">
        <v>1</v>
      </c>
      <c r="O365">
        <v>14</v>
      </c>
      <c r="P365" t="s">
        <v>154</v>
      </c>
      <c r="Q365" t="s">
        <v>28</v>
      </c>
      <c r="R365" t="s">
        <v>28</v>
      </c>
      <c r="S365" t="s">
        <v>28</v>
      </c>
      <c r="T365" t="s">
        <v>28</v>
      </c>
      <c r="U365" t="s">
        <v>28</v>
      </c>
      <c r="V365" t="s">
        <v>28</v>
      </c>
      <c r="W365">
        <v>6</v>
      </c>
      <c r="X365" t="s">
        <v>151</v>
      </c>
    </row>
    <row r="366" spans="1:24" x14ac:dyDescent="0.2">
      <c r="A366" t="str">
        <f t="shared" si="15"/>
        <v>sample_miseq-16S-D-G05-L6_SICap-P15-G5-P4D14-TYG-C3R1-yesBile-rep1-day14</v>
      </c>
      <c r="B366" s="1" t="s">
        <v>538</v>
      </c>
      <c r="C366" s="3" t="s">
        <v>1114</v>
      </c>
      <c r="D366" s="3" t="s">
        <v>1327</v>
      </c>
      <c r="E366" t="s">
        <v>20</v>
      </c>
      <c r="F366" t="s">
        <v>152</v>
      </c>
      <c r="G366" t="s">
        <v>121</v>
      </c>
      <c r="H366" t="str">
        <f t="shared" si="16"/>
        <v>05</v>
      </c>
      <c r="I366" t="str">
        <f t="shared" si="17"/>
        <v>G</v>
      </c>
      <c r="J366" t="s">
        <v>153</v>
      </c>
      <c r="K366" t="s">
        <v>117</v>
      </c>
      <c r="L366" t="s">
        <v>142</v>
      </c>
      <c r="M366" t="s">
        <v>37</v>
      </c>
      <c r="N366">
        <v>1</v>
      </c>
      <c r="O366">
        <v>14</v>
      </c>
      <c r="P366" t="s">
        <v>154</v>
      </c>
      <c r="Q366" t="s">
        <v>28</v>
      </c>
      <c r="R366" t="s">
        <v>28</v>
      </c>
      <c r="S366" t="s">
        <v>28</v>
      </c>
      <c r="T366" t="s">
        <v>28</v>
      </c>
      <c r="U366" t="s">
        <v>28</v>
      </c>
      <c r="V366" t="s">
        <v>28</v>
      </c>
      <c r="W366">
        <v>6</v>
      </c>
      <c r="X366" t="s">
        <v>151</v>
      </c>
    </row>
    <row r="367" spans="1:24" x14ac:dyDescent="0.2">
      <c r="A367" t="str">
        <f t="shared" si="15"/>
        <v>sample_miseq-16S-D-G06-L6_SICap-P15-G6-P4D14-TYG-C3R2-yesBile-rep1-day14</v>
      </c>
      <c r="B367" s="1" t="s">
        <v>539</v>
      </c>
      <c r="C367" s="3" t="s">
        <v>1115</v>
      </c>
      <c r="D367" s="3" t="s">
        <v>1327</v>
      </c>
      <c r="E367" t="s">
        <v>20</v>
      </c>
      <c r="F367" t="s">
        <v>152</v>
      </c>
      <c r="G367" t="s">
        <v>122</v>
      </c>
      <c r="H367" t="str">
        <f t="shared" si="16"/>
        <v>06</v>
      </c>
      <c r="I367" t="str">
        <f t="shared" si="17"/>
        <v>G</v>
      </c>
      <c r="J367" t="s">
        <v>153</v>
      </c>
      <c r="K367" t="s">
        <v>117</v>
      </c>
      <c r="L367" t="s">
        <v>142</v>
      </c>
      <c r="M367" t="s">
        <v>39</v>
      </c>
      <c r="N367">
        <v>1</v>
      </c>
      <c r="O367">
        <v>14</v>
      </c>
      <c r="P367" t="s">
        <v>154</v>
      </c>
      <c r="Q367" t="s">
        <v>28</v>
      </c>
      <c r="R367" t="s">
        <v>28</v>
      </c>
      <c r="S367" t="s">
        <v>28</v>
      </c>
      <c r="T367" t="s">
        <v>28</v>
      </c>
      <c r="U367" t="s">
        <v>28</v>
      </c>
      <c r="V367" t="s">
        <v>28</v>
      </c>
      <c r="W367">
        <v>6</v>
      </c>
      <c r="X367" t="s">
        <v>151</v>
      </c>
    </row>
    <row r="368" spans="1:24" x14ac:dyDescent="0.2">
      <c r="A368" t="str">
        <f t="shared" si="15"/>
        <v>sample_miseq-16S-D-G07-L6_SICap-P15-G7-P4D14-TYG-C4R1-yesBile-rep1-day14</v>
      </c>
      <c r="B368" s="1" t="s">
        <v>540</v>
      </c>
      <c r="C368" s="3" t="s">
        <v>1116</v>
      </c>
      <c r="D368" s="3" t="s">
        <v>1327</v>
      </c>
      <c r="E368" t="s">
        <v>20</v>
      </c>
      <c r="F368" t="s">
        <v>152</v>
      </c>
      <c r="G368" t="s">
        <v>123</v>
      </c>
      <c r="H368" t="str">
        <f t="shared" si="16"/>
        <v>07</v>
      </c>
      <c r="I368" t="str">
        <f t="shared" si="17"/>
        <v>G</v>
      </c>
      <c r="J368" t="s">
        <v>153</v>
      </c>
      <c r="K368" t="s">
        <v>117</v>
      </c>
      <c r="L368" t="s">
        <v>142</v>
      </c>
      <c r="M368" t="s">
        <v>41</v>
      </c>
      <c r="N368">
        <v>1</v>
      </c>
      <c r="O368">
        <v>14</v>
      </c>
      <c r="P368" t="s">
        <v>154</v>
      </c>
      <c r="Q368" t="s">
        <v>28</v>
      </c>
      <c r="R368" t="s">
        <v>28</v>
      </c>
      <c r="S368" t="s">
        <v>28</v>
      </c>
      <c r="T368" t="s">
        <v>28</v>
      </c>
      <c r="U368" t="s">
        <v>28</v>
      </c>
      <c r="V368" t="s">
        <v>28</v>
      </c>
      <c r="W368">
        <v>6</v>
      </c>
      <c r="X368" t="s">
        <v>151</v>
      </c>
    </row>
    <row r="369" spans="1:24" x14ac:dyDescent="0.2">
      <c r="A369" t="str">
        <f t="shared" si="15"/>
        <v>sample_miseq-16S-D-G08-L6_SICap-P15-G8-P4D14-TYG-C4R2-yesBile-rep1-day14</v>
      </c>
      <c r="B369" s="1" t="s">
        <v>541</v>
      </c>
      <c r="C369" s="3" t="s">
        <v>1117</v>
      </c>
      <c r="D369" s="3" t="s">
        <v>1327</v>
      </c>
      <c r="E369" t="s">
        <v>20</v>
      </c>
      <c r="F369" t="s">
        <v>152</v>
      </c>
      <c r="G369" t="s">
        <v>124</v>
      </c>
      <c r="H369" t="str">
        <f t="shared" si="16"/>
        <v>08</v>
      </c>
      <c r="I369" t="str">
        <f t="shared" si="17"/>
        <v>G</v>
      </c>
      <c r="J369" t="s">
        <v>153</v>
      </c>
      <c r="K369" t="s">
        <v>117</v>
      </c>
      <c r="L369" t="s">
        <v>142</v>
      </c>
      <c r="M369" t="s">
        <v>43</v>
      </c>
      <c r="N369">
        <v>1</v>
      </c>
      <c r="O369">
        <v>14</v>
      </c>
      <c r="P369" t="s">
        <v>154</v>
      </c>
      <c r="Q369" t="s">
        <v>28</v>
      </c>
      <c r="R369" t="s">
        <v>28</v>
      </c>
      <c r="S369" t="s">
        <v>28</v>
      </c>
      <c r="T369" t="s">
        <v>28</v>
      </c>
      <c r="U369" t="s">
        <v>28</v>
      </c>
      <c r="V369" t="s">
        <v>28</v>
      </c>
      <c r="W369">
        <v>6</v>
      </c>
      <c r="X369" t="s">
        <v>151</v>
      </c>
    </row>
    <row r="370" spans="1:24" x14ac:dyDescent="0.2">
      <c r="A370" t="str">
        <f t="shared" si="15"/>
        <v>sample_miseq-16S-D-G09-L6_SICap-P15-G9-P4D14-TYG-S1R2-yesBile-rep1-day14</v>
      </c>
      <c r="B370" s="1" t="s">
        <v>542</v>
      </c>
      <c r="C370" s="3" t="s">
        <v>1118</v>
      </c>
      <c r="D370" s="3" t="s">
        <v>1327</v>
      </c>
      <c r="E370" t="s">
        <v>20</v>
      </c>
      <c r="F370" t="s">
        <v>152</v>
      </c>
      <c r="G370" t="s">
        <v>125</v>
      </c>
      <c r="H370" t="str">
        <f t="shared" si="16"/>
        <v>09</v>
      </c>
      <c r="I370" t="str">
        <f t="shared" si="17"/>
        <v>G</v>
      </c>
      <c r="J370" t="s">
        <v>153</v>
      </c>
      <c r="K370" t="s">
        <v>117</v>
      </c>
      <c r="L370" t="s">
        <v>142</v>
      </c>
      <c r="M370" t="s">
        <v>45</v>
      </c>
      <c r="N370">
        <v>1</v>
      </c>
      <c r="O370">
        <v>14</v>
      </c>
      <c r="P370" t="s">
        <v>154</v>
      </c>
      <c r="Q370" t="s">
        <v>28</v>
      </c>
      <c r="R370" t="s">
        <v>28</v>
      </c>
      <c r="S370" t="s">
        <v>28</v>
      </c>
      <c r="T370" t="s">
        <v>28</v>
      </c>
      <c r="U370" t="s">
        <v>28</v>
      </c>
      <c r="V370" t="s">
        <v>28</v>
      </c>
      <c r="W370">
        <v>6</v>
      </c>
      <c r="X370" t="s">
        <v>151</v>
      </c>
    </row>
    <row r="371" spans="1:24" x14ac:dyDescent="0.2">
      <c r="A371" t="str">
        <f t="shared" si="15"/>
        <v>sample_miseq-16S-D-G10-L6_SICap-P15-G10-P4D14-TYG-StoolPool-yesBile-rep1-day14</v>
      </c>
      <c r="B371" s="1" t="s">
        <v>543</v>
      </c>
      <c r="C371" s="3" t="s">
        <v>1119</v>
      </c>
      <c r="D371" s="3" t="s">
        <v>1327</v>
      </c>
      <c r="E371" t="s">
        <v>20</v>
      </c>
      <c r="F371" t="s">
        <v>152</v>
      </c>
      <c r="G371" t="s">
        <v>126</v>
      </c>
      <c r="H371" t="str">
        <f t="shared" si="16"/>
        <v>10</v>
      </c>
      <c r="I371" t="str">
        <f t="shared" si="17"/>
        <v>G</v>
      </c>
      <c r="J371" t="s">
        <v>153</v>
      </c>
      <c r="K371" t="s">
        <v>117</v>
      </c>
      <c r="L371" t="s">
        <v>142</v>
      </c>
      <c r="M371" t="s">
        <v>47</v>
      </c>
      <c r="N371">
        <v>1</v>
      </c>
      <c r="O371">
        <v>14</v>
      </c>
      <c r="P371" t="s">
        <v>154</v>
      </c>
      <c r="Q371" t="s">
        <v>28</v>
      </c>
      <c r="R371" t="s">
        <v>28</v>
      </c>
      <c r="S371" t="s">
        <v>28</v>
      </c>
      <c r="T371" t="s">
        <v>28</v>
      </c>
      <c r="U371" t="s">
        <v>28</v>
      </c>
      <c r="V371" t="s">
        <v>28</v>
      </c>
      <c r="W371">
        <v>6</v>
      </c>
      <c r="X371" t="s">
        <v>151</v>
      </c>
    </row>
    <row r="372" spans="1:24" x14ac:dyDescent="0.2">
      <c r="A372" t="str">
        <f t="shared" si="15"/>
        <v>sample_miseq-16S-D-G11-L6_SICap-P15-G11-P4D14-TYG-SIPool-yesBile-rep1-day14</v>
      </c>
      <c r="B372" s="1" t="s">
        <v>544</v>
      </c>
      <c r="C372" s="3" t="s">
        <v>1120</v>
      </c>
      <c r="D372" s="3" t="s">
        <v>1327</v>
      </c>
      <c r="E372" t="s">
        <v>20</v>
      </c>
      <c r="F372" t="s">
        <v>152</v>
      </c>
      <c r="G372" t="s">
        <v>127</v>
      </c>
      <c r="H372" t="str">
        <f t="shared" si="16"/>
        <v>11</v>
      </c>
      <c r="I372" t="str">
        <f t="shared" si="17"/>
        <v>G</v>
      </c>
      <c r="J372" t="s">
        <v>153</v>
      </c>
      <c r="K372" t="s">
        <v>117</v>
      </c>
      <c r="L372" t="s">
        <v>142</v>
      </c>
      <c r="M372" t="s">
        <v>49</v>
      </c>
      <c r="N372">
        <v>1</v>
      </c>
      <c r="O372">
        <v>14</v>
      </c>
      <c r="P372" t="s">
        <v>154</v>
      </c>
      <c r="Q372" t="s">
        <v>28</v>
      </c>
      <c r="R372" t="s">
        <v>28</v>
      </c>
      <c r="S372" t="s">
        <v>28</v>
      </c>
      <c r="T372" t="s">
        <v>28</v>
      </c>
      <c r="U372" t="s">
        <v>28</v>
      </c>
      <c r="V372" t="s">
        <v>28</v>
      </c>
      <c r="W372">
        <v>6</v>
      </c>
      <c r="X372" t="s">
        <v>151</v>
      </c>
    </row>
    <row r="373" spans="1:24" x14ac:dyDescent="0.2">
      <c r="A373" t="str">
        <f t="shared" si="15"/>
        <v>sample_miseq-16S-D-G12-L6_SICap-P15-G12-P4D14-TYG-Media-yesBile-rep1-day14</v>
      </c>
      <c r="B373" s="1" t="s">
        <v>545</v>
      </c>
      <c r="C373" s="3" t="s">
        <v>1121</v>
      </c>
      <c r="D373" s="3" t="s">
        <v>1327</v>
      </c>
      <c r="E373" t="s">
        <v>20</v>
      </c>
      <c r="F373" t="s">
        <v>152</v>
      </c>
      <c r="G373" t="s">
        <v>128</v>
      </c>
      <c r="H373" t="str">
        <f t="shared" si="16"/>
        <v>12</v>
      </c>
      <c r="I373" t="str">
        <f t="shared" si="17"/>
        <v>G</v>
      </c>
      <c r="J373" t="s">
        <v>153</v>
      </c>
      <c r="K373" t="s">
        <v>117</v>
      </c>
      <c r="L373" t="s">
        <v>142</v>
      </c>
      <c r="M373" t="s">
        <v>6</v>
      </c>
      <c r="N373">
        <v>1</v>
      </c>
      <c r="O373">
        <v>14</v>
      </c>
      <c r="P373" t="s">
        <v>154</v>
      </c>
      <c r="Q373" t="s">
        <v>28</v>
      </c>
      <c r="R373" t="s">
        <v>28</v>
      </c>
      <c r="S373" t="s">
        <v>28</v>
      </c>
      <c r="T373" t="s">
        <v>28</v>
      </c>
      <c r="U373" t="s">
        <v>28</v>
      </c>
      <c r="V373" t="s">
        <v>28</v>
      </c>
      <c r="W373">
        <v>6</v>
      </c>
      <c r="X373" t="s">
        <v>151</v>
      </c>
    </row>
    <row r="374" spans="1:24" x14ac:dyDescent="0.2">
      <c r="A374" t="str">
        <f t="shared" si="15"/>
        <v>sample_miseq-16S-D-H01-L6_SICap-P15-H1-P4D14-RCM-C1R1-yesBile-rep1-day14</v>
      </c>
      <c r="B374" s="1" t="s">
        <v>546</v>
      </c>
      <c r="C374" s="3" t="s">
        <v>1122</v>
      </c>
      <c r="D374" s="3" t="s">
        <v>1327</v>
      </c>
      <c r="E374" t="s">
        <v>20</v>
      </c>
      <c r="F374" t="s">
        <v>152</v>
      </c>
      <c r="G374" t="s">
        <v>129</v>
      </c>
      <c r="H374" t="str">
        <f t="shared" si="16"/>
        <v>01</v>
      </c>
      <c r="I374" t="str">
        <f t="shared" si="17"/>
        <v>H</v>
      </c>
      <c r="J374" t="s">
        <v>153</v>
      </c>
      <c r="K374" t="s">
        <v>130</v>
      </c>
      <c r="L374" t="s">
        <v>142</v>
      </c>
      <c r="M374" t="s">
        <v>26</v>
      </c>
      <c r="N374">
        <v>1</v>
      </c>
      <c r="O374">
        <v>14</v>
      </c>
      <c r="P374" t="s">
        <v>154</v>
      </c>
      <c r="Q374" t="s">
        <v>28</v>
      </c>
      <c r="R374" t="s">
        <v>28</v>
      </c>
      <c r="S374" t="s">
        <v>28</v>
      </c>
      <c r="T374" t="s">
        <v>28</v>
      </c>
      <c r="U374" t="s">
        <v>28</v>
      </c>
      <c r="V374" t="s">
        <v>28</v>
      </c>
      <c r="W374">
        <v>6</v>
      </c>
      <c r="X374" t="s">
        <v>151</v>
      </c>
    </row>
    <row r="375" spans="1:24" x14ac:dyDescent="0.2">
      <c r="A375" t="str">
        <f t="shared" si="15"/>
        <v>sample_miseq-16S-D-H02-L6_SICap-P15-H2-P4D14-RCM-C1R2-yesBile-rep1-day14</v>
      </c>
      <c r="B375" s="1" t="s">
        <v>547</v>
      </c>
      <c r="C375" s="3" t="s">
        <v>1123</v>
      </c>
      <c r="D375" s="3" t="s">
        <v>1327</v>
      </c>
      <c r="E375" t="s">
        <v>20</v>
      </c>
      <c r="F375" t="s">
        <v>152</v>
      </c>
      <c r="G375" t="s">
        <v>131</v>
      </c>
      <c r="H375" t="str">
        <f t="shared" si="16"/>
        <v>02</v>
      </c>
      <c r="I375" t="str">
        <f t="shared" si="17"/>
        <v>H</v>
      </c>
      <c r="J375" t="s">
        <v>153</v>
      </c>
      <c r="K375" t="s">
        <v>130</v>
      </c>
      <c r="L375" t="s">
        <v>142</v>
      </c>
      <c r="M375" t="s">
        <v>31</v>
      </c>
      <c r="N375">
        <v>1</v>
      </c>
      <c r="O375">
        <v>14</v>
      </c>
      <c r="P375" t="s">
        <v>154</v>
      </c>
      <c r="Q375" t="s">
        <v>28</v>
      </c>
      <c r="R375" t="s">
        <v>28</v>
      </c>
      <c r="S375" t="s">
        <v>28</v>
      </c>
      <c r="T375" t="s">
        <v>28</v>
      </c>
      <c r="U375" t="s">
        <v>28</v>
      </c>
      <c r="V375" t="s">
        <v>28</v>
      </c>
      <c r="W375">
        <v>6</v>
      </c>
      <c r="X375" t="s">
        <v>151</v>
      </c>
    </row>
    <row r="376" spans="1:24" x14ac:dyDescent="0.2">
      <c r="A376" t="str">
        <f t="shared" si="15"/>
        <v>sample_miseq-16S-D-H03-L6_SICap-P15-H3-P4D14-RCM-C2R1-yesBile-rep1-day14</v>
      </c>
      <c r="B376" s="1" t="s">
        <v>548</v>
      </c>
      <c r="C376" s="3" t="s">
        <v>1124</v>
      </c>
      <c r="D376" s="3" t="s">
        <v>1327</v>
      </c>
      <c r="E376" t="s">
        <v>20</v>
      </c>
      <c r="F376" t="s">
        <v>152</v>
      </c>
      <c r="G376" t="s">
        <v>132</v>
      </c>
      <c r="H376" t="str">
        <f t="shared" si="16"/>
        <v>03</v>
      </c>
      <c r="I376" t="str">
        <f t="shared" si="17"/>
        <v>H</v>
      </c>
      <c r="J376" t="s">
        <v>153</v>
      </c>
      <c r="K376" t="s">
        <v>130</v>
      </c>
      <c r="L376" t="s">
        <v>142</v>
      </c>
      <c r="M376" t="s">
        <v>33</v>
      </c>
      <c r="N376">
        <v>1</v>
      </c>
      <c r="O376">
        <v>14</v>
      </c>
      <c r="P376" t="s">
        <v>154</v>
      </c>
      <c r="Q376" t="s">
        <v>28</v>
      </c>
      <c r="R376" t="s">
        <v>28</v>
      </c>
      <c r="S376" t="s">
        <v>28</v>
      </c>
      <c r="T376" t="s">
        <v>28</v>
      </c>
      <c r="U376" t="s">
        <v>28</v>
      </c>
      <c r="V376" t="s">
        <v>28</v>
      </c>
      <c r="W376">
        <v>6</v>
      </c>
      <c r="X376" t="s">
        <v>151</v>
      </c>
    </row>
    <row r="377" spans="1:24" x14ac:dyDescent="0.2">
      <c r="A377" t="str">
        <f t="shared" si="15"/>
        <v>sample_miseq-16S-D-H04-L6_SICap-P15-H4-P4D14-RCM-C2R2-yesBile-rep1-day14</v>
      </c>
      <c r="B377" s="1" t="s">
        <v>549</v>
      </c>
      <c r="C377" s="3" t="s">
        <v>1125</v>
      </c>
      <c r="D377" s="3" t="s">
        <v>1327</v>
      </c>
      <c r="E377" t="s">
        <v>20</v>
      </c>
      <c r="F377" t="s">
        <v>152</v>
      </c>
      <c r="G377" t="s">
        <v>133</v>
      </c>
      <c r="H377" t="str">
        <f t="shared" si="16"/>
        <v>04</v>
      </c>
      <c r="I377" t="str">
        <f t="shared" si="17"/>
        <v>H</v>
      </c>
      <c r="J377" t="s">
        <v>153</v>
      </c>
      <c r="K377" t="s">
        <v>130</v>
      </c>
      <c r="L377" t="s">
        <v>142</v>
      </c>
      <c r="M377" t="s">
        <v>35</v>
      </c>
      <c r="N377">
        <v>1</v>
      </c>
      <c r="O377">
        <v>14</v>
      </c>
      <c r="P377" t="s">
        <v>154</v>
      </c>
      <c r="Q377" t="s">
        <v>28</v>
      </c>
      <c r="R377" t="s">
        <v>28</v>
      </c>
      <c r="S377" t="s">
        <v>28</v>
      </c>
      <c r="T377" t="s">
        <v>28</v>
      </c>
      <c r="U377" t="s">
        <v>28</v>
      </c>
      <c r="V377" t="s">
        <v>28</v>
      </c>
      <c r="W377">
        <v>6</v>
      </c>
      <c r="X377" t="s">
        <v>151</v>
      </c>
    </row>
    <row r="378" spans="1:24" x14ac:dyDescent="0.2">
      <c r="A378" t="str">
        <f t="shared" si="15"/>
        <v>sample_miseq-16S-D-H05-L6_SICap-P15-H5-P4D14-RCM-C3R1-yesBile-rep1-day14</v>
      </c>
      <c r="B378" s="1" t="s">
        <v>550</v>
      </c>
      <c r="C378" s="3" t="s">
        <v>1126</v>
      </c>
      <c r="D378" s="3" t="s">
        <v>1327</v>
      </c>
      <c r="E378" t="s">
        <v>20</v>
      </c>
      <c r="F378" t="s">
        <v>152</v>
      </c>
      <c r="G378" t="s">
        <v>134</v>
      </c>
      <c r="H378" t="str">
        <f t="shared" si="16"/>
        <v>05</v>
      </c>
      <c r="I378" t="str">
        <f t="shared" si="17"/>
        <v>H</v>
      </c>
      <c r="J378" t="s">
        <v>153</v>
      </c>
      <c r="K378" t="s">
        <v>130</v>
      </c>
      <c r="L378" t="s">
        <v>142</v>
      </c>
      <c r="M378" t="s">
        <v>37</v>
      </c>
      <c r="N378">
        <v>1</v>
      </c>
      <c r="O378">
        <v>14</v>
      </c>
      <c r="P378" t="s">
        <v>154</v>
      </c>
      <c r="Q378" t="s">
        <v>28</v>
      </c>
      <c r="R378" t="s">
        <v>28</v>
      </c>
      <c r="S378" t="s">
        <v>28</v>
      </c>
      <c r="T378" t="s">
        <v>28</v>
      </c>
      <c r="U378" t="s">
        <v>28</v>
      </c>
      <c r="V378" t="s">
        <v>28</v>
      </c>
      <c r="W378">
        <v>6</v>
      </c>
      <c r="X378" t="s">
        <v>151</v>
      </c>
    </row>
    <row r="379" spans="1:24" x14ac:dyDescent="0.2">
      <c r="A379" t="str">
        <f t="shared" si="15"/>
        <v>sample_miseq-16S-D-H06-L6_SICap-P15-H6-P4D14-RCM-C3R2-yesBile-rep1-day14</v>
      </c>
      <c r="B379" s="1" t="s">
        <v>551</v>
      </c>
      <c r="C379" s="3" t="s">
        <v>1127</v>
      </c>
      <c r="D379" s="3" t="s">
        <v>1327</v>
      </c>
      <c r="E379" t="s">
        <v>20</v>
      </c>
      <c r="F379" t="s">
        <v>152</v>
      </c>
      <c r="G379" t="s">
        <v>135</v>
      </c>
      <c r="H379" t="str">
        <f t="shared" si="16"/>
        <v>06</v>
      </c>
      <c r="I379" t="str">
        <f t="shared" si="17"/>
        <v>H</v>
      </c>
      <c r="J379" t="s">
        <v>153</v>
      </c>
      <c r="K379" t="s">
        <v>130</v>
      </c>
      <c r="L379" t="s">
        <v>142</v>
      </c>
      <c r="M379" t="s">
        <v>39</v>
      </c>
      <c r="N379">
        <v>1</v>
      </c>
      <c r="O379">
        <v>14</v>
      </c>
      <c r="P379" t="s">
        <v>154</v>
      </c>
      <c r="Q379" t="s">
        <v>28</v>
      </c>
      <c r="R379" t="s">
        <v>28</v>
      </c>
      <c r="S379" t="s">
        <v>28</v>
      </c>
      <c r="T379" t="s">
        <v>28</v>
      </c>
      <c r="U379" t="s">
        <v>28</v>
      </c>
      <c r="V379" t="s">
        <v>28</v>
      </c>
      <c r="W379">
        <v>6</v>
      </c>
      <c r="X379" t="s">
        <v>151</v>
      </c>
    </row>
    <row r="380" spans="1:24" x14ac:dyDescent="0.2">
      <c r="A380" t="str">
        <f t="shared" si="15"/>
        <v>sample_miseq-16S-D-H07-L6_SICap-P15-H7-P4D14-RCM-C4R1-yesBile-rep1-day14</v>
      </c>
      <c r="B380" s="1" t="s">
        <v>552</v>
      </c>
      <c r="C380" s="3" t="s">
        <v>1128</v>
      </c>
      <c r="D380" s="3" t="s">
        <v>1327</v>
      </c>
      <c r="E380" t="s">
        <v>20</v>
      </c>
      <c r="F380" t="s">
        <v>152</v>
      </c>
      <c r="G380" t="s">
        <v>136</v>
      </c>
      <c r="H380" t="str">
        <f t="shared" si="16"/>
        <v>07</v>
      </c>
      <c r="I380" t="str">
        <f t="shared" si="17"/>
        <v>H</v>
      </c>
      <c r="J380" t="s">
        <v>153</v>
      </c>
      <c r="K380" t="s">
        <v>130</v>
      </c>
      <c r="L380" t="s">
        <v>142</v>
      </c>
      <c r="M380" t="s">
        <v>41</v>
      </c>
      <c r="N380">
        <v>1</v>
      </c>
      <c r="O380">
        <v>14</v>
      </c>
      <c r="P380" t="s">
        <v>154</v>
      </c>
      <c r="Q380" t="s">
        <v>28</v>
      </c>
      <c r="R380" t="s">
        <v>28</v>
      </c>
      <c r="S380" t="s">
        <v>28</v>
      </c>
      <c r="T380" t="s">
        <v>28</v>
      </c>
      <c r="U380" t="s">
        <v>28</v>
      </c>
      <c r="V380" t="s">
        <v>28</v>
      </c>
      <c r="W380">
        <v>6</v>
      </c>
      <c r="X380" t="s">
        <v>151</v>
      </c>
    </row>
    <row r="381" spans="1:24" x14ac:dyDescent="0.2">
      <c r="A381" t="str">
        <f t="shared" si="15"/>
        <v>sample_miseq-16S-D-H08-L6_SICap-P15-H8-P4D14-RCM-C4R2-yesBile-rep1-day14</v>
      </c>
      <c r="B381" s="1" t="s">
        <v>553</v>
      </c>
      <c r="C381" s="3" t="s">
        <v>1129</v>
      </c>
      <c r="D381" s="3" t="s">
        <v>1327</v>
      </c>
      <c r="E381" t="s">
        <v>20</v>
      </c>
      <c r="F381" t="s">
        <v>152</v>
      </c>
      <c r="G381" t="s">
        <v>137</v>
      </c>
      <c r="H381" t="str">
        <f t="shared" si="16"/>
        <v>08</v>
      </c>
      <c r="I381" t="str">
        <f t="shared" si="17"/>
        <v>H</v>
      </c>
      <c r="J381" t="s">
        <v>153</v>
      </c>
      <c r="K381" t="s">
        <v>130</v>
      </c>
      <c r="L381" t="s">
        <v>142</v>
      </c>
      <c r="M381" t="s">
        <v>43</v>
      </c>
      <c r="N381">
        <v>1</v>
      </c>
      <c r="O381">
        <v>14</v>
      </c>
      <c r="P381" t="s">
        <v>154</v>
      </c>
      <c r="Q381" t="s">
        <v>28</v>
      </c>
      <c r="R381" t="s">
        <v>28</v>
      </c>
      <c r="S381" t="s">
        <v>28</v>
      </c>
      <c r="T381" t="s">
        <v>28</v>
      </c>
      <c r="U381" t="s">
        <v>28</v>
      </c>
      <c r="V381" t="s">
        <v>28</v>
      </c>
      <c r="W381">
        <v>6</v>
      </c>
      <c r="X381" t="s">
        <v>151</v>
      </c>
    </row>
    <row r="382" spans="1:24" x14ac:dyDescent="0.2">
      <c r="A382" t="str">
        <f t="shared" si="15"/>
        <v>sample_miseq-16S-D-H09-L6_SICap-P15-H9-P4D14-RCM-S1R2-yesBile-rep1-day14</v>
      </c>
      <c r="B382" s="1" t="s">
        <v>554</v>
      </c>
      <c r="C382" s="3" t="s">
        <v>1130</v>
      </c>
      <c r="D382" s="3" t="s">
        <v>1327</v>
      </c>
      <c r="E382" t="s">
        <v>20</v>
      </c>
      <c r="F382" t="s">
        <v>152</v>
      </c>
      <c r="G382" t="s">
        <v>138</v>
      </c>
      <c r="H382" t="str">
        <f t="shared" si="16"/>
        <v>09</v>
      </c>
      <c r="I382" t="str">
        <f t="shared" si="17"/>
        <v>H</v>
      </c>
      <c r="J382" t="s">
        <v>153</v>
      </c>
      <c r="K382" t="s">
        <v>130</v>
      </c>
      <c r="L382" t="s">
        <v>142</v>
      </c>
      <c r="M382" t="s">
        <v>45</v>
      </c>
      <c r="N382">
        <v>1</v>
      </c>
      <c r="O382">
        <v>14</v>
      </c>
      <c r="P382" t="s">
        <v>154</v>
      </c>
      <c r="Q382" t="s">
        <v>28</v>
      </c>
      <c r="R382" t="s">
        <v>28</v>
      </c>
      <c r="S382" t="s">
        <v>28</v>
      </c>
      <c r="T382" t="s">
        <v>28</v>
      </c>
      <c r="U382" t="s">
        <v>28</v>
      </c>
      <c r="V382" t="s">
        <v>28</v>
      </c>
      <c r="W382">
        <v>6</v>
      </c>
      <c r="X382" t="s">
        <v>151</v>
      </c>
    </row>
    <row r="383" spans="1:24" x14ac:dyDescent="0.2">
      <c r="A383" t="str">
        <f t="shared" si="15"/>
        <v>sample_miseq-16S-D-H10-L6_SICap-P15-H10-P4D14-RCM-StoolPool-yesBile-rep1-day14</v>
      </c>
      <c r="B383" s="1" t="s">
        <v>555</v>
      </c>
      <c r="C383" s="3" t="s">
        <v>1131</v>
      </c>
      <c r="D383" s="3" t="s">
        <v>1327</v>
      </c>
      <c r="E383" t="s">
        <v>20</v>
      </c>
      <c r="F383" t="s">
        <v>152</v>
      </c>
      <c r="G383" t="s">
        <v>139</v>
      </c>
      <c r="H383" t="str">
        <f t="shared" si="16"/>
        <v>10</v>
      </c>
      <c r="I383" t="str">
        <f t="shared" si="17"/>
        <v>H</v>
      </c>
      <c r="J383" t="s">
        <v>153</v>
      </c>
      <c r="K383" t="s">
        <v>130</v>
      </c>
      <c r="L383" t="s">
        <v>142</v>
      </c>
      <c r="M383" t="s">
        <v>47</v>
      </c>
      <c r="N383">
        <v>1</v>
      </c>
      <c r="O383">
        <v>14</v>
      </c>
      <c r="P383" t="s">
        <v>154</v>
      </c>
      <c r="Q383" t="s">
        <v>28</v>
      </c>
      <c r="R383" t="s">
        <v>28</v>
      </c>
      <c r="S383" t="s">
        <v>28</v>
      </c>
      <c r="T383" t="s">
        <v>28</v>
      </c>
      <c r="U383" t="s">
        <v>28</v>
      </c>
      <c r="V383" t="s">
        <v>28</v>
      </c>
      <c r="W383">
        <v>6</v>
      </c>
      <c r="X383" t="s">
        <v>151</v>
      </c>
    </row>
    <row r="384" spans="1:24" x14ac:dyDescent="0.2">
      <c r="A384" t="str">
        <f t="shared" si="15"/>
        <v>sample_miseq-16S-D-H11-L6_SICap-P15-H11-P4D14-RCM-SIPool-yesBile-rep1-day14</v>
      </c>
      <c r="B384" s="1" t="s">
        <v>556</v>
      </c>
      <c r="C384" s="3" t="s">
        <v>1132</v>
      </c>
      <c r="D384" s="3" t="s">
        <v>1327</v>
      </c>
      <c r="E384" t="s">
        <v>20</v>
      </c>
      <c r="F384" t="s">
        <v>152</v>
      </c>
      <c r="G384" t="s">
        <v>140</v>
      </c>
      <c r="H384" t="str">
        <f t="shared" si="16"/>
        <v>11</v>
      </c>
      <c r="I384" t="str">
        <f t="shared" si="17"/>
        <v>H</v>
      </c>
      <c r="J384" t="s">
        <v>153</v>
      </c>
      <c r="K384" t="s">
        <v>130</v>
      </c>
      <c r="L384" t="s">
        <v>142</v>
      </c>
      <c r="M384" t="s">
        <v>49</v>
      </c>
      <c r="N384">
        <v>1</v>
      </c>
      <c r="O384">
        <v>14</v>
      </c>
      <c r="P384" t="s">
        <v>154</v>
      </c>
      <c r="Q384" t="s">
        <v>28</v>
      </c>
      <c r="R384" t="s">
        <v>28</v>
      </c>
      <c r="S384" t="s">
        <v>28</v>
      </c>
      <c r="T384" t="s">
        <v>28</v>
      </c>
      <c r="U384" t="s">
        <v>28</v>
      </c>
      <c r="V384" t="s">
        <v>28</v>
      </c>
      <c r="W384">
        <v>6</v>
      </c>
      <c r="X384" t="s">
        <v>151</v>
      </c>
    </row>
    <row r="385" spans="1:24" x14ac:dyDescent="0.2">
      <c r="A385" t="str">
        <f t="shared" si="15"/>
        <v>sample_miseq-16S-D-H12-L6_SICap-P15-H12-P4D14-RCM-Media-yesBile-rep1-day14</v>
      </c>
      <c r="B385" s="1" t="s">
        <v>557</v>
      </c>
      <c r="C385" s="3" t="s">
        <v>1133</v>
      </c>
      <c r="D385" s="3" t="s">
        <v>1327</v>
      </c>
      <c r="E385" t="s">
        <v>20</v>
      </c>
      <c r="F385" t="s">
        <v>152</v>
      </c>
      <c r="G385" t="s">
        <v>141</v>
      </c>
      <c r="H385" t="str">
        <f t="shared" si="16"/>
        <v>12</v>
      </c>
      <c r="I385" t="str">
        <f t="shared" si="17"/>
        <v>H</v>
      </c>
      <c r="J385" t="s">
        <v>153</v>
      </c>
      <c r="K385" t="s">
        <v>130</v>
      </c>
      <c r="L385" t="s">
        <v>142</v>
      </c>
      <c r="M385" t="s">
        <v>6</v>
      </c>
      <c r="N385">
        <v>1</v>
      </c>
      <c r="O385">
        <v>14</v>
      </c>
      <c r="P385" t="s">
        <v>154</v>
      </c>
      <c r="Q385" t="s">
        <v>28</v>
      </c>
      <c r="R385" t="s">
        <v>28</v>
      </c>
      <c r="S385" t="s">
        <v>28</v>
      </c>
      <c r="T385" t="s">
        <v>28</v>
      </c>
      <c r="U385" t="s">
        <v>28</v>
      </c>
      <c r="V385" t="s">
        <v>28</v>
      </c>
      <c r="W385">
        <v>6</v>
      </c>
      <c r="X385" t="s">
        <v>151</v>
      </c>
    </row>
    <row r="386" spans="1:24" x14ac:dyDescent="0.2">
      <c r="A386" t="str">
        <f t="shared" si="15"/>
        <v>sample_miseq-16S-E-A01-L3_SICap-P20-A1-P1D14-RP3-M9-C1R1-noBile-rep1-day14-repassage3</v>
      </c>
      <c r="B386" s="1" t="s">
        <v>558</v>
      </c>
      <c r="C386" s="3" t="s">
        <v>1134</v>
      </c>
      <c r="D386" s="3" t="s">
        <v>1327</v>
      </c>
      <c r="E386" t="s">
        <v>20</v>
      </c>
      <c r="F386" t="s">
        <v>156</v>
      </c>
      <c r="G386" t="s">
        <v>22</v>
      </c>
      <c r="H386" t="str">
        <f t="shared" si="16"/>
        <v>01</v>
      </c>
      <c r="I386" t="str">
        <f t="shared" si="17"/>
        <v>A</v>
      </c>
      <c r="J386" t="s">
        <v>157</v>
      </c>
      <c r="K386" t="s">
        <v>24</v>
      </c>
      <c r="L386" t="s">
        <v>25</v>
      </c>
      <c r="M386" t="s">
        <v>26</v>
      </c>
      <c r="N386">
        <v>1</v>
      </c>
      <c r="O386" t="s">
        <v>158</v>
      </c>
      <c r="P386" t="s">
        <v>159</v>
      </c>
      <c r="Q386" t="s">
        <v>28</v>
      </c>
      <c r="R386" t="s">
        <v>28</v>
      </c>
      <c r="S386" t="s">
        <v>28</v>
      </c>
      <c r="T386" t="s">
        <v>28</v>
      </c>
      <c r="U386" t="s">
        <v>28</v>
      </c>
      <c r="V386" t="s">
        <v>28</v>
      </c>
      <c r="W386">
        <v>3</v>
      </c>
      <c r="X386" t="s">
        <v>155</v>
      </c>
    </row>
    <row r="387" spans="1:24" x14ac:dyDescent="0.2">
      <c r="A387" t="str">
        <f t="shared" ref="A387:A450" si="18">_xlfn.CONCAT("sample_miseq-",C387)</f>
        <v>sample_miseq-16S-E-A02-L3_SICap-P20-A2-P1D14-RP3-M9-C1R2-noBile-rep1-day14-repassage3</v>
      </c>
      <c r="B387" s="1" t="s">
        <v>559</v>
      </c>
      <c r="C387" s="3" t="s">
        <v>1135</v>
      </c>
      <c r="D387" s="3" t="s">
        <v>1327</v>
      </c>
      <c r="E387" t="s">
        <v>20</v>
      </c>
      <c r="F387" t="s">
        <v>156</v>
      </c>
      <c r="G387" t="s">
        <v>30</v>
      </c>
      <c r="H387" t="str">
        <f t="shared" ref="H387:H450" si="19">RIGHT(G387,2)</f>
        <v>02</v>
      </c>
      <c r="I387" t="str">
        <f t="shared" ref="I387:I450" si="20">LEFT(G387)</f>
        <v>A</v>
      </c>
      <c r="J387" t="s">
        <v>157</v>
      </c>
      <c r="K387" t="s">
        <v>24</v>
      </c>
      <c r="L387" t="s">
        <v>25</v>
      </c>
      <c r="M387" t="s">
        <v>31</v>
      </c>
      <c r="N387">
        <v>1</v>
      </c>
      <c r="O387" t="s">
        <v>158</v>
      </c>
      <c r="P387" t="s">
        <v>159</v>
      </c>
      <c r="Q387" t="s">
        <v>28</v>
      </c>
      <c r="R387" t="s">
        <v>28</v>
      </c>
      <c r="S387" t="s">
        <v>28</v>
      </c>
      <c r="T387" t="s">
        <v>28</v>
      </c>
      <c r="U387" t="s">
        <v>28</v>
      </c>
      <c r="V387" t="s">
        <v>28</v>
      </c>
      <c r="W387">
        <v>3</v>
      </c>
      <c r="X387" t="s">
        <v>155</v>
      </c>
    </row>
    <row r="388" spans="1:24" x14ac:dyDescent="0.2">
      <c r="A388" t="str">
        <f t="shared" si="18"/>
        <v>sample_miseq-16S-E-A03-L3_SICap-P20-A3-P1D14-RP3-M9-C2R1-noBile-rep1-day14-repassage3</v>
      </c>
      <c r="B388" s="1" t="s">
        <v>560</v>
      </c>
      <c r="C388" s="3" t="s">
        <v>1136</v>
      </c>
      <c r="D388" s="3" t="s">
        <v>1327</v>
      </c>
      <c r="E388" t="s">
        <v>20</v>
      </c>
      <c r="F388" t="s">
        <v>156</v>
      </c>
      <c r="G388" t="s">
        <v>32</v>
      </c>
      <c r="H388" t="str">
        <f t="shared" si="19"/>
        <v>03</v>
      </c>
      <c r="I388" t="str">
        <f t="shared" si="20"/>
        <v>A</v>
      </c>
      <c r="J388" t="s">
        <v>157</v>
      </c>
      <c r="K388" t="s">
        <v>24</v>
      </c>
      <c r="L388" t="s">
        <v>25</v>
      </c>
      <c r="M388" t="s">
        <v>33</v>
      </c>
      <c r="N388">
        <v>1</v>
      </c>
      <c r="O388" t="s">
        <v>158</v>
      </c>
      <c r="P388" t="s">
        <v>159</v>
      </c>
      <c r="Q388" t="s">
        <v>28</v>
      </c>
      <c r="R388" t="s">
        <v>28</v>
      </c>
      <c r="S388" t="s">
        <v>28</v>
      </c>
      <c r="T388" t="s">
        <v>28</v>
      </c>
      <c r="U388" t="s">
        <v>28</v>
      </c>
      <c r="V388" t="s">
        <v>28</v>
      </c>
      <c r="W388">
        <v>3</v>
      </c>
      <c r="X388" t="s">
        <v>155</v>
      </c>
    </row>
    <row r="389" spans="1:24" x14ac:dyDescent="0.2">
      <c r="A389" t="str">
        <f t="shared" si="18"/>
        <v>sample_miseq-16S-E-A04-L3_SICap-P20-A4-P1D14-RP3-M9-C2R2-noBile-rep1-day14-repassage3</v>
      </c>
      <c r="B389" s="1" t="s">
        <v>561</v>
      </c>
      <c r="C389" s="3" t="s">
        <v>1137</v>
      </c>
      <c r="D389" s="3" t="s">
        <v>1327</v>
      </c>
      <c r="E389" t="s">
        <v>20</v>
      </c>
      <c r="F389" t="s">
        <v>156</v>
      </c>
      <c r="G389" t="s">
        <v>34</v>
      </c>
      <c r="H389" t="str">
        <f t="shared" si="19"/>
        <v>04</v>
      </c>
      <c r="I389" t="str">
        <f t="shared" si="20"/>
        <v>A</v>
      </c>
      <c r="J389" t="s">
        <v>157</v>
      </c>
      <c r="K389" t="s">
        <v>24</v>
      </c>
      <c r="L389" t="s">
        <v>25</v>
      </c>
      <c r="M389" t="s">
        <v>35</v>
      </c>
      <c r="N389">
        <v>1</v>
      </c>
      <c r="O389" t="s">
        <v>158</v>
      </c>
      <c r="P389" t="s">
        <v>159</v>
      </c>
      <c r="Q389" t="s">
        <v>28</v>
      </c>
      <c r="R389" t="s">
        <v>28</v>
      </c>
      <c r="S389" t="s">
        <v>28</v>
      </c>
      <c r="T389" t="s">
        <v>28</v>
      </c>
      <c r="U389" t="s">
        <v>28</v>
      </c>
      <c r="V389" t="s">
        <v>28</v>
      </c>
      <c r="W389">
        <v>3</v>
      </c>
      <c r="X389" t="s">
        <v>155</v>
      </c>
    </row>
    <row r="390" spans="1:24" x14ac:dyDescent="0.2">
      <c r="A390" t="str">
        <f t="shared" si="18"/>
        <v>sample_miseq-16S-E-A05-L3_SICap-P20-A5-P1D14-RP3-M9-C3R1-noBile-rep1-day14-repassage3</v>
      </c>
      <c r="B390" s="1" t="s">
        <v>562</v>
      </c>
      <c r="C390" s="3" t="s">
        <v>1138</v>
      </c>
      <c r="D390" s="3" t="s">
        <v>1327</v>
      </c>
      <c r="E390" t="s">
        <v>20</v>
      </c>
      <c r="F390" t="s">
        <v>156</v>
      </c>
      <c r="G390" t="s">
        <v>36</v>
      </c>
      <c r="H390" t="str">
        <f t="shared" si="19"/>
        <v>05</v>
      </c>
      <c r="I390" t="str">
        <f t="shared" si="20"/>
        <v>A</v>
      </c>
      <c r="J390" t="s">
        <v>157</v>
      </c>
      <c r="K390" t="s">
        <v>24</v>
      </c>
      <c r="L390" t="s">
        <v>25</v>
      </c>
      <c r="M390" t="s">
        <v>37</v>
      </c>
      <c r="N390">
        <v>1</v>
      </c>
      <c r="O390" t="s">
        <v>158</v>
      </c>
      <c r="P390" t="s">
        <v>159</v>
      </c>
      <c r="Q390" t="s">
        <v>28</v>
      </c>
      <c r="R390" t="s">
        <v>28</v>
      </c>
      <c r="S390" t="s">
        <v>28</v>
      </c>
      <c r="T390" t="s">
        <v>28</v>
      </c>
      <c r="U390" t="s">
        <v>28</v>
      </c>
      <c r="V390" t="s">
        <v>28</v>
      </c>
      <c r="W390">
        <v>3</v>
      </c>
      <c r="X390" t="s">
        <v>155</v>
      </c>
    </row>
    <row r="391" spans="1:24" x14ac:dyDescent="0.2">
      <c r="A391" t="str">
        <f t="shared" si="18"/>
        <v>sample_miseq-16S-E-A06-L3_SICap-P20-A6-P1D14-RP3-M9-C3R2-noBile-rep1-day14-repassage3</v>
      </c>
      <c r="B391" s="1" t="s">
        <v>563</v>
      </c>
      <c r="C391" s="3" t="s">
        <v>1139</v>
      </c>
      <c r="D391" s="3" t="s">
        <v>1327</v>
      </c>
      <c r="E391" t="s">
        <v>20</v>
      </c>
      <c r="F391" t="s">
        <v>156</v>
      </c>
      <c r="G391" t="s">
        <v>38</v>
      </c>
      <c r="H391" t="str">
        <f t="shared" si="19"/>
        <v>06</v>
      </c>
      <c r="I391" t="str">
        <f t="shared" si="20"/>
        <v>A</v>
      </c>
      <c r="J391" t="s">
        <v>157</v>
      </c>
      <c r="K391" t="s">
        <v>24</v>
      </c>
      <c r="L391" t="s">
        <v>25</v>
      </c>
      <c r="M391" t="s">
        <v>39</v>
      </c>
      <c r="N391">
        <v>1</v>
      </c>
      <c r="O391" t="s">
        <v>158</v>
      </c>
      <c r="P391" t="s">
        <v>159</v>
      </c>
      <c r="Q391" t="s">
        <v>28</v>
      </c>
      <c r="R391" t="s">
        <v>28</v>
      </c>
      <c r="S391" t="s">
        <v>28</v>
      </c>
      <c r="T391" t="s">
        <v>28</v>
      </c>
      <c r="U391" t="s">
        <v>28</v>
      </c>
      <c r="V391" t="s">
        <v>28</v>
      </c>
      <c r="W391">
        <v>3</v>
      </c>
      <c r="X391" t="s">
        <v>155</v>
      </c>
    </row>
    <row r="392" spans="1:24" x14ac:dyDescent="0.2">
      <c r="A392" t="str">
        <f t="shared" si="18"/>
        <v>sample_miseq-16S-E-A07-L3_SICap-P20-A7-P1D14-RP3-M9-C4R1-noBile-rep1-day14-repassage3</v>
      </c>
      <c r="B392" s="1" t="s">
        <v>564</v>
      </c>
      <c r="C392" s="3" t="s">
        <v>1140</v>
      </c>
      <c r="D392" s="3" t="s">
        <v>1327</v>
      </c>
      <c r="E392" t="s">
        <v>20</v>
      </c>
      <c r="F392" t="s">
        <v>156</v>
      </c>
      <c r="G392" t="s">
        <v>40</v>
      </c>
      <c r="H392" t="str">
        <f t="shared" si="19"/>
        <v>07</v>
      </c>
      <c r="I392" t="str">
        <f t="shared" si="20"/>
        <v>A</v>
      </c>
      <c r="J392" t="s">
        <v>157</v>
      </c>
      <c r="K392" t="s">
        <v>24</v>
      </c>
      <c r="L392" t="s">
        <v>25</v>
      </c>
      <c r="M392" t="s">
        <v>41</v>
      </c>
      <c r="N392">
        <v>1</v>
      </c>
      <c r="O392" t="s">
        <v>158</v>
      </c>
      <c r="P392" t="s">
        <v>159</v>
      </c>
      <c r="Q392" t="s">
        <v>28</v>
      </c>
      <c r="R392" t="s">
        <v>28</v>
      </c>
      <c r="S392" t="s">
        <v>28</v>
      </c>
      <c r="T392" t="s">
        <v>28</v>
      </c>
      <c r="U392" t="s">
        <v>28</v>
      </c>
      <c r="V392" t="s">
        <v>28</v>
      </c>
      <c r="W392">
        <v>3</v>
      </c>
      <c r="X392" t="s">
        <v>155</v>
      </c>
    </row>
    <row r="393" spans="1:24" x14ac:dyDescent="0.2">
      <c r="A393" t="str">
        <f t="shared" si="18"/>
        <v>sample_miseq-16S-E-A08-L3_SICap-P20-A8-P1D14-RP3-M9-C4R2-noBile-rep1-day14-repassage3</v>
      </c>
      <c r="B393" s="1" t="s">
        <v>565</v>
      </c>
      <c r="C393" s="3" t="s">
        <v>1141</v>
      </c>
      <c r="D393" s="3" t="s">
        <v>1327</v>
      </c>
      <c r="E393" t="s">
        <v>20</v>
      </c>
      <c r="F393" t="s">
        <v>156</v>
      </c>
      <c r="G393" t="s">
        <v>42</v>
      </c>
      <c r="H393" t="str">
        <f t="shared" si="19"/>
        <v>08</v>
      </c>
      <c r="I393" t="str">
        <f t="shared" si="20"/>
        <v>A</v>
      </c>
      <c r="J393" t="s">
        <v>157</v>
      </c>
      <c r="K393" t="s">
        <v>24</v>
      </c>
      <c r="L393" t="s">
        <v>25</v>
      </c>
      <c r="M393" t="s">
        <v>43</v>
      </c>
      <c r="N393">
        <v>1</v>
      </c>
      <c r="O393" t="s">
        <v>158</v>
      </c>
      <c r="P393" t="s">
        <v>159</v>
      </c>
      <c r="Q393" t="s">
        <v>28</v>
      </c>
      <c r="R393" t="s">
        <v>28</v>
      </c>
      <c r="S393" t="s">
        <v>28</v>
      </c>
      <c r="T393" t="s">
        <v>28</v>
      </c>
      <c r="U393" t="s">
        <v>28</v>
      </c>
      <c r="V393" t="s">
        <v>28</v>
      </c>
      <c r="W393">
        <v>3</v>
      </c>
      <c r="X393" t="s">
        <v>155</v>
      </c>
    </row>
    <row r="394" spans="1:24" x14ac:dyDescent="0.2">
      <c r="A394" t="str">
        <f t="shared" si="18"/>
        <v>sample_miseq-16S-E-A09-L3_SICap-P20-A9-P1D14-RP3-M9-S1R2-noBile-rep1-day14-repassage3</v>
      </c>
      <c r="B394" s="1" t="s">
        <v>566</v>
      </c>
      <c r="C394" s="3" t="s">
        <v>1142</v>
      </c>
      <c r="D394" s="3" t="s">
        <v>1327</v>
      </c>
      <c r="E394" t="s">
        <v>20</v>
      </c>
      <c r="F394" t="s">
        <v>156</v>
      </c>
      <c r="G394" t="s">
        <v>44</v>
      </c>
      <c r="H394" t="str">
        <f t="shared" si="19"/>
        <v>09</v>
      </c>
      <c r="I394" t="str">
        <f t="shared" si="20"/>
        <v>A</v>
      </c>
      <c r="J394" t="s">
        <v>157</v>
      </c>
      <c r="K394" t="s">
        <v>24</v>
      </c>
      <c r="L394" t="s">
        <v>25</v>
      </c>
      <c r="M394" t="s">
        <v>45</v>
      </c>
      <c r="N394">
        <v>1</v>
      </c>
      <c r="O394" t="s">
        <v>158</v>
      </c>
      <c r="P394" t="s">
        <v>159</v>
      </c>
      <c r="Q394" t="s">
        <v>28</v>
      </c>
      <c r="R394" t="s">
        <v>28</v>
      </c>
      <c r="S394" t="s">
        <v>28</v>
      </c>
      <c r="T394" t="s">
        <v>28</v>
      </c>
      <c r="U394" t="s">
        <v>28</v>
      </c>
      <c r="V394" t="s">
        <v>28</v>
      </c>
      <c r="W394">
        <v>3</v>
      </c>
      <c r="X394" t="s">
        <v>155</v>
      </c>
    </row>
    <row r="395" spans="1:24" x14ac:dyDescent="0.2">
      <c r="A395" t="str">
        <f t="shared" si="18"/>
        <v>sample_miseq-16S-E-A10-L3_SICap-P20-A10-P1D14-RP3-M9-StoolPool-noBile-rep1-day14-repassage3</v>
      </c>
      <c r="B395" s="1" t="s">
        <v>567</v>
      </c>
      <c r="C395" s="3" t="s">
        <v>1143</v>
      </c>
      <c r="D395" s="3" t="s">
        <v>1327</v>
      </c>
      <c r="E395" t="s">
        <v>20</v>
      </c>
      <c r="F395" t="s">
        <v>156</v>
      </c>
      <c r="G395" t="s">
        <v>46</v>
      </c>
      <c r="H395" t="str">
        <f t="shared" si="19"/>
        <v>10</v>
      </c>
      <c r="I395" t="str">
        <f t="shared" si="20"/>
        <v>A</v>
      </c>
      <c r="J395" t="s">
        <v>157</v>
      </c>
      <c r="K395" t="s">
        <v>24</v>
      </c>
      <c r="L395" t="s">
        <v>25</v>
      </c>
      <c r="M395" t="s">
        <v>47</v>
      </c>
      <c r="N395">
        <v>1</v>
      </c>
      <c r="O395" t="s">
        <v>158</v>
      </c>
      <c r="P395" t="s">
        <v>159</v>
      </c>
      <c r="Q395" t="s">
        <v>28</v>
      </c>
      <c r="R395" t="s">
        <v>28</v>
      </c>
      <c r="S395" t="s">
        <v>28</v>
      </c>
      <c r="T395" t="s">
        <v>28</v>
      </c>
      <c r="U395" t="s">
        <v>28</v>
      </c>
      <c r="V395" t="s">
        <v>28</v>
      </c>
      <c r="W395">
        <v>3</v>
      </c>
      <c r="X395" t="s">
        <v>155</v>
      </c>
    </row>
    <row r="396" spans="1:24" x14ac:dyDescent="0.2">
      <c r="A396" t="str">
        <f t="shared" si="18"/>
        <v>sample_miseq-16S-E-A11-L3_SICap-P20-A11-P1D14-RP3-M9-SIPool-noBile-rep1-day14-repassage3</v>
      </c>
      <c r="B396" s="1" t="s">
        <v>568</v>
      </c>
      <c r="C396" s="3" t="s">
        <v>1144</v>
      </c>
      <c r="D396" s="3" t="s">
        <v>1327</v>
      </c>
      <c r="E396" t="s">
        <v>20</v>
      </c>
      <c r="F396" t="s">
        <v>156</v>
      </c>
      <c r="G396" t="s">
        <v>48</v>
      </c>
      <c r="H396" t="str">
        <f t="shared" si="19"/>
        <v>11</v>
      </c>
      <c r="I396" t="str">
        <f t="shared" si="20"/>
        <v>A</v>
      </c>
      <c r="J396" t="s">
        <v>157</v>
      </c>
      <c r="K396" t="s">
        <v>24</v>
      </c>
      <c r="L396" t="s">
        <v>25</v>
      </c>
      <c r="M396" t="s">
        <v>49</v>
      </c>
      <c r="N396">
        <v>1</v>
      </c>
      <c r="O396" t="s">
        <v>158</v>
      </c>
      <c r="P396" t="s">
        <v>159</v>
      </c>
      <c r="Q396" t="s">
        <v>28</v>
      </c>
      <c r="R396" t="s">
        <v>28</v>
      </c>
      <c r="S396" t="s">
        <v>28</v>
      </c>
      <c r="T396" t="s">
        <v>28</v>
      </c>
      <c r="U396" t="s">
        <v>28</v>
      </c>
      <c r="V396" t="s">
        <v>28</v>
      </c>
      <c r="W396">
        <v>3</v>
      </c>
      <c r="X396" t="s">
        <v>155</v>
      </c>
    </row>
    <row r="397" spans="1:24" x14ac:dyDescent="0.2">
      <c r="A397" t="str">
        <f t="shared" si="18"/>
        <v>sample_miseq-16S-E-A12-L3_SICap-P20-A12-P1D14-RP3-M9-Media-noBile-rep1-day14-repassage3</v>
      </c>
      <c r="B397" s="1" t="s">
        <v>569</v>
      </c>
      <c r="C397" s="3" t="s">
        <v>1145</v>
      </c>
      <c r="D397" s="3" t="s">
        <v>1327</v>
      </c>
      <c r="E397" t="s">
        <v>20</v>
      </c>
      <c r="F397" t="s">
        <v>156</v>
      </c>
      <c r="G397" t="s">
        <v>50</v>
      </c>
      <c r="H397" t="str">
        <f t="shared" si="19"/>
        <v>12</v>
      </c>
      <c r="I397" t="str">
        <f t="shared" si="20"/>
        <v>A</v>
      </c>
      <c r="J397" t="s">
        <v>157</v>
      </c>
      <c r="K397" t="s">
        <v>24</v>
      </c>
      <c r="L397" t="s">
        <v>25</v>
      </c>
      <c r="M397" t="s">
        <v>6</v>
      </c>
      <c r="N397">
        <v>1</v>
      </c>
      <c r="O397" t="s">
        <v>158</v>
      </c>
      <c r="P397" t="s">
        <v>159</v>
      </c>
      <c r="Q397" t="s">
        <v>28</v>
      </c>
      <c r="R397" t="s">
        <v>28</v>
      </c>
      <c r="S397" t="s">
        <v>28</v>
      </c>
      <c r="T397" t="s">
        <v>28</v>
      </c>
      <c r="U397" t="s">
        <v>28</v>
      </c>
      <c r="V397" t="s">
        <v>28</v>
      </c>
      <c r="W397">
        <v>3</v>
      </c>
      <c r="X397" t="s">
        <v>155</v>
      </c>
    </row>
    <row r="398" spans="1:24" x14ac:dyDescent="0.2">
      <c r="A398" t="str">
        <f t="shared" si="18"/>
        <v>sample_miseq-16S-E-B01-L3_SICap-P20-B1-P1D14-RP3-EZ-RDM-C1R1-noBile-rep1-day14-repassage3</v>
      </c>
      <c r="B398" s="1" t="s">
        <v>570</v>
      </c>
      <c r="C398" s="3" t="s">
        <v>1146</v>
      </c>
      <c r="D398" s="3" t="s">
        <v>1327</v>
      </c>
      <c r="E398" t="s">
        <v>20</v>
      </c>
      <c r="F398" t="s">
        <v>156</v>
      </c>
      <c r="G398" t="s">
        <v>51</v>
      </c>
      <c r="H398" t="str">
        <f t="shared" si="19"/>
        <v>01</v>
      </c>
      <c r="I398" t="str">
        <f t="shared" si="20"/>
        <v>B</v>
      </c>
      <c r="J398" t="s">
        <v>157</v>
      </c>
      <c r="K398" t="s">
        <v>52</v>
      </c>
      <c r="L398" t="s">
        <v>25</v>
      </c>
      <c r="M398" t="s">
        <v>26</v>
      </c>
      <c r="N398">
        <v>1</v>
      </c>
      <c r="O398" t="s">
        <v>158</v>
      </c>
      <c r="P398" t="s">
        <v>159</v>
      </c>
      <c r="Q398" t="s">
        <v>28</v>
      </c>
      <c r="R398" t="s">
        <v>28</v>
      </c>
      <c r="S398" t="s">
        <v>28</v>
      </c>
      <c r="T398" t="s">
        <v>28</v>
      </c>
      <c r="U398" t="s">
        <v>28</v>
      </c>
      <c r="V398" t="s">
        <v>28</v>
      </c>
      <c r="W398">
        <v>3</v>
      </c>
      <c r="X398" t="s">
        <v>155</v>
      </c>
    </row>
    <row r="399" spans="1:24" x14ac:dyDescent="0.2">
      <c r="A399" t="str">
        <f t="shared" si="18"/>
        <v>sample_miseq-16S-E-B02-L3_SICap-P20-B2-P1D14-RP3-EZ-RDM-C1R2-noBile-rep1-day14-repassage3</v>
      </c>
      <c r="B399" s="1" t="s">
        <v>571</v>
      </c>
      <c r="C399" s="3" t="s">
        <v>1147</v>
      </c>
      <c r="D399" s="3" t="s">
        <v>1327</v>
      </c>
      <c r="E399" t="s">
        <v>20</v>
      </c>
      <c r="F399" t="s">
        <v>156</v>
      </c>
      <c r="G399" t="s">
        <v>53</v>
      </c>
      <c r="H399" t="str">
        <f t="shared" si="19"/>
        <v>02</v>
      </c>
      <c r="I399" t="str">
        <f t="shared" si="20"/>
        <v>B</v>
      </c>
      <c r="J399" t="s">
        <v>157</v>
      </c>
      <c r="K399" t="s">
        <v>52</v>
      </c>
      <c r="L399" t="s">
        <v>25</v>
      </c>
      <c r="M399" t="s">
        <v>31</v>
      </c>
      <c r="N399">
        <v>1</v>
      </c>
      <c r="O399" t="s">
        <v>158</v>
      </c>
      <c r="P399" t="s">
        <v>159</v>
      </c>
      <c r="Q399" t="s">
        <v>28</v>
      </c>
      <c r="R399" t="s">
        <v>28</v>
      </c>
      <c r="S399" t="s">
        <v>28</v>
      </c>
      <c r="T399" t="s">
        <v>28</v>
      </c>
      <c r="U399" t="s">
        <v>28</v>
      </c>
      <c r="V399" t="s">
        <v>28</v>
      </c>
      <c r="W399">
        <v>3</v>
      </c>
      <c r="X399" t="s">
        <v>155</v>
      </c>
    </row>
    <row r="400" spans="1:24" x14ac:dyDescent="0.2">
      <c r="A400" t="str">
        <f t="shared" si="18"/>
        <v>sample_miseq-16S-E-B03-L3_SICap-P20-B3-P1D14-RP3-EZ-RDM-C2R1-noBile-rep1-day14-repassage3</v>
      </c>
      <c r="B400" s="1" t="s">
        <v>572</v>
      </c>
      <c r="C400" s="3" t="s">
        <v>1148</v>
      </c>
      <c r="D400" s="3" t="s">
        <v>1327</v>
      </c>
      <c r="E400" t="s">
        <v>20</v>
      </c>
      <c r="F400" t="s">
        <v>156</v>
      </c>
      <c r="G400" t="s">
        <v>54</v>
      </c>
      <c r="H400" t="str">
        <f t="shared" si="19"/>
        <v>03</v>
      </c>
      <c r="I400" t="str">
        <f t="shared" si="20"/>
        <v>B</v>
      </c>
      <c r="J400" t="s">
        <v>157</v>
      </c>
      <c r="K400" t="s">
        <v>52</v>
      </c>
      <c r="L400" t="s">
        <v>25</v>
      </c>
      <c r="M400" t="s">
        <v>33</v>
      </c>
      <c r="N400">
        <v>1</v>
      </c>
      <c r="O400" t="s">
        <v>158</v>
      </c>
      <c r="P400" t="s">
        <v>159</v>
      </c>
      <c r="Q400" t="s">
        <v>28</v>
      </c>
      <c r="R400" t="s">
        <v>28</v>
      </c>
      <c r="S400" t="s">
        <v>28</v>
      </c>
      <c r="T400" t="s">
        <v>28</v>
      </c>
      <c r="U400" t="s">
        <v>28</v>
      </c>
      <c r="V400" t="s">
        <v>28</v>
      </c>
      <c r="W400">
        <v>3</v>
      </c>
      <c r="X400" t="s">
        <v>155</v>
      </c>
    </row>
    <row r="401" spans="1:24" x14ac:dyDescent="0.2">
      <c r="A401" t="str">
        <f t="shared" si="18"/>
        <v>sample_miseq-16S-E-B04-L3_SICap-P20-B4-P1D14-RP3-EZ-RDM-C2R2-noBile-rep1-day14-repassage3</v>
      </c>
      <c r="B401" s="1" t="s">
        <v>573</v>
      </c>
      <c r="C401" s="3" t="s">
        <v>1149</v>
      </c>
      <c r="D401" s="3" t="s">
        <v>1327</v>
      </c>
      <c r="E401" t="s">
        <v>20</v>
      </c>
      <c r="F401" t="s">
        <v>156</v>
      </c>
      <c r="G401" t="s">
        <v>55</v>
      </c>
      <c r="H401" t="str">
        <f t="shared" si="19"/>
        <v>04</v>
      </c>
      <c r="I401" t="str">
        <f t="shared" si="20"/>
        <v>B</v>
      </c>
      <c r="J401" t="s">
        <v>157</v>
      </c>
      <c r="K401" t="s">
        <v>52</v>
      </c>
      <c r="L401" t="s">
        <v>25</v>
      </c>
      <c r="M401" t="s">
        <v>35</v>
      </c>
      <c r="N401">
        <v>1</v>
      </c>
      <c r="O401" t="s">
        <v>158</v>
      </c>
      <c r="P401" t="s">
        <v>159</v>
      </c>
      <c r="Q401" t="s">
        <v>28</v>
      </c>
      <c r="R401" t="s">
        <v>28</v>
      </c>
      <c r="S401" t="s">
        <v>28</v>
      </c>
      <c r="T401" t="s">
        <v>28</v>
      </c>
      <c r="U401" t="s">
        <v>28</v>
      </c>
      <c r="V401" t="s">
        <v>28</v>
      </c>
      <c r="W401">
        <v>3</v>
      </c>
      <c r="X401" t="s">
        <v>155</v>
      </c>
    </row>
    <row r="402" spans="1:24" x14ac:dyDescent="0.2">
      <c r="A402" t="str">
        <f t="shared" si="18"/>
        <v>sample_miseq-16S-E-B05-L3_SICap-P20-B5-P1D14-RP3-EZ-RDM-C3R1-noBile-rep1-day14-repassage3</v>
      </c>
      <c r="B402" s="1" t="s">
        <v>574</v>
      </c>
      <c r="C402" s="3" t="s">
        <v>1150</v>
      </c>
      <c r="D402" s="3" t="s">
        <v>1327</v>
      </c>
      <c r="E402" t="s">
        <v>20</v>
      </c>
      <c r="F402" t="s">
        <v>156</v>
      </c>
      <c r="G402" t="s">
        <v>56</v>
      </c>
      <c r="H402" t="str">
        <f t="shared" si="19"/>
        <v>05</v>
      </c>
      <c r="I402" t="str">
        <f t="shared" si="20"/>
        <v>B</v>
      </c>
      <c r="J402" t="s">
        <v>157</v>
      </c>
      <c r="K402" t="s">
        <v>52</v>
      </c>
      <c r="L402" t="s">
        <v>25</v>
      </c>
      <c r="M402" t="s">
        <v>37</v>
      </c>
      <c r="N402">
        <v>1</v>
      </c>
      <c r="O402" t="s">
        <v>158</v>
      </c>
      <c r="P402" t="s">
        <v>159</v>
      </c>
      <c r="Q402" t="s">
        <v>28</v>
      </c>
      <c r="R402" t="s">
        <v>28</v>
      </c>
      <c r="S402" t="s">
        <v>28</v>
      </c>
      <c r="T402" t="s">
        <v>28</v>
      </c>
      <c r="U402" t="s">
        <v>28</v>
      </c>
      <c r="V402" t="s">
        <v>28</v>
      </c>
      <c r="W402">
        <v>3</v>
      </c>
      <c r="X402" t="s">
        <v>155</v>
      </c>
    </row>
    <row r="403" spans="1:24" x14ac:dyDescent="0.2">
      <c r="A403" t="str">
        <f t="shared" si="18"/>
        <v>sample_miseq-16S-E-B06-L3_SICap-P20-B6-P1D14-RP3-EZ-RDM-C3R2-noBile-rep1-day14-repassage3</v>
      </c>
      <c r="B403" s="1" t="s">
        <v>575</v>
      </c>
      <c r="C403" s="3" t="s">
        <v>1151</v>
      </c>
      <c r="D403" s="3" t="s">
        <v>1327</v>
      </c>
      <c r="E403" t="s">
        <v>20</v>
      </c>
      <c r="F403" t="s">
        <v>156</v>
      </c>
      <c r="G403" t="s">
        <v>57</v>
      </c>
      <c r="H403" t="str">
        <f t="shared" si="19"/>
        <v>06</v>
      </c>
      <c r="I403" t="str">
        <f t="shared" si="20"/>
        <v>B</v>
      </c>
      <c r="J403" t="s">
        <v>157</v>
      </c>
      <c r="K403" t="s">
        <v>52</v>
      </c>
      <c r="L403" t="s">
        <v>25</v>
      </c>
      <c r="M403" t="s">
        <v>39</v>
      </c>
      <c r="N403">
        <v>1</v>
      </c>
      <c r="O403" t="s">
        <v>158</v>
      </c>
      <c r="P403" t="s">
        <v>159</v>
      </c>
      <c r="Q403" t="s">
        <v>28</v>
      </c>
      <c r="R403" t="s">
        <v>28</v>
      </c>
      <c r="S403" t="s">
        <v>28</v>
      </c>
      <c r="T403" t="s">
        <v>28</v>
      </c>
      <c r="U403" t="s">
        <v>28</v>
      </c>
      <c r="V403" t="s">
        <v>28</v>
      </c>
      <c r="W403">
        <v>3</v>
      </c>
      <c r="X403" t="s">
        <v>155</v>
      </c>
    </row>
    <row r="404" spans="1:24" x14ac:dyDescent="0.2">
      <c r="A404" t="str">
        <f t="shared" si="18"/>
        <v>sample_miseq-16S-E-B07-L3_SICap-P20-B7-P1D14-RP3-EZ-RDM-C4R1-noBile-rep1-day14-repassage3</v>
      </c>
      <c r="B404" s="1" t="s">
        <v>576</v>
      </c>
      <c r="C404" s="3" t="s">
        <v>1152</v>
      </c>
      <c r="D404" s="3" t="s">
        <v>1327</v>
      </c>
      <c r="E404" t="s">
        <v>20</v>
      </c>
      <c r="F404" t="s">
        <v>156</v>
      </c>
      <c r="G404" t="s">
        <v>58</v>
      </c>
      <c r="H404" t="str">
        <f t="shared" si="19"/>
        <v>07</v>
      </c>
      <c r="I404" t="str">
        <f t="shared" si="20"/>
        <v>B</v>
      </c>
      <c r="J404" t="s">
        <v>157</v>
      </c>
      <c r="K404" t="s">
        <v>52</v>
      </c>
      <c r="L404" t="s">
        <v>25</v>
      </c>
      <c r="M404" t="s">
        <v>41</v>
      </c>
      <c r="N404">
        <v>1</v>
      </c>
      <c r="O404" t="s">
        <v>158</v>
      </c>
      <c r="P404" t="s">
        <v>159</v>
      </c>
      <c r="Q404" t="s">
        <v>28</v>
      </c>
      <c r="R404" t="s">
        <v>28</v>
      </c>
      <c r="S404" t="s">
        <v>28</v>
      </c>
      <c r="T404" t="s">
        <v>28</v>
      </c>
      <c r="U404" t="s">
        <v>28</v>
      </c>
      <c r="V404" t="s">
        <v>28</v>
      </c>
      <c r="W404">
        <v>3</v>
      </c>
      <c r="X404" t="s">
        <v>155</v>
      </c>
    </row>
    <row r="405" spans="1:24" x14ac:dyDescent="0.2">
      <c r="A405" t="str">
        <f t="shared" si="18"/>
        <v>sample_miseq-16S-E-B08-L3_SICap-P20-B8-P1D14-RP3-EZ-RDM-C4R2-noBile-rep1-day14-repassage3</v>
      </c>
      <c r="B405" s="1" t="s">
        <v>577</v>
      </c>
      <c r="C405" s="3" t="s">
        <v>1153</v>
      </c>
      <c r="D405" s="3" t="s">
        <v>1327</v>
      </c>
      <c r="E405" t="s">
        <v>20</v>
      </c>
      <c r="F405" t="s">
        <v>156</v>
      </c>
      <c r="G405" t="s">
        <v>59</v>
      </c>
      <c r="H405" t="str">
        <f t="shared" si="19"/>
        <v>08</v>
      </c>
      <c r="I405" t="str">
        <f t="shared" si="20"/>
        <v>B</v>
      </c>
      <c r="J405" t="s">
        <v>157</v>
      </c>
      <c r="K405" t="s">
        <v>52</v>
      </c>
      <c r="L405" t="s">
        <v>25</v>
      </c>
      <c r="M405" t="s">
        <v>43</v>
      </c>
      <c r="N405">
        <v>1</v>
      </c>
      <c r="O405" t="s">
        <v>158</v>
      </c>
      <c r="P405" t="s">
        <v>159</v>
      </c>
      <c r="Q405" t="s">
        <v>28</v>
      </c>
      <c r="R405" t="s">
        <v>28</v>
      </c>
      <c r="S405" t="s">
        <v>28</v>
      </c>
      <c r="T405" t="s">
        <v>28</v>
      </c>
      <c r="U405" t="s">
        <v>28</v>
      </c>
      <c r="V405" t="s">
        <v>28</v>
      </c>
      <c r="W405">
        <v>3</v>
      </c>
      <c r="X405" t="s">
        <v>155</v>
      </c>
    </row>
    <row r="406" spans="1:24" x14ac:dyDescent="0.2">
      <c r="A406" t="str">
        <f t="shared" si="18"/>
        <v>sample_miseq-16S-E-B09-L3_SICap-P20-B9-P1D14-RP3-EZ-RDM-S1R2-noBile-rep1-day14-repassage3</v>
      </c>
      <c r="B406" s="1" t="s">
        <v>578</v>
      </c>
      <c r="C406" s="3" t="s">
        <v>1154</v>
      </c>
      <c r="D406" s="3" t="s">
        <v>1327</v>
      </c>
      <c r="E406" t="s">
        <v>20</v>
      </c>
      <c r="F406" t="s">
        <v>156</v>
      </c>
      <c r="G406" t="s">
        <v>60</v>
      </c>
      <c r="H406" t="str">
        <f t="shared" si="19"/>
        <v>09</v>
      </c>
      <c r="I406" t="str">
        <f t="shared" si="20"/>
        <v>B</v>
      </c>
      <c r="J406" t="s">
        <v>157</v>
      </c>
      <c r="K406" t="s">
        <v>52</v>
      </c>
      <c r="L406" t="s">
        <v>25</v>
      </c>
      <c r="M406" t="s">
        <v>45</v>
      </c>
      <c r="N406">
        <v>1</v>
      </c>
      <c r="O406" t="s">
        <v>158</v>
      </c>
      <c r="P406" t="s">
        <v>159</v>
      </c>
      <c r="Q406" t="s">
        <v>28</v>
      </c>
      <c r="R406" t="s">
        <v>28</v>
      </c>
      <c r="S406" t="s">
        <v>28</v>
      </c>
      <c r="T406" t="s">
        <v>28</v>
      </c>
      <c r="U406" t="s">
        <v>28</v>
      </c>
      <c r="V406" t="s">
        <v>28</v>
      </c>
      <c r="W406">
        <v>3</v>
      </c>
      <c r="X406" t="s">
        <v>155</v>
      </c>
    </row>
    <row r="407" spans="1:24" x14ac:dyDescent="0.2">
      <c r="A407" t="str">
        <f t="shared" si="18"/>
        <v>sample_miseq-16S-E-B10-L3_SICap-P20-B10-P1D14-RP3-EZ-RDM-StoolPool-noBile-rep1-day14-repassage3</v>
      </c>
      <c r="B407" s="1" t="s">
        <v>579</v>
      </c>
      <c r="C407" s="3" t="s">
        <v>1155</v>
      </c>
      <c r="D407" s="3" t="s">
        <v>1327</v>
      </c>
      <c r="E407" t="s">
        <v>20</v>
      </c>
      <c r="F407" t="s">
        <v>156</v>
      </c>
      <c r="G407" t="s">
        <v>61</v>
      </c>
      <c r="H407" t="str">
        <f t="shared" si="19"/>
        <v>10</v>
      </c>
      <c r="I407" t="str">
        <f t="shared" si="20"/>
        <v>B</v>
      </c>
      <c r="J407" t="s">
        <v>157</v>
      </c>
      <c r="K407" t="s">
        <v>52</v>
      </c>
      <c r="L407" t="s">
        <v>25</v>
      </c>
      <c r="M407" t="s">
        <v>47</v>
      </c>
      <c r="N407">
        <v>1</v>
      </c>
      <c r="O407" t="s">
        <v>158</v>
      </c>
      <c r="P407" t="s">
        <v>159</v>
      </c>
      <c r="Q407" t="s">
        <v>28</v>
      </c>
      <c r="R407" t="s">
        <v>28</v>
      </c>
      <c r="S407" t="s">
        <v>28</v>
      </c>
      <c r="T407" t="s">
        <v>28</v>
      </c>
      <c r="U407" t="s">
        <v>28</v>
      </c>
      <c r="V407" t="s">
        <v>28</v>
      </c>
      <c r="W407">
        <v>3</v>
      </c>
      <c r="X407" t="s">
        <v>155</v>
      </c>
    </row>
    <row r="408" spans="1:24" x14ac:dyDescent="0.2">
      <c r="A408" t="str">
        <f t="shared" si="18"/>
        <v>sample_miseq-16S-E-B11-L3_SICap-P20-B11-P1D14-RP3-EZ-RDM-SIPool-noBile-rep1-day14-repassage3</v>
      </c>
      <c r="B408" s="1" t="s">
        <v>580</v>
      </c>
      <c r="C408" s="3" t="s">
        <v>1156</v>
      </c>
      <c r="D408" s="3" t="s">
        <v>1327</v>
      </c>
      <c r="E408" t="s">
        <v>20</v>
      </c>
      <c r="F408" t="s">
        <v>156</v>
      </c>
      <c r="G408" t="s">
        <v>62</v>
      </c>
      <c r="H408" t="str">
        <f t="shared" si="19"/>
        <v>11</v>
      </c>
      <c r="I408" t="str">
        <f t="shared" si="20"/>
        <v>B</v>
      </c>
      <c r="J408" t="s">
        <v>157</v>
      </c>
      <c r="K408" t="s">
        <v>52</v>
      </c>
      <c r="L408" t="s">
        <v>25</v>
      </c>
      <c r="M408" t="s">
        <v>49</v>
      </c>
      <c r="N408">
        <v>1</v>
      </c>
      <c r="O408" t="s">
        <v>158</v>
      </c>
      <c r="P408" t="s">
        <v>159</v>
      </c>
      <c r="Q408" t="s">
        <v>28</v>
      </c>
      <c r="R408" t="s">
        <v>28</v>
      </c>
      <c r="S408" t="s">
        <v>28</v>
      </c>
      <c r="T408" t="s">
        <v>28</v>
      </c>
      <c r="U408" t="s">
        <v>28</v>
      </c>
      <c r="V408" t="s">
        <v>28</v>
      </c>
      <c r="W408">
        <v>3</v>
      </c>
      <c r="X408" t="s">
        <v>155</v>
      </c>
    </row>
    <row r="409" spans="1:24" x14ac:dyDescent="0.2">
      <c r="A409" t="str">
        <f t="shared" si="18"/>
        <v>sample_miseq-16S-E-B12-L3_SICap-P20-B12-P1D14-RP3-EZ-RDM-Media-noBile-rep1-day14-repassage3</v>
      </c>
      <c r="B409" s="1" t="s">
        <v>581</v>
      </c>
      <c r="C409" s="3" t="s">
        <v>1157</v>
      </c>
      <c r="D409" s="3" t="s">
        <v>1327</v>
      </c>
      <c r="E409" t="s">
        <v>20</v>
      </c>
      <c r="F409" t="s">
        <v>156</v>
      </c>
      <c r="G409" t="s">
        <v>63</v>
      </c>
      <c r="H409" t="str">
        <f t="shared" si="19"/>
        <v>12</v>
      </c>
      <c r="I409" t="str">
        <f t="shared" si="20"/>
        <v>B</v>
      </c>
      <c r="J409" t="s">
        <v>157</v>
      </c>
      <c r="K409" t="s">
        <v>52</v>
      </c>
      <c r="L409" t="s">
        <v>25</v>
      </c>
      <c r="M409" t="s">
        <v>6</v>
      </c>
      <c r="N409">
        <v>1</v>
      </c>
      <c r="O409" t="s">
        <v>158</v>
      </c>
      <c r="P409" t="s">
        <v>159</v>
      </c>
      <c r="Q409" t="s">
        <v>28</v>
      </c>
      <c r="R409" t="s">
        <v>28</v>
      </c>
      <c r="S409" t="s">
        <v>28</v>
      </c>
      <c r="T409" t="s">
        <v>28</v>
      </c>
      <c r="U409" t="s">
        <v>28</v>
      </c>
      <c r="V409" t="s">
        <v>28</v>
      </c>
      <c r="W409">
        <v>3</v>
      </c>
      <c r="X409" t="s">
        <v>155</v>
      </c>
    </row>
    <row r="410" spans="1:24" x14ac:dyDescent="0.2">
      <c r="A410" t="str">
        <f t="shared" si="18"/>
        <v>sample_miseq-16S-E-C01-L3_SICap-P20-C1-P1D14-RP3-BHI-C1R1-noBile-rep1-day14-repassage3</v>
      </c>
      <c r="B410" s="1" t="s">
        <v>582</v>
      </c>
      <c r="C410" s="3" t="s">
        <v>1158</v>
      </c>
      <c r="D410" s="3" t="s">
        <v>1327</v>
      </c>
      <c r="E410" t="s">
        <v>20</v>
      </c>
      <c r="F410" t="s">
        <v>156</v>
      </c>
      <c r="G410" t="s">
        <v>64</v>
      </c>
      <c r="H410" t="str">
        <f t="shared" si="19"/>
        <v>01</v>
      </c>
      <c r="I410" t="str">
        <f t="shared" si="20"/>
        <v>C</v>
      </c>
      <c r="J410" t="s">
        <v>157</v>
      </c>
      <c r="K410" t="s">
        <v>65</v>
      </c>
      <c r="L410" t="s">
        <v>25</v>
      </c>
      <c r="M410" t="s">
        <v>26</v>
      </c>
      <c r="N410">
        <v>1</v>
      </c>
      <c r="O410" t="s">
        <v>158</v>
      </c>
      <c r="P410" t="s">
        <v>159</v>
      </c>
      <c r="Q410" t="s">
        <v>28</v>
      </c>
      <c r="R410" t="s">
        <v>28</v>
      </c>
      <c r="S410" t="s">
        <v>28</v>
      </c>
      <c r="T410" t="s">
        <v>28</v>
      </c>
      <c r="U410" t="s">
        <v>28</v>
      </c>
      <c r="V410" t="s">
        <v>28</v>
      </c>
      <c r="W410">
        <v>3</v>
      </c>
      <c r="X410" t="s">
        <v>155</v>
      </c>
    </row>
    <row r="411" spans="1:24" x14ac:dyDescent="0.2">
      <c r="A411" t="str">
        <f t="shared" si="18"/>
        <v>sample_miseq-16S-E-C02-L3_SICap-P20-C2-P1D14-RP3-BHI-C1R2-noBile-rep1-day14-repassage3</v>
      </c>
      <c r="B411" s="1" t="s">
        <v>583</v>
      </c>
      <c r="C411" s="3" t="s">
        <v>1159</v>
      </c>
      <c r="D411" s="3" t="s">
        <v>1327</v>
      </c>
      <c r="E411" t="s">
        <v>20</v>
      </c>
      <c r="F411" t="s">
        <v>156</v>
      </c>
      <c r="G411" t="s">
        <v>66</v>
      </c>
      <c r="H411" t="str">
        <f t="shared" si="19"/>
        <v>02</v>
      </c>
      <c r="I411" t="str">
        <f t="shared" si="20"/>
        <v>C</v>
      </c>
      <c r="J411" t="s">
        <v>157</v>
      </c>
      <c r="K411" t="s">
        <v>65</v>
      </c>
      <c r="L411" t="s">
        <v>25</v>
      </c>
      <c r="M411" t="s">
        <v>31</v>
      </c>
      <c r="N411">
        <v>1</v>
      </c>
      <c r="O411" t="s">
        <v>158</v>
      </c>
      <c r="P411" t="s">
        <v>159</v>
      </c>
      <c r="Q411" t="s">
        <v>28</v>
      </c>
      <c r="R411" t="s">
        <v>28</v>
      </c>
      <c r="S411" t="s">
        <v>28</v>
      </c>
      <c r="T411" t="s">
        <v>28</v>
      </c>
      <c r="U411" t="s">
        <v>28</v>
      </c>
      <c r="V411" t="s">
        <v>28</v>
      </c>
      <c r="W411">
        <v>3</v>
      </c>
      <c r="X411" t="s">
        <v>155</v>
      </c>
    </row>
    <row r="412" spans="1:24" x14ac:dyDescent="0.2">
      <c r="A412" t="str">
        <f t="shared" si="18"/>
        <v>sample_miseq-16S-E-C03-L3_SICap-P20-C3-P1D14-RP3-BHI-C2R1-noBile-rep1-day14-repassage3</v>
      </c>
      <c r="B412" s="1" t="s">
        <v>584</v>
      </c>
      <c r="C412" s="3" t="s">
        <v>1160</v>
      </c>
      <c r="D412" s="3" t="s">
        <v>1327</v>
      </c>
      <c r="E412" t="s">
        <v>20</v>
      </c>
      <c r="F412" t="s">
        <v>156</v>
      </c>
      <c r="G412" t="s">
        <v>67</v>
      </c>
      <c r="H412" t="str">
        <f t="shared" si="19"/>
        <v>03</v>
      </c>
      <c r="I412" t="str">
        <f t="shared" si="20"/>
        <v>C</v>
      </c>
      <c r="J412" t="s">
        <v>157</v>
      </c>
      <c r="K412" t="s">
        <v>65</v>
      </c>
      <c r="L412" t="s">
        <v>25</v>
      </c>
      <c r="M412" t="s">
        <v>33</v>
      </c>
      <c r="N412">
        <v>1</v>
      </c>
      <c r="O412" t="s">
        <v>158</v>
      </c>
      <c r="P412" t="s">
        <v>159</v>
      </c>
      <c r="Q412" t="s">
        <v>28</v>
      </c>
      <c r="R412" t="s">
        <v>28</v>
      </c>
      <c r="S412" t="s">
        <v>28</v>
      </c>
      <c r="T412" t="s">
        <v>28</v>
      </c>
      <c r="U412" t="s">
        <v>28</v>
      </c>
      <c r="V412" t="s">
        <v>28</v>
      </c>
      <c r="W412">
        <v>3</v>
      </c>
      <c r="X412" t="s">
        <v>155</v>
      </c>
    </row>
    <row r="413" spans="1:24" x14ac:dyDescent="0.2">
      <c r="A413" t="str">
        <f t="shared" si="18"/>
        <v>sample_miseq-16S-E-C04-L3_SICap-P20-C4-P1D14-RP3-BHI-C2R2-noBile-rep1-day14-repassage3</v>
      </c>
      <c r="B413" s="1" t="s">
        <v>585</v>
      </c>
      <c r="C413" s="3" t="s">
        <v>1161</v>
      </c>
      <c r="D413" s="3" t="s">
        <v>1327</v>
      </c>
      <c r="E413" t="s">
        <v>20</v>
      </c>
      <c r="F413" t="s">
        <v>156</v>
      </c>
      <c r="G413" t="s">
        <v>68</v>
      </c>
      <c r="H413" t="str">
        <f t="shared" si="19"/>
        <v>04</v>
      </c>
      <c r="I413" t="str">
        <f t="shared" si="20"/>
        <v>C</v>
      </c>
      <c r="J413" t="s">
        <v>157</v>
      </c>
      <c r="K413" t="s">
        <v>65</v>
      </c>
      <c r="L413" t="s">
        <v>25</v>
      </c>
      <c r="M413" t="s">
        <v>35</v>
      </c>
      <c r="N413">
        <v>1</v>
      </c>
      <c r="O413" t="s">
        <v>158</v>
      </c>
      <c r="P413" t="s">
        <v>159</v>
      </c>
      <c r="Q413" t="s">
        <v>28</v>
      </c>
      <c r="R413" t="s">
        <v>28</v>
      </c>
      <c r="S413" t="s">
        <v>28</v>
      </c>
      <c r="T413" t="s">
        <v>28</v>
      </c>
      <c r="U413" t="s">
        <v>28</v>
      </c>
      <c r="V413" t="s">
        <v>28</v>
      </c>
      <c r="W413">
        <v>3</v>
      </c>
      <c r="X413" t="s">
        <v>155</v>
      </c>
    </row>
    <row r="414" spans="1:24" x14ac:dyDescent="0.2">
      <c r="A414" t="str">
        <f t="shared" si="18"/>
        <v>sample_miseq-16S-E-C05-L3_SICap-P20-C5-P1D14-RP3-BHI-C3R1-noBile-rep1-day14-repassage3</v>
      </c>
      <c r="B414" s="1" t="s">
        <v>586</v>
      </c>
      <c r="C414" s="3" t="s">
        <v>1162</v>
      </c>
      <c r="D414" s="3" t="s">
        <v>1327</v>
      </c>
      <c r="E414" t="s">
        <v>20</v>
      </c>
      <c r="F414" t="s">
        <v>156</v>
      </c>
      <c r="G414" t="s">
        <v>69</v>
      </c>
      <c r="H414" t="str">
        <f t="shared" si="19"/>
        <v>05</v>
      </c>
      <c r="I414" t="str">
        <f t="shared" si="20"/>
        <v>C</v>
      </c>
      <c r="J414" t="s">
        <v>157</v>
      </c>
      <c r="K414" t="s">
        <v>65</v>
      </c>
      <c r="L414" t="s">
        <v>25</v>
      </c>
      <c r="M414" t="s">
        <v>37</v>
      </c>
      <c r="N414">
        <v>1</v>
      </c>
      <c r="O414" t="s">
        <v>158</v>
      </c>
      <c r="P414" t="s">
        <v>159</v>
      </c>
      <c r="Q414" t="s">
        <v>28</v>
      </c>
      <c r="R414" t="s">
        <v>28</v>
      </c>
      <c r="S414" t="s">
        <v>28</v>
      </c>
      <c r="T414" t="s">
        <v>28</v>
      </c>
      <c r="U414" t="s">
        <v>28</v>
      </c>
      <c r="V414" t="s">
        <v>28</v>
      </c>
      <c r="W414">
        <v>3</v>
      </c>
      <c r="X414" t="s">
        <v>155</v>
      </c>
    </row>
    <row r="415" spans="1:24" x14ac:dyDescent="0.2">
      <c r="A415" t="str">
        <f t="shared" si="18"/>
        <v>sample_miseq-16S-E-C06-L3_SICap-P20-C6-P1D14-RP3-BHI-C3R2-noBile-rep1-day14-repassage3</v>
      </c>
      <c r="B415" s="1" t="s">
        <v>587</v>
      </c>
      <c r="C415" s="3" t="s">
        <v>1163</v>
      </c>
      <c r="D415" s="3" t="s">
        <v>1327</v>
      </c>
      <c r="E415" t="s">
        <v>20</v>
      </c>
      <c r="F415" t="s">
        <v>156</v>
      </c>
      <c r="G415" t="s">
        <v>70</v>
      </c>
      <c r="H415" t="str">
        <f t="shared" si="19"/>
        <v>06</v>
      </c>
      <c r="I415" t="str">
        <f t="shared" si="20"/>
        <v>C</v>
      </c>
      <c r="J415" t="s">
        <v>157</v>
      </c>
      <c r="K415" t="s">
        <v>65</v>
      </c>
      <c r="L415" t="s">
        <v>25</v>
      </c>
      <c r="M415" t="s">
        <v>39</v>
      </c>
      <c r="N415">
        <v>1</v>
      </c>
      <c r="O415" t="s">
        <v>158</v>
      </c>
      <c r="P415" t="s">
        <v>159</v>
      </c>
      <c r="Q415" t="s">
        <v>28</v>
      </c>
      <c r="R415" t="s">
        <v>28</v>
      </c>
      <c r="S415" t="s">
        <v>28</v>
      </c>
      <c r="T415" t="s">
        <v>28</v>
      </c>
      <c r="U415" t="s">
        <v>28</v>
      </c>
      <c r="V415" t="s">
        <v>28</v>
      </c>
      <c r="W415">
        <v>3</v>
      </c>
      <c r="X415" t="s">
        <v>155</v>
      </c>
    </row>
    <row r="416" spans="1:24" x14ac:dyDescent="0.2">
      <c r="A416" t="str">
        <f t="shared" si="18"/>
        <v>sample_miseq-16S-E-C07-L3_SICap-P20-C7-P1D14-RP3-BHI-C4R1-noBile-rep1-day14-repassage3</v>
      </c>
      <c r="B416" s="1" t="s">
        <v>588</v>
      </c>
      <c r="C416" s="3" t="s">
        <v>1164</v>
      </c>
      <c r="D416" s="3" t="s">
        <v>1327</v>
      </c>
      <c r="E416" t="s">
        <v>20</v>
      </c>
      <c r="F416" t="s">
        <v>156</v>
      </c>
      <c r="G416" t="s">
        <v>71</v>
      </c>
      <c r="H416" t="str">
        <f t="shared" si="19"/>
        <v>07</v>
      </c>
      <c r="I416" t="str">
        <f t="shared" si="20"/>
        <v>C</v>
      </c>
      <c r="J416" t="s">
        <v>157</v>
      </c>
      <c r="K416" t="s">
        <v>65</v>
      </c>
      <c r="L416" t="s">
        <v>25</v>
      </c>
      <c r="M416" t="s">
        <v>41</v>
      </c>
      <c r="N416">
        <v>1</v>
      </c>
      <c r="O416" t="s">
        <v>158</v>
      </c>
      <c r="P416" t="s">
        <v>159</v>
      </c>
      <c r="Q416" t="s">
        <v>28</v>
      </c>
      <c r="R416" t="s">
        <v>28</v>
      </c>
      <c r="S416" t="s">
        <v>28</v>
      </c>
      <c r="T416" t="s">
        <v>28</v>
      </c>
      <c r="U416" t="s">
        <v>28</v>
      </c>
      <c r="V416" t="s">
        <v>28</v>
      </c>
      <c r="W416">
        <v>3</v>
      </c>
      <c r="X416" t="s">
        <v>155</v>
      </c>
    </row>
    <row r="417" spans="1:24" x14ac:dyDescent="0.2">
      <c r="A417" t="str">
        <f t="shared" si="18"/>
        <v>sample_miseq-16S-E-C08-L3_SICap-P20-C8-P1D14-RP3-BHI-C4R2-noBile-rep1-day14-repassage3</v>
      </c>
      <c r="B417" s="1" t="s">
        <v>589</v>
      </c>
      <c r="C417" s="3" t="s">
        <v>1165</v>
      </c>
      <c r="D417" s="3" t="s">
        <v>1327</v>
      </c>
      <c r="E417" t="s">
        <v>20</v>
      </c>
      <c r="F417" t="s">
        <v>156</v>
      </c>
      <c r="G417" t="s">
        <v>72</v>
      </c>
      <c r="H417" t="str">
        <f t="shared" si="19"/>
        <v>08</v>
      </c>
      <c r="I417" t="str">
        <f t="shared" si="20"/>
        <v>C</v>
      </c>
      <c r="J417" t="s">
        <v>157</v>
      </c>
      <c r="K417" t="s">
        <v>65</v>
      </c>
      <c r="L417" t="s">
        <v>25</v>
      </c>
      <c r="M417" t="s">
        <v>43</v>
      </c>
      <c r="N417">
        <v>1</v>
      </c>
      <c r="O417" t="s">
        <v>158</v>
      </c>
      <c r="P417" t="s">
        <v>159</v>
      </c>
      <c r="Q417" t="s">
        <v>28</v>
      </c>
      <c r="R417" t="s">
        <v>28</v>
      </c>
      <c r="S417" t="s">
        <v>28</v>
      </c>
      <c r="T417" t="s">
        <v>28</v>
      </c>
      <c r="U417" t="s">
        <v>28</v>
      </c>
      <c r="V417" t="s">
        <v>28</v>
      </c>
      <c r="W417">
        <v>3</v>
      </c>
      <c r="X417" t="s">
        <v>155</v>
      </c>
    </row>
    <row r="418" spans="1:24" x14ac:dyDescent="0.2">
      <c r="A418" t="str">
        <f t="shared" si="18"/>
        <v>sample_miseq-16S-E-C09-L3_SICap-P20-C9-P1D14-RP3-BHI-S1R2-noBile-rep1-day14-repassage3</v>
      </c>
      <c r="B418" s="1" t="s">
        <v>590</v>
      </c>
      <c r="C418" s="3" t="s">
        <v>1166</v>
      </c>
      <c r="D418" s="3" t="s">
        <v>1327</v>
      </c>
      <c r="E418" t="s">
        <v>20</v>
      </c>
      <c r="F418" t="s">
        <v>156</v>
      </c>
      <c r="G418" t="s">
        <v>73</v>
      </c>
      <c r="H418" t="str">
        <f t="shared" si="19"/>
        <v>09</v>
      </c>
      <c r="I418" t="str">
        <f t="shared" si="20"/>
        <v>C</v>
      </c>
      <c r="J418" t="s">
        <v>157</v>
      </c>
      <c r="K418" t="s">
        <v>65</v>
      </c>
      <c r="L418" t="s">
        <v>25</v>
      </c>
      <c r="M418" t="s">
        <v>45</v>
      </c>
      <c r="N418">
        <v>1</v>
      </c>
      <c r="O418" t="s">
        <v>158</v>
      </c>
      <c r="P418" t="s">
        <v>159</v>
      </c>
      <c r="Q418" t="s">
        <v>28</v>
      </c>
      <c r="R418" t="s">
        <v>28</v>
      </c>
      <c r="S418" t="s">
        <v>28</v>
      </c>
      <c r="T418" t="s">
        <v>28</v>
      </c>
      <c r="U418" t="s">
        <v>28</v>
      </c>
      <c r="V418" t="s">
        <v>28</v>
      </c>
      <c r="W418">
        <v>3</v>
      </c>
      <c r="X418" t="s">
        <v>155</v>
      </c>
    </row>
    <row r="419" spans="1:24" x14ac:dyDescent="0.2">
      <c r="A419" t="str">
        <f t="shared" si="18"/>
        <v>sample_miseq-16S-E-C10-L3_SICap-P20-C10-P1D14-RP3-BHI-StoolPool-noBile-rep1-day14-repassage3</v>
      </c>
      <c r="B419" s="1" t="s">
        <v>591</v>
      </c>
      <c r="C419" s="3" t="s">
        <v>1167</v>
      </c>
      <c r="D419" s="3" t="s">
        <v>1327</v>
      </c>
      <c r="E419" t="s">
        <v>20</v>
      </c>
      <c r="F419" t="s">
        <v>156</v>
      </c>
      <c r="G419" t="s">
        <v>74</v>
      </c>
      <c r="H419" t="str">
        <f t="shared" si="19"/>
        <v>10</v>
      </c>
      <c r="I419" t="str">
        <f t="shared" si="20"/>
        <v>C</v>
      </c>
      <c r="J419" t="s">
        <v>157</v>
      </c>
      <c r="K419" t="s">
        <v>65</v>
      </c>
      <c r="L419" t="s">
        <v>25</v>
      </c>
      <c r="M419" t="s">
        <v>47</v>
      </c>
      <c r="N419">
        <v>1</v>
      </c>
      <c r="O419" t="s">
        <v>158</v>
      </c>
      <c r="P419" t="s">
        <v>159</v>
      </c>
      <c r="Q419" t="s">
        <v>28</v>
      </c>
      <c r="R419" t="s">
        <v>28</v>
      </c>
      <c r="S419" t="s">
        <v>28</v>
      </c>
      <c r="T419" t="s">
        <v>28</v>
      </c>
      <c r="U419" t="s">
        <v>28</v>
      </c>
      <c r="V419" t="s">
        <v>28</v>
      </c>
      <c r="W419">
        <v>3</v>
      </c>
      <c r="X419" t="s">
        <v>155</v>
      </c>
    </row>
    <row r="420" spans="1:24" x14ac:dyDescent="0.2">
      <c r="A420" t="str">
        <f t="shared" si="18"/>
        <v>sample_miseq-16S-E-C11-L3_SICap-P20-C11-P1D14-RP3-BHI-SIPool-noBile-rep1-day14-repassage3</v>
      </c>
      <c r="B420" s="1" t="s">
        <v>592</v>
      </c>
      <c r="C420" s="3" t="s">
        <v>1168</v>
      </c>
      <c r="D420" s="3" t="s">
        <v>1327</v>
      </c>
      <c r="E420" t="s">
        <v>20</v>
      </c>
      <c r="F420" t="s">
        <v>156</v>
      </c>
      <c r="G420" t="s">
        <v>75</v>
      </c>
      <c r="H420" t="str">
        <f t="shared" si="19"/>
        <v>11</v>
      </c>
      <c r="I420" t="str">
        <f t="shared" si="20"/>
        <v>C</v>
      </c>
      <c r="J420" t="s">
        <v>157</v>
      </c>
      <c r="K420" t="s">
        <v>65</v>
      </c>
      <c r="L420" t="s">
        <v>25</v>
      </c>
      <c r="M420" t="s">
        <v>49</v>
      </c>
      <c r="N420">
        <v>1</v>
      </c>
      <c r="O420" t="s">
        <v>158</v>
      </c>
      <c r="P420" t="s">
        <v>159</v>
      </c>
      <c r="Q420" t="s">
        <v>28</v>
      </c>
      <c r="R420" t="s">
        <v>28</v>
      </c>
      <c r="S420" t="s">
        <v>28</v>
      </c>
      <c r="T420" t="s">
        <v>28</v>
      </c>
      <c r="U420" t="s">
        <v>28</v>
      </c>
      <c r="V420" t="s">
        <v>28</v>
      </c>
      <c r="W420">
        <v>3</v>
      </c>
      <c r="X420" t="s">
        <v>155</v>
      </c>
    </row>
    <row r="421" spans="1:24" x14ac:dyDescent="0.2">
      <c r="A421" t="str">
        <f t="shared" si="18"/>
        <v>sample_miseq-16S-E-C12-L3_SICap-P20-C12-P1D14-RP3-BHI-Media-noBile-rep1-day14-repassage3</v>
      </c>
      <c r="B421" s="1" t="s">
        <v>593</v>
      </c>
      <c r="C421" s="3" t="s">
        <v>1169</v>
      </c>
      <c r="D421" s="3" t="s">
        <v>1327</v>
      </c>
      <c r="E421" t="s">
        <v>20</v>
      </c>
      <c r="F421" t="s">
        <v>156</v>
      </c>
      <c r="G421" t="s">
        <v>76</v>
      </c>
      <c r="H421" t="str">
        <f t="shared" si="19"/>
        <v>12</v>
      </c>
      <c r="I421" t="str">
        <f t="shared" si="20"/>
        <v>C</v>
      </c>
      <c r="J421" t="s">
        <v>157</v>
      </c>
      <c r="K421" t="s">
        <v>65</v>
      </c>
      <c r="L421" t="s">
        <v>25</v>
      </c>
      <c r="M421" t="s">
        <v>6</v>
      </c>
      <c r="N421">
        <v>1</v>
      </c>
      <c r="O421" t="s">
        <v>158</v>
      </c>
      <c r="P421" t="s">
        <v>159</v>
      </c>
      <c r="Q421" t="s">
        <v>28</v>
      </c>
      <c r="R421" t="s">
        <v>28</v>
      </c>
      <c r="S421" t="s">
        <v>28</v>
      </c>
      <c r="T421" t="s">
        <v>28</v>
      </c>
      <c r="U421" t="s">
        <v>28</v>
      </c>
      <c r="V421" t="s">
        <v>28</v>
      </c>
      <c r="W421">
        <v>3</v>
      </c>
      <c r="X421" t="s">
        <v>155</v>
      </c>
    </row>
    <row r="422" spans="1:24" x14ac:dyDescent="0.2">
      <c r="A422" t="str">
        <f t="shared" si="18"/>
        <v>sample_miseq-16S-E-D01-L3_SICap-P20-D1-P1D14-RP3-GAM-C1R1-noBile-rep1-day14-repassage3</v>
      </c>
      <c r="B422" s="1" t="s">
        <v>594</v>
      </c>
      <c r="C422" s="3" t="s">
        <v>1170</v>
      </c>
      <c r="D422" s="3" t="s">
        <v>1327</v>
      </c>
      <c r="E422" t="s">
        <v>20</v>
      </c>
      <c r="F422" t="s">
        <v>156</v>
      </c>
      <c r="G422" t="s">
        <v>77</v>
      </c>
      <c r="H422" t="str">
        <f t="shared" si="19"/>
        <v>01</v>
      </c>
      <c r="I422" t="str">
        <f t="shared" si="20"/>
        <v>D</v>
      </c>
      <c r="J422" t="s">
        <v>157</v>
      </c>
      <c r="K422" t="s">
        <v>78</v>
      </c>
      <c r="L422" t="s">
        <v>25</v>
      </c>
      <c r="M422" t="s">
        <v>26</v>
      </c>
      <c r="N422">
        <v>1</v>
      </c>
      <c r="O422" t="s">
        <v>158</v>
      </c>
      <c r="P422" t="s">
        <v>159</v>
      </c>
      <c r="Q422" t="s">
        <v>28</v>
      </c>
      <c r="R422" t="s">
        <v>28</v>
      </c>
      <c r="S422" t="s">
        <v>28</v>
      </c>
      <c r="T422" t="s">
        <v>28</v>
      </c>
      <c r="U422" t="s">
        <v>28</v>
      </c>
      <c r="V422" t="s">
        <v>28</v>
      </c>
      <c r="W422">
        <v>3</v>
      </c>
      <c r="X422" t="s">
        <v>155</v>
      </c>
    </row>
    <row r="423" spans="1:24" x14ac:dyDescent="0.2">
      <c r="A423" t="str">
        <f t="shared" si="18"/>
        <v>sample_miseq-16S-E-D02-L3_SICap-P20-D2-P1D14-RP3-GAM-C1R2-noBile-rep1-day14-repassage3</v>
      </c>
      <c r="B423" s="1" t="s">
        <v>595</v>
      </c>
      <c r="C423" s="3" t="s">
        <v>1171</v>
      </c>
      <c r="D423" s="3" t="s">
        <v>1327</v>
      </c>
      <c r="E423" t="s">
        <v>20</v>
      </c>
      <c r="F423" t="s">
        <v>156</v>
      </c>
      <c r="G423" t="s">
        <v>79</v>
      </c>
      <c r="H423" t="str">
        <f t="shared" si="19"/>
        <v>02</v>
      </c>
      <c r="I423" t="str">
        <f t="shared" si="20"/>
        <v>D</v>
      </c>
      <c r="J423" t="s">
        <v>157</v>
      </c>
      <c r="K423" t="s">
        <v>78</v>
      </c>
      <c r="L423" t="s">
        <v>25</v>
      </c>
      <c r="M423" t="s">
        <v>31</v>
      </c>
      <c r="N423">
        <v>1</v>
      </c>
      <c r="O423" t="s">
        <v>158</v>
      </c>
      <c r="P423" t="s">
        <v>159</v>
      </c>
      <c r="Q423" t="s">
        <v>28</v>
      </c>
      <c r="R423" t="s">
        <v>28</v>
      </c>
      <c r="S423" t="s">
        <v>28</v>
      </c>
      <c r="T423" t="s">
        <v>28</v>
      </c>
      <c r="U423" t="s">
        <v>28</v>
      </c>
      <c r="V423" t="s">
        <v>28</v>
      </c>
      <c r="W423">
        <v>3</v>
      </c>
      <c r="X423" t="s">
        <v>155</v>
      </c>
    </row>
    <row r="424" spans="1:24" x14ac:dyDescent="0.2">
      <c r="A424" t="str">
        <f t="shared" si="18"/>
        <v>sample_miseq-16S-E-D03-L3_SICap-P20-D3-P1D14-RP3-GAM-C2R1-noBile-rep1-day14-repassage3</v>
      </c>
      <c r="B424" s="1" t="s">
        <v>596</v>
      </c>
      <c r="C424" s="3" t="s">
        <v>1172</v>
      </c>
      <c r="D424" s="3" t="s">
        <v>1327</v>
      </c>
      <c r="E424" t="s">
        <v>20</v>
      </c>
      <c r="F424" t="s">
        <v>156</v>
      </c>
      <c r="G424" t="s">
        <v>80</v>
      </c>
      <c r="H424" t="str">
        <f t="shared" si="19"/>
        <v>03</v>
      </c>
      <c r="I424" t="str">
        <f t="shared" si="20"/>
        <v>D</v>
      </c>
      <c r="J424" t="s">
        <v>157</v>
      </c>
      <c r="K424" t="s">
        <v>78</v>
      </c>
      <c r="L424" t="s">
        <v>25</v>
      </c>
      <c r="M424" t="s">
        <v>33</v>
      </c>
      <c r="N424">
        <v>1</v>
      </c>
      <c r="O424" t="s">
        <v>158</v>
      </c>
      <c r="P424" t="s">
        <v>159</v>
      </c>
      <c r="Q424" t="s">
        <v>28</v>
      </c>
      <c r="R424" t="s">
        <v>28</v>
      </c>
      <c r="S424" t="s">
        <v>28</v>
      </c>
      <c r="T424" t="s">
        <v>28</v>
      </c>
      <c r="U424" t="s">
        <v>28</v>
      </c>
      <c r="V424" t="s">
        <v>28</v>
      </c>
      <c r="W424">
        <v>3</v>
      </c>
      <c r="X424" t="s">
        <v>155</v>
      </c>
    </row>
    <row r="425" spans="1:24" x14ac:dyDescent="0.2">
      <c r="A425" t="str">
        <f t="shared" si="18"/>
        <v>sample_miseq-16S-E-D04-L3_SICap-P20-D4-P1D14-RP3-GAM-C2R2-noBile-rep1-day14-repassage3</v>
      </c>
      <c r="B425" s="1" t="s">
        <v>597</v>
      </c>
      <c r="C425" s="3" t="s">
        <v>1173</v>
      </c>
      <c r="D425" s="3" t="s">
        <v>1327</v>
      </c>
      <c r="E425" t="s">
        <v>20</v>
      </c>
      <c r="F425" t="s">
        <v>156</v>
      </c>
      <c r="G425" t="s">
        <v>81</v>
      </c>
      <c r="H425" t="str">
        <f t="shared" si="19"/>
        <v>04</v>
      </c>
      <c r="I425" t="str">
        <f t="shared" si="20"/>
        <v>D</v>
      </c>
      <c r="J425" t="s">
        <v>157</v>
      </c>
      <c r="K425" t="s">
        <v>78</v>
      </c>
      <c r="L425" t="s">
        <v>25</v>
      </c>
      <c r="M425" t="s">
        <v>35</v>
      </c>
      <c r="N425">
        <v>1</v>
      </c>
      <c r="O425" t="s">
        <v>158</v>
      </c>
      <c r="P425" t="s">
        <v>159</v>
      </c>
      <c r="Q425" t="s">
        <v>28</v>
      </c>
      <c r="R425" t="s">
        <v>28</v>
      </c>
      <c r="S425" t="s">
        <v>28</v>
      </c>
      <c r="T425" t="s">
        <v>28</v>
      </c>
      <c r="U425" t="s">
        <v>28</v>
      </c>
      <c r="V425" t="s">
        <v>28</v>
      </c>
      <c r="W425">
        <v>3</v>
      </c>
      <c r="X425" t="s">
        <v>155</v>
      </c>
    </row>
    <row r="426" spans="1:24" x14ac:dyDescent="0.2">
      <c r="A426" t="str">
        <f t="shared" si="18"/>
        <v>sample_miseq-16S-E-D05-L3_SICap-P20-D5-P1D14-RP3-GAM-C3R1-noBile-rep1-day14-repassage3</v>
      </c>
      <c r="B426" s="1" t="s">
        <v>598</v>
      </c>
      <c r="C426" s="3" t="s">
        <v>1174</v>
      </c>
      <c r="D426" s="3" t="s">
        <v>1327</v>
      </c>
      <c r="E426" t="s">
        <v>20</v>
      </c>
      <c r="F426" t="s">
        <v>156</v>
      </c>
      <c r="G426" t="s">
        <v>82</v>
      </c>
      <c r="H426" t="str">
        <f t="shared" si="19"/>
        <v>05</v>
      </c>
      <c r="I426" t="str">
        <f t="shared" si="20"/>
        <v>D</v>
      </c>
      <c r="J426" t="s">
        <v>157</v>
      </c>
      <c r="K426" t="s">
        <v>78</v>
      </c>
      <c r="L426" t="s">
        <v>25</v>
      </c>
      <c r="M426" t="s">
        <v>37</v>
      </c>
      <c r="N426">
        <v>1</v>
      </c>
      <c r="O426" t="s">
        <v>158</v>
      </c>
      <c r="P426" t="s">
        <v>159</v>
      </c>
      <c r="Q426" t="s">
        <v>28</v>
      </c>
      <c r="R426" t="s">
        <v>28</v>
      </c>
      <c r="S426" t="s">
        <v>28</v>
      </c>
      <c r="T426" t="s">
        <v>28</v>
      </c>
      <c r="U426" t="s">
        <v>28</v>
      </c>
      <c r="V426" t="s">
        <v>28</v>
      </c>
      <c r="W426">
        <v>3</v>
      </c>
      <c r="X426" t="s">
        <v>155</v>
      </c>
    </row>
    <row r="427" spans="1:24" x14ac:dyDescent="0.2">
      <c r="A427" t="str">
        <f t="shared" si="18"/>
        <v>sample_miseq-16S-E-D06-L3_SICap-P20-D6-P1D14-RP3-GAM-C3R2-noBile-rep1-day14-repassage3</v>
      </c>
      <c r="B427" s="1" t="s">
        <v>599</v>
      </c>
      <c r="C427" s="3" t="s">
        <v>1175</v>
      </c>
      <c r="D427" s="3" t="s">
        <v>1327</v>
      </c>
      <c r="E427" t="s">
        <v>20</v>
      </c>
      <c r="F427" t="s">
        <v>156</v>
      </c>
      <c r="G427" t="s">
        <v>83</v>
      </c>
      <c r="H427" t="str">
        <f t="shared" si="19"/>
        <v>06</v>
      </c>
      <c r="I427" t="str">
        <f t="shared" si="20"/>
        <v>D</v>
      </c>
      <c r="J427" t="s">
        <v>157</v>
      </c>
      <c r="K427" t="s">
        <v>78</v>
      </c>
      <c r="L427" t="s">
        <v>25</v>
      </c>
      <c r="M427" t="s">
        <v>39</v>
      </c>
      <c r="N427">
        <v>1</v>
      </c>
      <c r="O427" t="s">
        <v>158</v>
      </c>
      <c r="P427" t="s">
        <v>159</v>
      </c>
      <c r="Q427" t="s">
        <v>28</v>
      </c>
      <c r="R427" t="s">
        <v>28</v>
      </c>
      <c r="S427" t="s">
        <v>28</v>
      </c>
      <c r="T427" t="s">
        <v>28</v>
      </c>
      <c r="U427" t="s">
        <v>28</v>
      </c>
      <c r="V427" t="s">
        <v>28</v>
      </c>
      <c r="W427">
        <v>3</v>
      </c>
      <c r="X427" t="s">
        <v>155</v>
      </c>
    </row>
    <row r="428" spans="1:24" x14ac:dyDescent="0.2">
      <c r="A428" t="str">
        <f t="shared" si="18"/>
        <v>sample_miseq-16S-E-D07-L3_SICap-P20-D7-P1D14-RP3-GAM-C4R1-noBile-rep1-day14-repassage3</v>
      </c>
      <c r="B428" s="1" t="s">
        <v>600</v>
      </c>
      <c r="C428" s="3" t="s">
        <v>1176</v>
      </c>
      <c r="D428" s="3" t="s">
        <v>1327</v>
      </c>
      <c r="E428" t="s">
        <v>20</v>
      </c>
      <c r="F428" t="s">
        <v>156</v>
      </c>
      <c r="G428" t="s">
        <v>84</v>
      </c>
      <c r="H428" t="str">
        <f t="shared" si="19"/>
        <v>07</v>
      </c>
      <c r="I428" t="str">
        <f t="shared" si="20"/>
        <v>D</v>
      </c>
      <c r="J428" t="s">
        <v>157</v>
      </c>
      <c r="K428" t="s">
        <v>78</v>
      </c>
      <c r="L428" t="s">
        <v>25</v>
      </c>
      <c r="M428" t="s">
        <v>41</v>
      </c>
      <c r="N428">
        <v>1</v>
      </c>
      <c r="O428" t="s">
        <v>158</v>
      </c>
      <c r="P428" t="s">
        <v>159</v>
      </c>
      <c r="Q428" t="s">
        <v>28</v>
      </c>
      <c r="R428" t="s">
        <v>28</v>
      </c>
      <c r="S428" t="s">
        <v>28</v>
      </c>
      <c r="T428" t="s">
        <v>28</v>
      </c>
      <c r="U428" t="s">
        <v>28</v>
      </c>
      <c r="V428" t="s">
        <v>28</v>
      </c>
      <c r="W428">
        <v>3</v>
      </c>
      <c r="X428" t="s">
        <v>155</v>
      </c>
    </row>
    <row r="429" spans="1:24" x14ac:dyDescent="0.2">
      <c r="A429" t="str">
        <f t="shared" si="18"/>
        <v>sample_miseq-16S-E-D08-L3_SICap-P20-D8-P1D14-RP3-GAM-C4R2-noBile-rep1-day14-repassage3</v>
      </c>
      <c r="B429" s="1" t="s">
        <v>601</v>
      </c>
      <c r="C429" s="3" t="s">
        <v>1177</v>
      </c>
      <c r="D429" s="3" t="s">
        <v>1327</v>
      </c>
      <c r="E429" t="s">
        <v>20</v>
      </c>
      <c r="F429" t="s">
        <v>156</v>
      </c>
      <c r="G429" t="s">
        <v>85</v>
      </c>
      <c r="H429" t="str">
        <f t="shared" si="19"/>
        <v>08</v>
      </c>
      <c r="I429" t="str">
        <f t="shared" si="20"/>
        <v>D</v>
      </c>
      <c r="J429" t="s">
        <v>157</v>
      </c>
      <c r="K429" t="s">
        <v>78</v>
      </c>
      <c r="L429" t="s">
        <v>25</v>
      </c>
      <c r="M429" t="s">
        <v>43</v>
      </c>
      <c r="N429">
        <v>1</v>
      </c>
      <c r="O429" t="s">
        <v>158</v>
      </c>
      <c r="P429" t="s">
        <v>159</v>
      </c>
      <c r="Q429" t="s">
        <v>28</v>
      </c>
      <c r="R429" t="s">
        <v>28</v>
      </c>
      <c r="S429" t="s">
        <v>28</v>
      </c>
      <c r="T429" t="s">
        <v>28</v>
      </c>
      <c r="U429" t="s">
        <v>28</v>
      </c>
      <c r="V429" t="s">
        <v>28</v>
      </c>
      <c r="W429">
        <v>3</v>
      </c>
      <c r="X429" t="s">
        <v>155</v>
      </c>
    </row>
    <row r="430" spans="1:24" x14ac:dyDescent="0.2">
      <c r="A430" t="str">
        <f t="shared" si="18"/>
        <v>sample_miseq-16S-E-D09-L3_SICap-P20-D9-P1D14-RP3-GAM-S1R2-noBile-rep1-day14-repassage3</v>
      </c>
      <c r="B430" s="1" t="s">
        <v>602</v>
      </c>
      <c r="C430" s="3" t="s">
        <v>1178</v>
      </c>
      <c r="D430" s="3" t="s">
        <v>1327</v>
      </c>
      <c r="E430" t="s">
        <v>20</v>
      </c>
      <c r="F430" t="s">
        <v>156</v>
      </c>
      <c r="G430" t="s">
        <v>86</v>
      </c>
      <c r="H430" t="str">
        <f t="shared" si="19"/>
        <v>09</v>
      </c>
      <c r="I430" t="str">
        <f t="shared" si="20"/>
        <v>D</v>
      </c>
      <c r="J430" t="s">
        <v>157</v>
      </c>
      <c r="K430" t="s">
        <v>78</v>
      </c>
      <c r="L430" t="s">
        <v>25</v>
      </c>
      <c r="M430" t="s">
        <v>45</v>
      </c>
      <c r="N430">
        <v>1</v>
      </c>
      <c r="O430" t="s">
        <v>158</v>
      </c>
      <c r="P430" t="s">
        <v>159</v>
      </c>
      <c r="Q430" t="s">
        <v>28</v>
      </c>
      <c r="R430" t="s">
        <v>28</v>
      </c>
      <c r="S430" t="s">
        <v>28</v>
      </c>
      <c r="T430" t="s">
        <v>28</v>
      </c>
      <c r="U430" t="s">
        <v>28</v>
      </c>
      <c r="V430" t="s">
        <v>28</v>
      </c>
      <c r="W430">
        <v>3</v>
      </c>
      <c r="X430" t="s">
        <v>155</v>
      </c>
    </row>
    <row r="431" spans="1:24" x14ac:dyDescent="0.2">
      <c r="A431" t="str">
        <f t="shared" si="18"/>
        <v>sample_miseq-16S-E-D10-L3_SICap-P20-D10-P1D14-RP3-GAM-StoolPool-noBile-rep1-day14-repassage3</v>
      </c>
      <c r="B431" s="1" t="s">
        <v>603</v>
      </c>
      <c r="C431" s="3" t="s">
        <v>1179</v>
      </c>
      <c r="D431" s="3" t="s">
        <v>1327</v>
      </c>
      <c r="E431" t="s">
        <v>20</v>
      </c>
      <c r="F431" t="s">
        <v>156</v>
      </c>
      <c r="G431" t="s">
        <v>87</v>
      </c>
      <c r="H431" t="str">
        <f t="shared" si="19"/>
        <v>10</v>
      </c>
      <c r="I431" t="str">
        <f t="shared" si="20"/>
        <v>D</v>
      </c>
      <c r="J431" t="s">
        <v>157</v>
      </c>
      <c r="K431" t="s">
        <v>78</v>
      </c>
      <c r="L431" t="s">
        <v>25</v>
      </c>
      <c r="M431" t="s">
        <v>47</v>
      </c>
      <c r="N431">
        <v>1</v>
      </c>
      <c r="O431" t="s">
        <v>158</v>
      </c>
      <c r="P431" t="s">
        <v>159</v>
      </c>
      <c r="Q431" t="s">
        <v>28</v>
      </c>
      <c r="R431" t="s">
        <v>28</v>
      </c>
      <c r="S431" t="s">
        <v>28</v>
      </c>
      <c r="T431" t="s">
        <v>28</v>
      </c>
      <c r="U431" t="s">
        <v>28</v>
      </c>
      <c r="V431" t="s">
        <v>28</v>
      </c>
      <c r="W431">
        <v>3</v>
      </c>
      <c r="X431" t="s">
        <v>155</v>
      </c>
    </row>
    <row r="432" spans="1:24" x14ac:dyDescent="0.2">
      <c r="A432" t="str">
        <f t="shared" si="18"/>
        <v>sample_miseq-16S-E-D11-L3_SICap-P20-D11-P1D14-RP3-GAM-SIPool-noBile-rep1-day14-repassage3</v>
      </c>
      <c r="B432" s="1" t="s">
        <v>604</v>
      </c>
      <c r="C432" s="3" t="s">
        <v>1180</v>
      </c>
      <c r="D432" s="3" t="s">
        <v>1327</v>
      </c>
      <c r="E432" t="s">
        <v>20</v>
      </c>
      <c r="F432" t="s">
        <v>156</v>
      </c>
      <c r="G432" t="s">
        <v>88</v>
      </c>
      <c r="H432" t="str">
        <f t="shared" si="19"/>
        <v>11</v>
      </c>
      <c r="I432" t="str">
        <f t="shared" si="20"/>
        <v>D</v>
      </c>
      <c r="J432" t="s">
        <v>157</v>
      </c>
      <c r="K432" t="s">
        <v>78</v>
      </c>
      <c r="L432" t="s">
        <v>25</v>
      </c>
      <c r="M432" t="s">
        <v>49</v>
      </c>
      <c r="N432">
        <v>1</v>
      </c>
      <c r="O432" t="s">
        <v>158</v>
      </c>
      <c r="P432" t="s">
        <v>159</v>
      </c>
      <c r="Q432" t="s">
        <v>28</v>
      </c>
      <c r="R432" t="s">
        <v>28</v>
      </c>
      <c r="S432" t="s">
        <v>28</v>
      </c>
      <c r="T432" t="s">
        <v>28</v>
      </c>
      <c r="U432" t="s">
        <v>28</v>
      </c>
      <c r="V432" t="s">
        <v>28</v>
      </c>
      <c r="W432">
        <v>3</v>
      </c>
      <c r="X432" t="s">
        <v>155</v>
      </c>
    </row>
    <row r="433" spans="1:24" x14ac:dyDescent="0.2">
      <c r="A433" t="str">
        <f t="shared" si="18"/>
        <v>sample_miseq-16S-E-D12-L3_SICap-P20-D12-P1D14-RP3-GAM-Media-noBile-rep1-day14-repassage3</v>
      </c>
      <c r="B433" s="1" t="s">
        <v>605</v>
      </c>
      <c r="C433" s="3" t="s">
        <v>1181</v>
      </c>
      <c r="D433" s="3" t="s">
        <v>1327</v>
      </c>
      <c r="E433" t="s">
        <v>20</v>
      </c>
      <c r="F433" t="s">
        <v>156</v>
      </c>
      <c r="G433" t="s">
        <v>89</v>
      </c>
      <c r="H433" t="str">
        <f t="shared" si="19"/>
        <v>12</v>
      </c>
      <c r="I433" t="str">
        <f t="shared" si="20"/>
        <v>D</v>
      </c>
      <c r="J433" t="s">
        <v>157</v>
      </c>
      <c r="K433" t="s">
        <v>78</v>
      </c>
      <c r="L433" t="s">
        <v>25</v>
      </c>
      <c r="M433" t="s">
        <v>6</v>
      </c>
      <c r="N433">
        <v>1</v>
      </c>
      <c r="O433" t="s">
        <v>158</v>
      </c>
      <c r="P433" t="s">
        <v>159</v>
      </c>
      <c r="Q433" t="s">
        <v>28</v>
      </c>
      <c r="R433" t="s">
        <v>28</v>
      </c>
      <c r="S433" t="s">
        <v>28</v>
      </c>
      <c r="T433" t="s">
        <v>28</v>
      </c>
      <c r="U433" t="s">
        <v>28</v>
      </c>
      <c r="V433" t="s">
        <v>28</v>
      </c>
      <c r="W433">
        <v>3</v>
      </c>
      <c r="X433" t="s">
        <v>155</v>
      </c>
    </row>
    <row r="434" spans="1:24" x14ac:dyDescent="0.2">
      <c r="A434" t="str">
        <f t="shared" si="18"/>
        <v>sample_miseq-16S-E-E01-L3_SICap-P20-E1-P1D14-RP3-BB-C1R1-noBile-rep1-day14-repassage3</v>
      </c>
      <c r="B434" s="1" t="s">
        <v>606</v>
      </c>
      <c r="C434" s="3" t="s">
        <v>1182</v>
      </c>
      <c r="D434" s="3" t="s">
        <v>1327</v>
      </c>
      <c r="E434" t="s">
        <v>20</v>
      </c>
      <c r="F434" t="s">
        <v>156</v>
      </c>
      <c r="G434" t="s">
        <v>90</v>
      </c>
      <c r="H434" t="str">
        <f t="shared" si="19"/>
        <v>01</v>
      </c>
      <c r="I434" t="str">
        <f t="shared" si="20"/>
        <v>E</v>
      </c>
      <c r="J434" t="s">
        <v>157</v>
      </c>
      <c r="K434" t="s">
        <v>91</v>
      </c>
      <c r="L434" t="s">
        <v>25</v>
      </c>
      <c r="M434" t="s">
        <v>26</v>
      </c>
      <c r="N434">
        <v>1</v>
      </c>
      <c r="O434" t="s">
        <v>158</v>
      </c>
      <c r="P434" t="s">
        <v>159</v>
      </c>
      <c r="Q434" t="s">
        <v>28</v>
      </c>
      <c r="R434" t="s">
        <v>28</v>
      </c>
      <c r="S434" t="s">
        <v>28</v>
      </c>
      <c r="T434" t="s">
        <v>28</v>
      </c>
      <c r="U434" t="s">
        <v>28</v>
      </c>
      <c r="V434" t="s">
        <v>28</v>
      </c>
      <c r="W434">
        <v>3</v>
      </c>
      <c r="X434" t="s">
        <v>155</v>
      </c>
    </row>
    <row r="435" spans="1:24" x14ac:dyDescent="0.2">
      <c r="A435" t="str">
        <f t="shared" si="18"/>
        <v>sample_miseq-16S-E-E02-L3_SICap-P20-E2-P1D14-RP3-BB-C1R2-noBile-rep1-day14-repassage3</v>
      </c>
      <c r="B435" s="1" t="s">
        <v>607</v>
      </c>
      <c r="C435" s="3" t="s">
        <v>1183</v>
      </c>
      <c r="D435" s="3" t="s">
        <v>1327</v>
      </c>
      <c r="E435" t="s">
        <v>20</v>
      </c>
      <c r="F435" t="s">
        <v>156</v>
      </c>
      <c r="G435" t="s">
        <v>92</v>
      </c>
      <c r="H435" t="str">
        <f t="shared" si="19"/>
        <v>02</v>
      </c>
      <c r="I435" t="str">
        <f t="shared" si="20"/>
        <v>E</v>
      </c>
      <c r="J435" t="s">
        <v>157</v>
      </c>
      <c r="K435" t="s">
        <v>91</v>
      </c>
      <c r="L435" t="s">
        <v>25</v>
      </c>
      <c r="M435" t="s">
        <v>31</v>
      </c>
      <c r="N435">
        <v>1</v>
      </c>
      <c r="O435" t="s">
        <v>158</v>
      </c>
      <c r="P435" t="s">
        <v>159</v>
      </c>
      <c r="Q435" t="s">
        <v>28</v>
      </c>
      <c r="R435" t="s">
        <v>28</v>
      </c>
      <c r="S435" t="s">
        <v>28</v>
      </c>
      <c r="T435" t="s">
        <v>28</v>
      </c>
      <c r="U435" t="s">
        <v>28</v>
      </c>
      <c r="V435" t="s">
        <v>28</v>
      </c>
      <c r="W435">
        <v>3</v>
      </c>
      <c r="X435" t="s">
        <v>155</v>
      </c>
    </row>
    <row r="436" spans="1:24" x14ac:dyDescent="0.2">
      <c r="A436" t="str">
        <f t="shared" si="18"/>
        <v>sample_miseq-16S-E-E03-L3_SICap-P20-E3-P1D14-RP3-BB-C2R1-noBile-rep1-day14-repassage3</v>
      </c>
      <c r="B436" s="1" t="s">
        <v>608</v>
      </c>
      <c r="C436" s="3" t="s">
        <v>1184</v>
      </c>
      <c r="D436" s="3" t="s">
        <v>1327</v>
      </c>
      <c r="E436" t="s">
        <v>20</v>
      </c>
      <c r="F436" t="s">
        <v>156</v>
      </c>
      <c r="G436" t="s">
        <v>93</v>
      </c>
      <c r="H436" t="str">
        <f t="shared" si="19"/>
        <v>03</v>
      </c>
      <c r="I436" t="str">
        <f t="shared" si="20"/>
        <v>E</v>
      </c>
      <c r="J436" t="s">
        <v>157</v>
      </c>
      <c r="K436" t="s">
        <v>91</v>
      </c>
      <c r="L436" t="s">
        <v>25</v>
      </c>
      <c r="M436" t="s">
        <v>33</v>
      </c>
      <c r="N436">
        <v>1</v>
      </c>
      <c r="O436" t="s">
        <v>158</v>
      </c>
      <c r="P436" t="s">
        <v>159</v>
      </c>
      <c r="Q436" t="s">
        <v>28</v>
      </c>
      <c r="R436" t="s">
        <v>28</v>
      </c>
      <c r="S436" t="s">
        <v>28</v>
      </c>
      <c r="T436" t="s">
        <v>28</v>
      </c>
      <c r="U436" t="s">
        <v>28</v>
      </c>
      <c r="V436" t="s">
        <v>28</v>
      </c>
      <c r="W436">
        <v>3</v>
      </c>
      <c r="X436" t="s">
        <v>155</v>
      </c>
    </row>
    <row r="437" spans="1:24" x14ac:dyDescent="0.2">
      <c r="A437" t="str">
        <f t="shared" si="18"/>
        <v>sample_miseq-16S-E-E04-L3_SICap-P20-E4-P1D14-RP3-BB-C2R2-noBile-rep1-day14-repassage3</v>
      </c>
      <c r="B437" s="1" t="s">
        <v>609</v>
      </c>
      <c r="C437" s="3" t="s">
        <v>1185</v>
      </c>
      <c r="D437" s="3" t="s">
        <v>1327</v>
      </c>
      <c r="E437" t="s">
        <v>20</v>
      </c>
      <c r="F437" t="s">
        <v>156</v>
      </c>
      <c r="G437" t="s">
        <v>94</v>
      </c>
      <c r="H437" t="str">
        <f t="shared" si="19"/>
        <v>04</v>
      </c>
      <c r="I437" t="str">
        <f t="shared" si="20"/>
        <v>E</v>
      </c>
      <c r="J437" t="s">
        <v>157</v>
      </c>
      <c r="K437" t="s">
        <v>91</v>
      </c>
      <c r="L437" t="s">
        <v>25</v>
      </c>
      <c r="M437" t="s">
        <v>35</v>
      </c>
      <c r="N437">
        <v>1</v>
      </c>
      <c r="O437" t="s">
        <v>158</v>
      </c>
      <c r="P437" t="s">
        <v>159</v>
      </c>
      <c r="Q437" t="s">
        <v>28</v>
      </c>
      <c r="R437" t="s">
        <v>28</v>
      </c>
      <c r="S437" t="s">
        <v>28</v>
      </c>
      <c r="T437" t="s">
        <v>28</v>
      </c>
      <c r="U437" t="s">
        <v>28</v>
      </c>
      <c r="V437" t="s">
        <v>28</v>
      </c>
      <c r="W437">
        <v>3</v>
      </c>
      <c r="X437" t="s">
        <v>155</v>
      </c>
    </row>
    <row r="438" spans="1:24" x14ac:dyDescent="0.2">
      <c r="A438" t="str">
        <f t="shared" si="18"/>
        <v>sample_miseq-16S-E-E05-L3_SICap-P20-E5-P1D14-RP3-BB-C3R1-noBile-rep1-day14-repassage3</v>
      </c>
      <c r="B438" s="1" t="s">
        <v>610</v>
      </c>
      <c r="C438" s="3" t="s">
        <v>1186</v>
      </c>
      <c r="D438" s="3" t="s">
        <v>1327</v>
      </c>
      <c r="E438" t="s">
        <v>20</v>
      </c>
      <c r="F438" t="s">
        <v>156</v>
      </c>
      <c r="G438" t="s">
        <v>95</v>
      </c>
      <c r="H438" t="str">
        <f t="shared" si="19"/>
        <v>05</v>
      </c>
      <c r="I438" t="str">
        <f t="shared" si="20"/>
        <v>E</v>
      </c>
      <c r="J438" t="s">
        <v>157</v>
      </c>
      <c r="K438" t="s">
        <v>91</v>
      </c>
      <c r="L438" t="s">
        <v>25</v>
      </c>
      <c r="M438" t="s">
        <v>37</v>
      </c>
      <c r="N438">
        <v>1</v>
      </c>
      <c r="O438" t="s">
        <v>158</v>
      </c>
      <c r="P438" t="s">
        <v>159</v>
      </c>
      <c r="Q438" t="s">
        <v>28</v>
      </c>
      <c r="R438" t="s">
        <v>28</v>
      </c>
      <c r="S438" t="s">
        <v>28</v>
      </c>
      <c r="T438" t="s">
        <v>28</v>
      </c>
      <c r="U438" t="s">
        <v>28</v>
      </c>
      <c r="V438" t="s">
        <v>28</v>
      </c>
      <c r="W438">
        <v>3</v>
      </c>
      <c r="X438" t="s">
        <v>155</v>
      </c>
    </row>
    <row r="439" spans="1:24" x14ac:dyDescent="0.2">
      <c r="A439" t="str">
        <f t="shared" si="18"/>
        <v>sample_miseq-16S-E-E06-L3_SICap-P20-E6-P1D14-RP3-BB-C3R2-noBile-rep1-day14-repassage3</v>
      </c>
      <c r="B439" s="1" t="s">
        <v>611</v>
      </c>
      <c r="C439" s="3" t="s">
        <v>1187</v>
      </c>
      <c r="D439" s="3" t="s">
        <v>1327</v>
      </c>
      <c r="E439" t="s">
        <v>20</v>
      </c>
      <c r="F439" t="s">
        <v>156</v>
      </c>
      <c r="G439" t="s">
        <v>96</v>
      </c>
      <c r="H439" t="str">
        <f t="shared" si="19"/>
        <v>06</v>
      </c>
      <c r="I439" t="str">
        <f t="shared" si="20"/>
        <v>E</v>
      </c>
      <c r="J439" t="s">
        <v>157</v>
      </c>
      <c r="K439" t="s">
        <v>91</v>
      </c>
      <c r="L439" t="s">
        <v>25</v>
      </c>
      <c r="M439" t="s">
        <v>39</v>
      </c>
      <c r="N439">
        <v>1</v>
      </c>
      <c r="O439" t="s">
        <v>158</v>
      </c>
      <c r="P439" t="s">
        <v>159</v>
      </c>
      <c r="Q439" t="s">
        <v>28</v>
      </c>
      <c r="R439" t="s">
        <v>28</v>
      </c>
      <c r="S439" t="s">
        <v>28</v>
      </c>
      <c r="T439" t="s">
        <v>28</v>
      </c>
      <c r="U439" t="s">
        <v>28</v>
      </c>
      <c r="V439" t="s">
        <v>28</v>
      </c>
      <c r="W439">
        <v>3</v>
      </c>
      <c r="X439" t="s">
        <v>155</v>
      </c>
    </row>
    <row r="440" spans="1:24" x14ac:dyDescent="0.2">
      <c r="A440" t="str">
        <f t="shared" si="18"/>
        <v>sample_miseq-16S-E-E07-L3_SICap-P20-E7-P1D14-RP3-BB-C4R1-noBile-rep1-day14-repassage3</v>
      </c>
      <c r="B440" s="1" t="s">
        <v>612</v>
      </c>
      <c r="C440" s="3" t="s">
        <v>1188</v>
      </c>
      <c r="D440" s="3" t="s">
        <v>1327</v>
      </c>
      <c r="E440" t="s">
        <v>20</v>
      </c>
      <c r="F440" t="s">
        <v>156</v>
      </c>
      <c r="G440" t="s">
        <v>97</v>
      </c>
      <c r="H440" t="str">
        <f t="shared" si="19"/>
        <v>07</v>
      </c>
      <c r="I440" t="str">
        <f t="shared" si="20"/>
        <v>E</v>
      </c>
      <c r="J440" t="s">
        <v>157</v>
      </c>
      <c r="K440" t="s">
        <v>91</v>
      </c>
      <c r="L440" t="s">
        <v>25</v>
      </c>
      <c r="M440" t="s">
        <v>41</v>
      </c>
      <c r="N440">
        <v>1</v>
      </c>
      <c r="O440" t="s">
        <v>158</v>
      </c>
      <c r="P440" t="s">
        <v>159</v>
      </c>
      <c r="Q440" t="s">
        <v>28</v>
      </c>
      <c r="R440" t="s">
        <v>28</v>
      </c>
      <c r="S440" t="s">
        <v>28</v>
      </c>
      <c r="T440" t="s">
        <v>28</v>
      </c>
      <c r="U440" t="s">
        <v>28</v>
      </c>
      <c r="V440" t="s">
        <v>28</v>
      </c>
      <c r="W440">
        <v>3</v>
      </c>
      <c r="X440" t="s">
        <v>155</v>
      </c>
    </row>
    <row r="441" spans="1:24" x14ac:dyDescent="0.2">
      <c r="A441" t="str">
        <f t="shared" si="18"/>
        <v>sample_miseq-16S-E-E08-L3_SICap-P20-E8-P1D14-RP3-BB-C4R2-noBile-rep1-day14-repassage3</v>
      </c>
      <c r="B441" s="1" t="s">
        <v>613</v>
      </c>
      <c r="C441" s="3" t="s">
        <v>1189</v>
      </c>
      <c r="D441" s="3" t="s">
        <v>1327</v>
      </c>
      <c r="E441" t="s">
        <v>20</v>
      </c>
      <c r="F441" t="s">
        <v>156</v>
      </c>
      <c r="G441" t="s">
        <v>98</v>
      </c>
      <c r="H441" t="str">
        <f t="shared" si="19"/>
        <v>08</v>
      </c>
      <c r="I441" t="str">
        <f t="shared" si="20"/>
        <v>E</v>
      </c>
      <c r="J441" t="s">
        <v>157</v>
      </c>
      <c r="K441" t="s">
        <v>91</v>
      </c>
      <c r="L441" t="s">
        <v>25</v>
      </c>
      <c r="M441" t="s">
        <v>43</v>
      </c>
      <c r="N441">
        <v>1</v>
      </c>
      <c r="O441" t="s">
        <v>158</v>
      </c>
      <c r="P441" t="s">
        <v>159</v>
      </c>
      <c r="Q441" t="s">
        <v>28</v>
      </c>
      <c r="R441" t="s">
        <v>28</v>
      </c>
      <c r="S441" t="s">
        <v>28</v>
      </c>
      <c r="T441" t="s">
        <v>28</v>
      </c>
      <c r="U441" t="s">
        <v>28</v>
      </c>
      <c r="V441" t="s">
        <v>28</v>
      </c>
      <c r="W441">
        <v>3</v>
      </c>
      <c r="X441" t="s">
        <v>155</v>
      </c>
    </row>
    <row r="442" spans="1:24" x14ac:dyDescent="0.2">
      <c r="A442" t="str">
        <f t="shared" si="18"/>
        <v>sample_miseq-16S-E-E09-L3_SICap-P20-E9-P1D14-RP3-BB-S1R2-noBile-rep1-day14-repassage3</v>
      </c>
      <c r="B442" s="1" t="s">
        <v>614</v>
      </c>
      <c r="C442" s="3" t="s">
        <v>1190</v>
      </c>
      <c r="D442" s="3" t="s">
        <v>1327</v>
      </c>
      <c r="E442" t="s">
        <v>20</v>
      </c>
      <c r="F442" t="s">
        <v>156</v>
      </c>
      <c r="G442" t="s">
        <v>99</v>
      </c>
      <c r="H442" t="str">
        <f t="shared" si="19"/>
        <v>09</v>
      </c>
      <c r="I442" t="str">
        <f t="shared" si="20"/>
        <v>E</v>
      </c>
      <c r="J442" t="s">
        <v>157</v>
      </c>
      <c r="K442" t="s">
        <v>91</v>
      </c>
      <c r="L442" t="s">
        <v>25</v>
      </c>
      <c r="M442" t="s">
        <v>45</v>
      </c>
      <c r="N442">
        <v>1</v>
      </c>
      <c r="O442" t="s">
        <v>158</v>
      </c>
      <c r="P442" t="s">
        <v>159</v>
      </c>
      <c r="Q442" t="s">
        <v>28</v>
      </c>
      <c r="R442" t="s">
        <v>28</v>
      </c>
      <c r="S442" t="s">
        <v>28</v>
      </c>
      <c r="T442" t="s">
        <v>28</v>
      </c>
      <c r="U442" t="s">
        <v>28</v>
      </c>
      <c r="V442" t="s">
        <v>28</v>
      </c>
      <c r="W442">
        <v>3</v>
      </c>
      <c r="X442" t="s">
        <v>155</v>
      </c>
    </row>
    <row r="443" spans="1:24" x14ac:dyDescent="0.2">
      <c r="A443" t="str">
        <f t="shared" si="18"/>
        <v>sample_miseq-16S-E-E10-L3_SICap-P20-E10-P1D14-RP3-BB-StoolPool-noBile-rep1-day14-repassage3</v>
      </c>
      <c r="B443" s="1" t="s">
        <v>615</v>
      </c>
      <c r="C443" s="3" t="s">
        <v>1191</v>
      </c>
      <c r="D443" s="3" t="s">
        <v>1327</v>
      </c>
      <c r="E443" t="s">
        <v>20</v>
      </c>
      <c r="F443" t="s">
        <v>156</v>
      </c>
      <c r="G443" t="s">
        <v>100</v>
      </c>
      <c r="H443" t="str">
        <f t="shared" si="19"/>
        <v>10</v>
      </c>
      <c r="I443" t="str">
        <f t="shared" si="20"/>
        <v>E</v>
      </c>
      <c r="J443" t="s">
        <v>157</v>
      </c>
      <c r="K443" t="s">
        <v>91</v>
      </c>
      <c r="L443" t="s">
        <v>25</v>
      </c>
      <c r="M443" t="s">
        <v>47</v>
      </c>
      <c r="N443">
        <v>1</v>
      </c>
      <c r="O443" t="s">
        <v>158</v>
      </c>
      <c r="P443" t="s">
        <v>159</v>
      </c>
      <c r="Q443" t="s">
        <v>28</v>
      </c>
      <c r="R443" t="s">
        <v>28</v>
      </c>
      <c r="S443" t="s">
        <v>28</v>
      </c>
      <c r="T443" t="s">
        <v>28</v>
      </c>
      <c r="U443" t="s">
        <v>28</v>
      </c>
      <c r="V443" t="s">
        <v>28</v>
      </c>
      <c r="W443">
        <v>3</v>
      </c>
      <c r="X443" t="s">
        <v>155</v>
      </c>
    </row>
    <row r="444" spans="1:24" x14ac:dyDescent="0.2">
      <c r="A444" t="str">
        <f t="shared" si="18"/>
        <v>sample_miseq-16S-E-E11-L3_SICap-P20-E11-P1D14-RP3-BB-SIPool-noBile-rep1-day14-repassage3</v>
      </c>
      <c r="B444" s="1" t="s">
        <v>616</v>
      </c>
      <c r="C444" s="3" t="s">
        <v>1192</v>
      </c>
      <c r="D444" s="3" t="s">
        <v>1327</v>
      </c>
      <c r="E444" t="s">
        <v>20</v>
      </c>
      <c r="F444" t="s">
        <v>156</v>
      </c>
      <c r="G444" t="s">
        <v>101</v>
      </c>
      <c r="H444" t="str">
        <f t="shared" si="19"/>
        <v>11</v>
      </c>
      <c r="I444" t="str">
        <f t="shared" si="20"/>
        <v>E</v>
      </c>
      <c r="J444" t="s">
        <v>157</v>
      </c>
      <c r="K444" t="s">
        <v>91</v>
      </c>
      <c r="L444" t="s">
        <v>25</v>
      </c>
      <c r="M444" t="s">
        <v>49</v>
      </c>
      <c r="N444">
        <v>1</v>
      </c>
      <c r="O444" t="s">
        <v>158</v>
      </c>
      <c r="P444" t="s">
        <v>159</v>
      </c>
      <c r="Q444" t="s">
        <v>28</v>
      </c>
      <c r="R444" t="s">
        <v>28</v>
      </c>
      <c r="S444" t="s">
        <v>28</v>
      </c>
      <c r="T444" t="s">
        <v>28</v>
      </c>
      <c r="U444" t="s">
        <v>28</v>
      </c>
      <c r="V444" t="s">
        <v>28</v>
      </c>
      <c r="W444">
        <v>3</v>
      </c>
      <c r="X444" t="s">
        <v>155</v>
      </c>
    </row>
    <row r="445" spans="1:24" x14ac:dyDescent="0.2">
      <c r="A445" t="str">
        <f t="shared" si="18"/>
        <v>sample_miseq-16S-E-E12-L3_SICap-P20-E12-P1D14-RP3-BB-Media-noBile-rep1-day14-repassage3</v>
      </c>
      <c r="B445" s="1" t="s">
        <v>617</v>
      </c>
      <c r="C445" s="3" t="s">
        <v>1193</v>
      </c>
      <c r="D445" s="3" t="s">
        <v>1327</v>
      </c>
      <c r="E445" t="s">
        <v>20</v>
      </c>
      <c r="F445" t="s">
        <v>156</v>
      </c>
      <c r="G445" t="s">
        <v>102</v>
      </c>
      <c r="H445" t="str">
        <f t="shared" si="19"/>
        <v>12</v>
      </c>
      <c r="I445" t="str">
        <f t="shared" si="20"/>
        <v>E</v>
      </c>
      <c r="J445" t="s">
        <v>157</v>
      </c>
      <c r="K445" t="s">
        <v>91</v>
      </c>
      <c r="L445" t="s">
        <v>25</v>
      </c>
      <c r="M445" t="s">
        <v>6</v>
      </c>
      <c r="N445">
        <v>1</v>
      </c>
      <c r="O445" t="s">
        <v>158</v>
      </c>
      <c r="P445" t="s">
        <v>159</v>
      </c>
      <c r="Q445" t="s">
        <v>28</v>
      </c>
      <c r="R445" t="s">
        <v>28</v>
      </c>
      <c r="S445" t="s">
        <v>28</v>
      </c>
      <c r="T445" t="s">
        <v>28</v>
      </c>
      <c r="U445" t="s">
        <v>28</v>
      </c>
      <c r="V445" t="s">
        <v>28</v>
      </c>
      <c r="W445">
        <v>3</v>
      </c>
      <c r="X445" t="s">
        <v>155</v>
      </c>
    </row>
    <row r="446" spans="1:24" x14ac:dyDescent="0.2">
      <c r="A446" t="str">
        <f t="shared" si="18"/>
        <v>sample_miseq-16S-E-F01-L3_SICap-P20-F1-P1D14-RP3-YCFAG-C1R1-noBile-rep1-day14-repassage3</v>
      </c>
      <c r="B446" s="1" t="s">
        <v>618</v>
      </c>
      <c r="C446" s="3" t="s">
        <v>1194</v>
      </c>
      <c r="D446" s="3" t="s">
        <v>1327</v>
      </c>
      <c r="E446" t="s">
        <v>20</v>
      </c>
      <c r="F446" t="s">
        <v>156</v>
      </c>
      <c r="G446" t="s">
        <v>103</v>
      </c>
      <c r="H446" t="str">
        <f t="shared" si="19"/>
        <v>01</v>
      </c>
      <c r="I446" t="str">
        <f t="shared" si="20"/>
        <v>F</v>
      </c>
      <c r="J446" t="s">
        <v>157</v>
      </c>
      <c r="K446" t="s">
        <v>104</v>
      </c>
      <c r="L446" t="s">
        <v>25</v>
      </c>
      <c r="M446" t="s">
        <v>26</v>
      </c>
      <c r="N446">
        <v>1</v>
      </c>
      <c r="O446" t="s">
        <v>158</v>
      </c>
      <c r="P446" t="s">
        <v>159</v>
      </c>
      <c r="Q446" t="s">
        <v>28</v>
      </c>
      <c r="R446" t="s">
        <v>28</v>
      </c>
      <c r="S446" t="s">
        <v>28</v>
      </c>
      <c r="T446" t="s">
        <v>28</v>
      </c>
      <c r="U446" t="s">
        <v>28</v>
      </c>
      <c r="V446" t="s">
        <v>28</v>
      </c>
      <c r="W446">
        <v>3</v>
      </c>
      <c r="X446" t="s">
        <v>155</v>
      </c>
    </row>
    <row r="447" spans="1:24" x14ac:dyDescent="0.2">
      <c r="A447" t="str">
        <f t="shared" si="18"/>
        <v>sample_miseq-16S-E-F02-L3_SICap-P20-F2-P1D14-RP3-YCFAG-C1R2-noBile-rep1-day14-repassage3</v>
      </c>
      <c r="B447" s="1" t="s">
        <v>619</v>
      </c>
      <c r="C447" s="3" t="s">
        <v>1195</v>
      </c>
      <c r="D447" s="3" t="s">
        <v>1327</v>
      </c>
      <c r="E447" t="s">
        <v>20</v>
      </c>
      <c r="F447" t="s">
        <v>156</v>
      </c>
      <c r="G447" t="s">
        <v>105</v>
      </c>
      <c r="H447" t="str">
        <f t="shared" si="19"/>
        <v>02</v>
      </c>
      <c r="I447" t="str">
        <f t="shared" si="20"/>
        <v>F</v>
      </c>
      <c r="J447" t="s">
        <v>157</v>
      </c>
      <c r="K447" t="s">
        <v>104</v>
      </c>
      <c r="L447" t="s">
        <v>25</v>
      </c>
      <c r="M447" t="s">
        <v>31</v>
      </c>
      <c r="N447">
        <v>1</v>
      </c>
      <c r="O447" t="s">
        <v>158</v>
      </c>
      <c r="P447" t="s">
        <v>159</v>
      </c>
      <c r="Q447" t="s">
        <v>28</v>
      </c>
      <c r="R447" t="s">
        <v>28</v>
      </c>
      <c r="S447" t="s">
        <v>28</v>
      </c>
      <c r="T447" t="s">
        <v>28</v>
      </c>
      <c r="U447" t="s">
        <v>28</v>
      </c>
      <c r="V447" t="s">
        <v>28</v>
      </c>
      <c r="W447">
        <v>3</v>
      </c>
      <c r="X447" t="s">
        <v>155</v>
      </c>
    </row>
    <row r="448" spans="1:24" x14ac:dyDescent="0.2">
      <c r="A448" t="str">
        <f t="shared" si="18"/>
        <v>sample_miseq-16S-E-F03-L3_SICap-P20-F3-P1D14-RP3-YCFAG-C2R1-noBile-rep1-day14-repassage3</v>
      </c>
      <c r="B448" s="1" t="s">
        <v>620</v>
      </c>
      <c r="C448" s="3" t="s">
        <v>1196</v>
      </c>
      <c r="D448" s="3" t="s">
        <v>1327</v>
      </c>
      <c r="E448" t="s">
        <v>20</v>
      </c>
      <c r="F448" t="s">
        <v>156</v>
      </c>
      <c r="G448" t="s">
        <v>106</v>
      </c>
      <c r="H448" t="str">
        <f t="shared" si="19"/>
        <v>03</v>
      </c>
      <c r="I448" t="str">
        <f t="shared" si="20"/>
        <v>F</v>
      </c>
      <c r="J448" t="s">
        <v>157</v>
      </c>
      <c r="K448" t="s">
        <v>104</v>
      </c>
      <c r="L448" t="s">
        <v>25</v>
      </c>
      <c r="M448" t="s">
        <v>33</v>
      </c>
      <c r="N448">
        <v>1</v>
      </c>
      <c r="O448" t="s">
        <v>158</v>
      </c>
      <c r="P448" t="s">
        <v>159</v>
      </c>
      <c r="Q448" t="s">
        <v>28</v>
      </c>
      <c r="R448" t="s">
        <v>28</v>
      </c>
      <c r="S448" t="s">
        <v>28</v>
      </c>
      <c r="T448" t="s">
        <v>28</v>
      </c>
      <c r="U448" t="s">
        <v>28</v>
      </c>
      <c r="V448" t="s">
        <v>28</v>
      </c>
      <c r="W448">
        <v>3</v>
      </c>
      <c r="X448" t="s">
        <v>155</v>
      </c>
    </row>
    <row r="449" spans="1:24" x14ac:dyDescent="0.2">
      <c r="A449" t="str">
        <f t="shared" si="18"/>
        <v>sample_miseq-16S-E-F04-L3_SICap-P20-F4-P1D14-RP3-YCFAG-C2R2-noBile-rep1-day14-repassage3</v>
      </c>
      <c r="B449" s="1" t="s">
        <v>621</v>
      </c>
      <c r="C449" s="3" t="s">
        <v>1197</v>
      </c>
      <c r="D449" s="3" t="s">
        <v>1327</v>
      </c>
      <c r="E449" t="s">
        <v>20</v>
      </c>
      <c r="F449" t="s">
        <v>156</v>
      </c>
      <c r="G449" t="s">
        <v>107</v>
      </c>
      <c r="H449" t="str">
        <f t="shared" si="19"/>
        <v>04</v>
      </c>
      <c r="I449" t="str">
        <f t="shared" si="20"/>
        <v>F</v>
      </c>
      <c r="J449" t="s">
        <v>157</v>
      </c>
      <c r="K449" t="s">
        <v>104</v>
      </c>
      <c r="L449" t="s">
        <v>25</v>
      </c>
      <c r="M449" t="s">
        <v>35</v>
      </c>
      <c r="N449">
        <v>1</v>
      </c>
      <c r="O449" t="s">
        <v>158</v>
      </c>
      <c r="P449" t="s">
        <v>159</v>
      </c>
      <c r="Q449" t="s">
        <v>28</v>
      </c>
      <c r="R449" t="s">
        <v>28</v>
      </c>
      <c r="S449" t="s">
        <v>28</v>
      </c>
      <c r="T449" t="s">
        <v>28</v>
      </c>
      <c r="U449" t="s">
        <v>28</v>
      </c>
      <c r="V449" t="s">
        <v>28</v>
      </c>
      <c r="W449">
        <v>3</v>
      </c>
      <c r="X449" t="s">
        <v>155</v>
      </c>
    </row>
    <row r="450" spans="1:24" x14ac:dyDescent="0.2">
      <c r="A450" t="str">
        <f t="shared" si="18"/>
        <v>sample_miseq-16S-E-F05-L3_SICap-P20-F5-P1D14-RP3-YCFAG-C3R1-noBile-rep1-day14-repassage3</v>
      </c>
      <c r="B450" s="1" t="s">
        <v>622</v>
      </c>
      <c r="C450" s="3" t="s">
        <v>1198</v>
      </c>
      <c r="D450" s="3" t="s">
        <v>1327</v>
      </c>
      <c r="E450" t="s">
        <v>20</v>
      </c>
      <c r="F450" t="s">
        <v>156</v>
      </c>
      <c r="G450" t="s">
        <v>108</v>
      </c>
      <c r="H450" t="str">
        <f t="shared" si="19"/>
        <v>05</v>
      </c>
      <c r="I450" t="str">
        <f t="shared" si="20"/>
        <v>F</v>
      </c>
      <c r="J450" t="s">
        <v>157</v>
      </c>
      <c r="K450" t="s">
        <v>104</v>
      </c>
      <c r="L450" t="s">
        <v>25</v>
      </c>
      <c r="M450" t="s">
        <v>37</v>
      </c>
      <c r="N450">
        <v>1</v>
      </c>
      <c r="O450" t="s">
        <v>158</v>
      </c>
      <c r="P450" t="s">
        <v>159</v>
      </c>
      <c r="Q450" t="s">
        <v>28</v>
      </c>
      <c r="R450" t="s">
        <v>28</v>
      </c>
      <c r="S450" t="s">
        <v>28</v>
      </c>
      <c r="T450" t="s">
        <v>28</v>
      </c>
      <c r="U450" t="s">
        <v>28</v>
      </c>
      <c r="V450" t="s">
        <v>28</v>
      </c>
      <c r="W450">
        <v>3</v>
      </c>
      <c r="X450" t="s">
        <v>155</v>
      </c>
    </row>
    <row r="451" spans="1:24" x14ac:dyDescent="0.2">
      <c r="A451" t="str">
        <f t="shared" ref="A451:A514" si="21">_xlfn.CONCAT("sample_miseq-",C451)</f>
        <v>sample_miseq-16S-E-F06-L3_SICap-P20-F6-P1D14-RP3-YCFAG-C3R2-noBile-rep1-day14-repassage3</v>
      </c>
      <c r="B451" s="1" t="s">
        <v>623</v>
      </c>
      <c r="C451" s="3" t="s">
        <v>1199</v>
      </c>
      <c r="D451" s="3" t="s">
        <v>1327</v>
      </c>
      <c r="E451" t="s">
        <v>20</v>
      </c>
      <c r="F451" t="s">
        <v>156</v>
      </c>
      <c r="G451" t="s">
        <v>109</v>
      </c>
      <c r="H451" t="str">
        <f t="shared" ref="H451:H514" si="22">RIGHT(G451,2)</f>
        <v>06</v>
      </c>
      <c r="I451" t="str">
        <f t="shared" ref="I451:I514" si="23">LEFT(G451)</f>
        <v>F</v>
      </c>
      <c r="J451" t="s">
        <v>157</v>
      </c>
      <c r="K451" t="s">
        <v>104</v>
      </c>
      <c r="L451" t="s">
        <v>25</v>
      </c>
      <c r="M451" t="s">
        <v>39</v>
      </c>
      <c r="N451">
        <v>1</v>
      </c>
      <c r="O451" t="s">
        <v>158</v>
      </c>
      <c r="P451" t="s">
        <v>159</v>
      </c>
      <c r="Q451" t="s">
        <v>28</v>
      </c>
      <c r="R451" t="s">
        <v>28</v>
      </c>
      <c r="S451" t="s">
        <v>28</v>
      </c>
      <c r="T451" t="s">
        <v>28</v>
      </c>
      <c r="U451" t="s">
        <v>28</v>
      </c>
      <c r="V451" t="s">
        <v>28</v>
      </c>
      <c r="W451">
        <v>3</v>
      </c>
      <c r="X451" t="s">
        <v>155</v>
      </c>
    </row>
    <row r="452" spans="1:24" x14ac:dyDescent="0.2">
      <c r="A452" t="str">
        <f t="shared" si="21"/>
        <v>sample_miseq-16S-E-F07-L3_SICap-P20-F7-P1D14-RP3-YCFAG-C4R1-noBile-rep1-day14-repassage3</v>
      </c>
      <c r="B452" s="1" t="s">
        <v>624</v>
      </c>
      <c r="C452" s="3" t="s">
        <v>1200</v>
      </c>
      <c r="D452" s="3" t="s">
        <v>1327</v>
      </c>
      <c r="E452" t="s">
        <v>20</v>
      </c>
      <c r="F452" t="s">
        <v>156</v>
      </c>
      <c r="G452" t="s">
        <v>110</v>
      </c>
      <c r="H452" t="str">
        <f t="shared" si="22"/>
        <v>07</v>
      </c>
      <c r="I452" t="str">
        <f t="shared" si="23"/>
        <v>F</v>
      </c>
      <c r="J452" t="s">
        <v>157</v>
      </c>
      <c r="K452" t="s">
        <v>104</v>
      </c>
      <c r="L452" t="s">
        <v>25</v>
      </c>
      <c r="M452" t="s">
        <v>41</v>
      </c>
      <c r="N452">
        <v>1</v>
      </c>
      <c r="O452" t="s">
        <v>158</v>
      </c>
      <c r="P452" t="s">
        <v>159</v>
      </c>
      <c r="Q452" t="s">
        <v>28</v>
      </c>
      <c r="R452" t="s">
        <v>28</v>
      </c>
      <c r="S452" t="s">
        <v>28</v>
      </c>
      <c r="T452" t="s">
        <v>28</v>
      </c>
      <c r="U452" t="s">
        <v>28</v>
      </c>
      <c r="V452" t="s">
        <v>28</v>
      </c>
      <c r="W452">
        <v>3</v>
      </c>
      <c r="X452" t="s">
        <v>155</v>
      </c>
    </row>
    <row r="453" spans="1:24" x14ac:dyDescent="0.2">
      <c r="A453" t="str">
        <f t="shared" si="21"/>
        <v>sample_miseq-16S-E-F08-L3_SICap-P20-F8-P1D14-RP3-YCFAG-C4R2-noBile-rep1-day14-repassage3</v>
      </c>
      <c r="B453" s="1" t="s">
        <v>625</v>
      </c>
      <c r="C453" s="3" t="s">
        <v>1201</v>
      </c>
      <c r="D453" s="3" t="s">
        <v>1327</v>
      </c>
      <c r="E453" t="s">
        <v>20</v>
      </c>
      <c r="F453" t="s">
        <v>156</v>
      </c>
      <c r="G453" t="s">
        <v>111</v>
      </c>
      <c r="H453" t="str">
        <f t="shared" si="22"/>
        <v>08</v>
      </c>
      <c r="I453" t="str">
        <f t="shared" si="23"/>
        <v>F</v>
      </c>
      <c r="J453" t="s">
        <v>157</v>
      </c>
      <c r="K453" t="s">
        <v>104</v>
      </c>
      <c r="L453" t="s">
        <v>25</v>
      </c>
      <c r="M453" t="s">
        <v>43</v>
      </c>
      <c r="N453">
        <v>1</v>
      </c>
      <c r="O453" t="s">
        <v>158</v>
      </c>
      <c r="P453" t="s">
        <v>159</v>
      </c>
      <c r="Q453" t="s">
        <v>28</v>
      </c>
      <c r="R453" t="s">
        <v>28</v>
      </c>
      <c r="S453" t="s">
        <v>28</v>
      </c>
      <c r="T453" t="s">
        <v>28</v>
      </c>
      <c r="U453" t="s">
        <v>28</v>
      </c>
      <c r="V453" t="s">
        <v>28</v>
      </c>
      <c r="W453">
        <v>3</v>
      </c>
      <c r="X453" t="s">
        <v>155</v>
      </c>
    </row>
    <row r="454" spans="1:24" x14ac:dyDescent="0.2">
      <c r="A454" t="str">
        <f t="shared" si="21"/>
        <v>sample_miseq-16S-E-F09-L3_SICap-P20-F9-P1D14-RP3-YCFAG-S1R2-noBile-rep1-day14-repassage3</v>
      </c>
      <c r="B454" s="1" t="s">
        <v>626</v>
      </c>
      <c r="C454" s="3" t="s">
        <v>1202</v>
      </c>
      <c r="D454" s="3" t="s">
        <v>1327</v>
      </c>
      <c r="E454" t="s">
        <v>20</v>
      </c>
      <c r="F454" t="s">
        <v>156</v>
      </c>
      <c r="G454" t="s">
        <v>112</v>
      </c>
      <c r="H454" t="str">
        <f t="shared" si="22"/>
        <v>09</v>
      </c>
      <c r="I454" t="str">
        <f t="shared" si="23"/>
        <v>F</v>
      </c>
      <c r="J454" t="s">
        <v>157</v>
      </c>
      <c r="K454" t="s">
        <v>104</v>
      </c>
      <c r="L454" t="s">
        <v>25</v>
      </c>
      <c r="M454" t="s">
        <v>45</v>
      </c>
      <c r="N454">
        <v>1</v>
      </c>
      <c r="O454" t="s">
        <v>158</v>
      </c>
      <c r="P454" t="s">
        <v>159</v>
      </c>
      <c r="Q454" t="s">
        <v>28</v>
      </c>
      <c r="R454" t="s">
        <v>28</v>
      </c>
      <c r="S454" t="s">
        <v>28</v>
      </c>
      <c r="T454" t="s">
        <v>28</v>
      </c>
      <c r="U454" t="s">
        <v>28</v>
      </c>
      <c r="V454" t="s">
        <v>28</v>
      </c>
      <c r="W454">
        <v>3</v>
      </c>
      <c r="X454" t="s">
        <v>155</v>
      </c>
    </row>
    <row r="455" spans="1:24" x14ac:dyDescent="0.2">
      <c r="A455" t="str">
        <f t="shared" si="21"/>
        <v>sample_miseq-16S-E-F10-L3_SICap-P20-F10-P1D14-RP3-YCFAG-StoolPool-noBile-rep1-day14-repassage3</v>
      </c>
      <c r="B455" s="1" t="s">
        <v>627</v>
      </c>
      <c r="C455" s="3" t="s">
        <v>1203</v>
      </c>
      <c r="D455" s="3" t="s">
        <v>1327</v>
      </c>
      <c r="E455" t="s">
        <v>20</v>
      </c>
      <c r="F455" t="s">
        <v>156</v>
      </c>
      <c r="G455" t="s">
        <v>113</v>
      </c>
      <c r="H455" t="str">
        <f t="shared" si="22"/>
        <v>10</v>
      </c>
      <c r="I455" t="str">
        <f t="shared" si="23"/>
        <v>F</v>
      </c>
      <c r="J455" t="s">
        <v>157</v>
      </c>
      <c r="K455" t="s">
        <v>104</v>
      </c>
      <c r="L455" t="s">
        <v>25</v>
      </c>
      <c r="M455" t="s">
        <v>47</v>
      </c>
      <c r="N455">
        <v>1</v>
      </c>
      <c r="O455" t="s">
        <v>158</v>
      </c>
      <c r="P455" t="s">
        <v>159</v>
      </c>
      <c r="Q455" t="s">
        <v>28</v>
      </c>
      <c r="R455" t="s">
        <v>28</v>
      </c>
      <c r="S455" t="s">
        <v>28</v>
      </c>
      <c r="T455" t="s">
        <v>28</v>
      </c>
      <c r="U455" t="s">
        <v>28</v>
      </c>
      <c r="V455" t="s">
        <v>28</v>
      </c>
      <c r="W455">
        <v>3</v>
      </c>
      <c r="X455" t="s">
        <v>155</v>
      </c>
    </row>
    <row r="456" spans="1:24" x14ac:dyDescent="0.2">
      <c r="A456" t="str">
        <f t="shared" si="21"/>
        <v>sample_miseq-16S-E-F11-L3_SICap-P20-F11-P1D14-RP3-YCFAG-SIPool-noBile-rep1-day14-repassage3</v>
      </c>
      <c r="B456" s="1" t="s">
        <v>628</v>
      </c>
      <c r="C456" s="3" t="s">
        <v>1204</v>
      </c>
      <c r="D456" s="3" t="s">
        <v>1327</v>
      </c>
      <c r="E456" t="s">
        <v>20</v>
      </c>
      <c r="F456" t="s">
        <v>156</v>
      </c>
      <c r="G456" t="s">
        <v>114</v>
      </c>
      <c r="H456" t="str">
        <f t="shared" si="22"/>
        <v>11</v>
      </c>
      <c r="I456" t="str">
        <f t="shared" si="23"/>
        <v>F</v>
      </c>
      <c r="J456" t="s">
        <v>157</v>
      </c>
      <c r="K456" t="s">
        <v>104</v>
      </c>
      <c r="L456" t="s">
        <v>25</v>
      </c>
      <c r="M456" t="s">
        <v>49</v>
      </c>
      <c r="N456">
        <v>1</v>
      </c>
      <c r="O456" t="s">
        <v>158</v>
      </c>
      <c r="P456" t="s">
        <v>159</v>
      </c>
      <c r="Q456" t="s">
        <v>28</v>
      </c>
      <c r="R456" t="s">
        <v>28</v>
      </c>
      <c r="S456" t="s">
        <v>28</v>
      </c>
      <c r="T456" t="s">
        <v>28</v>
      </c>
      <c r="U456" t="s">
        <v>28</v>
      </c>
      <c r="V456" t="s">
        <v>28</v>
      </c>
      <c r="W456">
        <v>3</v>
      </c>
      <c r="X456" t="s">
        <v>155</v>
      </c>
    </row>
    <row r="457" spans="1:24" x14ac:dyDescent="0.2">
      <c r="A457" t="str">
        <f t="shared" si="21"/>
        <v>sample_miseq-16S-E-F12-L3_SICap-P20-F12-P1D14-RP3-YCFAG-Media-noBile-rep1-day14-repassage3</v>
      </c>
      <c r="B457" s="1" t="s">
        <v>629</v>
      </c>
      <c r="C457" s="3" t="s">
        <v>1205</v>
      </c>
      <c r="D457" s="3" t="s">
        <v>1327</v>
      </c>
      <c r="E457" t="s">
        <v>20</v>
      </c>
      <c r="F457" t="s">
        <v>156</v>
      </c>
      <c r="G457" t="s">
        <v>115</v>
      </c>
      <c r="H457" t="str">
        <f t="shared" si="22"/>
        <v>12</v>
      </c>
      <c r="I457" t="str">
        <f t="shared" si="23"/>
        <v>F</v>
      </c>
      <c r="J457" t="s">
        <v>157</v>
      </c>
      <c r="K457" t="s">
        <v>104</v>
      </c>
      <c r="L457" t="s">
        <v>25</v>
      </c>
      <c r="M457" t="s">
        <v>6</v>
      </c>
      <c r="N457">
        <v>1</v>
      </c>
      <c r="O457" t="s">
        <v>158</v>
      </c>
      <c r="P457" t="s">
        <v>159</v>
      </c>
      <c r="Q457" t="s">
        <v>28</v>
      </c>
      <c r="R457" t="s">
        <v>28</v>
      </c>
      <c r="S457" t="s">
        <v>28</v>
      </c>
      <c r="T457" t="s">
        <v>28</v>
      </c>
      <c r="U457" t="s">
        <v>28</v>
      </c>
      <c r="V457" t="s">
        <v>28</v>
      </c>
      <c r="W457">
        <v>3</v>
      </c>
      <c r="X457" t="s">
        <v>155</v>
      </c>
    </row>
    <row r="458" spans="1:24" x14ac:dyDescent="0.2">
      <c r="A458" t="str">
        <f t="shared" si="21"/>
        <v>sample_miseq-16S-E-G01-L3_SICap-P20-G1-P1D14-RP3-TYG-C1R1-noBile-rep1-day14-repassage3</v>
      </c>
      <c r="B458" s="1" t="s">
        <v>630</v>
      </c>
      <c r="C458" s="3" t="s">
        <v>1206</v>
      </c>
      <c r="D458" s="3" t="s">
        <v>1327</v>
      </c>
      <c r="E458" t="s">
        <v>20</v>
      </c>
      <c r="F458" t="s">
        <v>156</v>
      </c>
      <c r="G458" t="s">
        <v>116</v>
      </c>
      <c r="H458" t="str">
        <f t="shared" si="22"/>
        <v>01</v>
      </c>
      <c r="I458" t="str">
        <f t="shared" si="23"/>
        <v>G</v>
      </c>
      <c r="J458" t="s">
        <v>157</v>
      </c>
      <c r="K458" t="s">
        <v>117</v>
      </c>
      <c r="L458" t="s">
        <v>25</v>
      </c>
      <c r="M458" t="s">
        <v>26</v>
      </c>
      <c r="N458">
        <v>1</v>
      </c>
      <c r="O458" t="s">
        <v>158</v>
      </c>
      <c r="P458" t="s">
        <v>159</v>
      </c>
      <c r="Q458" t="s">
        <v>28</v>
      </c>
      <c r="R458" t="s">
        <v>28</v>
      </c>
      <c r="S458" t="s">
        <v>28</v>
      </c>
      <c r="T458" t="s">
        <v>28</v>
      </c>
      <c r="U458" t="s">
        <v>28</v>
      </c>
      <c r="V458" t="s">
        <v>28</v>
      </c>
      <c r="W458">
        <v>3</v>
      </c>
      <c r="X458" t="s">
        <v>155</v>
      </c>
    </row>
    <row r="459" spans="1:24" x14ac:dyDescent="0.2">
      <c r="A459" t="str">
        <f t="shared" si="21"/>
        <v>sample_miseq-16S-E-G02-L3_SICap-P20-G2-P1D14-RP3-TYG-C1R2-noBile-rep1-day14-repassage3</v>
      </c>
      <c r="B459" s="1" t="s">
        <v>631</v>
      </c>
      <c r="C459" s="3" t="s">
        <v>1207</v>
      </c>
      <c r="D459" s="3" t="s">
        <v>1327</v>
      </c>
      <c r="E459" t="s">
        <v>20</v>
      </c>
      <c r="F459" t="s">
        <v>156</v>
      </c>
      <c r="G459" t="s">
        <v>118</v>
      </c>
      <c r="H459" t="str">
        <f t="shared" si="22"/>
        <v>02</v>
      </c>
      <c r="I459" t="str">
        <f t="shared" si="23"/>
        <v>G</v>
      </c>
      <c r="J459" t="s">
        <v>157</v>
      </c>
      <c r="K459" t="s">
        <v>117</v>
      </c>
      <c r="L459" t="s">
        <v>25</v>
      </c>
      <c r="M459" t="s">
        <v>31</v>
      </c>
      <c r="N459">
        <v>1</v>
      </c>
      <c r="O459" t="s">
        <v>158</v>
      </c>
      <c r="P459" t="s">
        <v>159</v>
      </c>
      <c r="Q459" t="s">
        <v>28</v>
      </c>
      <c r="R459" t="s">
        <v>28</v>
      </c>
      <c r="S459" t="s">
        <v>28</v>
      </c>
      <c r="T459" t="s">
        <v>28</v>
      </c>
      <c r="U459" t="s">
        <v>28</v>
      </c>
      <c r="V459" t="s">
        <v>28</v>
      </c>
      <c r="W459">
        <v>3</v>
      </c>
      <c r="X459" t="s">
        <v>155</v>
      </c>
    </row>
    <row r="460" spans="1:24" x14ac:dyDescent="0.2">
      <c r="A460" t="str">
        <f t="shared" si="21"/>
        <v>sample_miseq-16S-E-G03-L3_SICap-P20-G3-P1D14-RP3-TYG-C2R1-noBile-rep1-day14-repassage3</v>
      </c>
      <c r="B460" s="1" t="s">
        <v>632</v>
      </c>
      <c r="C460" s="3" t="s">
        <v>1208</v>
      </c>
      <c r="D460" s="3" t="s">
        <v>1327</v>
      </c>
      <c r="E460" t="s">
        <v>20</v>
      </c>
      <c r="F460" t="s">
        <v>156</v>
      </c>
      <c r="G460" t="s">
        <v>119</v>
      </c>
      <c r="H460" t="str">
        <f t="shared" si="22"/>
        <v>03</v>
      </c>
      <c r="I460" t="str">
        <f t="shared" si="23"/>
        <v>G</v>
      </c>
      <c r="J460" t="s">
        <v>157</v>
      </c>
      <c r="K460" t="s">
        <v>117</v>
      </c>
      <c r="L460" t="s">
        <v>25</v>
      </c>
      <c r="M460" t="s">
        <v>33</v>
      </c>
      <c r="N460">
        <v>1</v>
      </c>
      <c r="O460" t="s">
        <v>158</v>
      </c>
      <c r="P460" t="s">
        <v>159</v>
      </c>
      <c r="Q460" t="s">
        <v>28</v>
      </c>
      <c r="R460" t="s">
        <v>28</v>
      </c>
      <c r="S460" t="s">
        <v>28</v>
      </c>
      <c r="T460" t="s">
        <v>28</v>
      </c>
      <c r="U460" t="s">
        <v>28</v>
      </c>
      <c r="V460" t="s">
        <v>28</v>
      </c>
      <c r="W460">
        <v>3</v>
      </c>
      <c r="X460" t="s">
        <v>155</v>
      </c>
    </row>
    <row r="461" spans="1:24" x14ac:dyDescent="0.2">
      <c r="A461" t="str">
        <f t="shared" si="21"/>
        <v>sample_miseq-16S-E-G04-L3_SICap-P20-G4-P1D14-RP3-TYG-C2R2-noBile-rep1-day14-repassage3</v>
      </c>
      <c r="B461" s="1" t="s">
        <v>633</v>
      </c>
      <c r="C461" s="3" t="s">
        <v>1209</v>
      </c>
      <c r="D461" s="3" t="s">
        <v>1327</v>
      </c>
      <c r="E461" t="s">
        <v>20</v>
      </c>
      <c r="F461" t="s">
        <v>156</v>
      </c>
      <c r="G461" t="s">
        <v>120</v>
      </c>
      <c r="H461" t="str">
        <f t="shared" si="22"/>
        <v>04</v>
      </c>
      <c r="I461" t="str">
        <f t="shared" si="23"/>
        <v>G</v>
      </c>
      <c r="J461" t="s">
        <v>157</v>
      </c>
      <c r="K461" t="s">
        <v>117</v>
      </c>
      <c r="L461" t="s">
        <v>25</v>
      </c>
      <c r="M461" t="s">
        <v>35</v>
      </c>
      <c r="N461">
        <v>1</v>
      </c>
      <c r="O461" t="s">
        <v>158</v>
      </c>
      <c r="P461" t="s">
        <v>159</v>
      </c>
      <c r="Q461" t="s">
        <v>28</v>
      </c>
      <c r="R461" t="s">
        <v>28</v>
      </c>
      <c r="S461" t="s">
        <v>28</v>
      </c>
      <c r="T461" t="s">
        <v>28</v>
      </c>
      <c r="U461" t="s">
        <v>28</v>
      </c>
      <c r="V461" t="s">
        <v>28</v>
      </c>
      <c r="W461">
        <v>3</v>
      </c>
      <c r="X461" t="s">
        <v>155</v>
      </c>
    </row>
    <row r="462" spans="1:24" x14ac:dyDescent="0.2">
      <c r="A462" t="str">
        <f t="shared" si="21"/>
        <v>sample_miseq-16S-E-G05-L3_SICap-P20-G5-P1D14-RP3-TYG-C3R1-noBile-rep1-day14-repassage3</v>
      </c>
      <c r="B462" s="1" t="s">
        <v>634</v>
      </c>
      <c r="C462" s="3" t="s">
        <v>1210</v>
      </c>
      <c r="D462" s="3" t="s">
        <v>1327</v>
      </c>
      <c r="E462" t="s">
        <v>20</v>
      </c>
      <c r="F462" t="s">
        <v>156</v>
      </c>
      <c r="G462" t="s">
        <v>121</v>
      </c>
      <c r="H462" t="str">
        <f t="shared" si="22"/>
        <v>05</v>
      </c>
      <c r="I462" t="str">
        <f t="shared" si="23"/>
        <v>G</v>
      </c>
      <c r="J462" t="s">
        <v>157</v>
      </c>
      <c r="K462" t="s">
        <v>117</v>
      </c>
      <c r="L462" t="s">
        <v>25</v>
      </c>
      <c r="M462" t="s">
        <v>37</v>
      </c>
      <c r="N462">
        <v>1</v>
      </c>
      <c r="O462" t="s">
        <v>158</v>
      </c>
      <c r="P462" t="s">
        <v>159</v>
      </c>
      <c r="Q462" t="s">
        <v>28</v>
      </c>
      <c r="R462" t="s">
        <v>28</v>
      </c>
      <c r="S462" t="s">
        <v>28</v>
      </c>
      <c r="T462" t="s">
        <v>28</v>
      </c>
      <c r="U462" t="s">
        <v>28</v>
      </c>
      <c r="V462" t="s">
        <v>28</v>
      </c>
      <c r="W462">
        <v>3</v>
      </c>
      <c r="X462" t="s">
        <v>155</v>
      </c>
    </row>
    <row r="463" spans="1:24" x14ac:dyDescent="0.2">
      <c r="A463" t="str">
        <f t="shared" si="21"/>
        <v>sample_miseq-16S-E-G06-L3_SICap-P20-G6-P1D14-RP3-TYG-C3R2-noBile-rep1-day14-repassage3</v>
      </c>
      <c r="B463" s="1" t="s">
        <v>635</v>
      </c>
      <c r="C463" s="3" t="s">
        <v>1211</v>
      </c>
      <c r="D463" s="3" t="s">
        <v>1327</v>
      </c>
      <c r="E463" t="s">
        <v>20</v>
      </c>
      <c r="F463" t="s">
        <v>156</v>
      </c>
      <c r="G463" t="s">
        <v>122</v>
      </c>
      <c r="H463" t="str">
        <f t="shared" si="22"/>
        <v>06</v>
      </c>
      <c r="I463" t="str">
        <f t="shared" si="23"/>
        <v>G</v>
      </c>
      <c r="J463" t="s">
        <v>157</v>
      </c>
      <c r="K463" t="s">
        <v>117</v>
      </c>
      <c r="L463" t="s">
        <v>25</v>
      </c>
      <c r="M463" t="s">
        <v>39</v>
      </c>
      <c r="N463">
        <v>1</v>
      </c>
      <c r="O463" t="s">
        <v>158</v>
      </c>
      <c r="P463" t="s">
        <v>159</v>
      </c>
      <c r="Q463" t="s">
        <v>28</v>
      </c>
      <c r="R463" t="s">
        <v>28</v>
      </c>
      <c r="S463" t="s">
        <v>28</v>
      </c>
      <c r="T463" t="s">
        <v>28</v>
      </c>
      <c r="U463" t="s">
        <v>28</v>
      </c>
      <c r="V463" t="s">
        <v>28</v>
      </c>
      <c r="W463">
        <v>3</v>
      </c>
      <c r="X463" t="s">
        <v>155</v>
      </c>
    </row>
    <row r="464" spans="1:24" x14ac:dyDescent="0.2">
      <c r="A464" t="str">
        <f t="shared" si="21"/>
        <v>sample_miseq-16S-E-G07-L3_SICap-P20-G7-P1D14-RP3-TYG-C4R1-noBile-rep1-day14-repassage3</v>
      </c>
      <c r="B464" s="1" t="s">
        <v>636</v>
      </c>
      <c r="C464" s="3" t="s">
        <v>1212</v>
      </c>
      <c r="D464" s="3" t="s">
        <v>1327</v>
      </c>
      <c r="E464" t="s">
        <v>20</v>
      </c>
      <c r="F464" t="s">
        <v>156</v>
      </c>
      <c r="G464" t="s">
        <v>123</v>
      </c>
      <c r="H464" t="str">
        <f t="shared" si="22"/>
        <v>07</v>
      </c>
      <c r="I464" t="str">
        <f t="shared" si="23"/>
        <v>G</v>
      </c>
      <c r="J464" t="s">
        <v>157</v>
      </c>
      <c r="K464" t="s">
        <v>117</v>
      </c>
      <c r="L464" t="s">
        <v>25</v>
      </c>
      <c r="M464" t="s">
        <v>41</v>
      </c>
      <c r="N464">
        <v>1</v>
      </c>
      <c r="O464" t="s">
        <v>158</v>
      </c>
      <c r="P464" t="s">
        <v>159</v>
      </c>
      <c r="Q464" t="s">
        <v>28</v>
      </c>
      <c r="R464" t="s">
        <v>28</v>
      </c>
      <c r="S464" t="s">
        <v>28</v>
      </c>
      <c r="T464" t="s">
        <v>28</v>
      </c>
      <c r="U464" t="s">
        <v>28</v>
      </c>
      <c r="V464" t="s">
        <v>28</v>
      </c>
      <c r="W464">
        <v>3</v>
      </c>
      <c r="X464" t="s">
        <v>155</v>
      </c>
    </row>
    <row r="465" spans="1:24" x14ac:dyDescent="0.2">
      <c r="A465" t="str">
        <f t="shared" si="21"/>
        <v>sample_miseq-16S-E-G08-L3_SICap-P20-G8-P1D14-RP3-TYG-C4R2-noBile-rep1-day14-repassage3</v>
      </c>
      <c r="B465" s="1" t="s">
        <v>637</v>
      </c>
      <c r="C465" s="3" t="s">
        <v>1213</v>
      </c>
      <c r="D465" s="3" t="s">
        <v>1327</v>
      </c>
      <c r="E465" t="s">
        <v>20</v>
      </c>
      <c r="F465" t="s">
        <v>156</v>
      </c>
      <c r="G465" t="s">
        <v>124</v>
      </c>
      <c r="H465" t="str">
        <f t="shared" si="22"/>
        <v>08</v>
      </c>
      <c r="I465" t="str">
        <f t="shared" si="23"/>
        <v>G</v>
      </c>
      <c r="J465" t="s">
        <v>157</v>
      </c>
      <c r="K465" t="s">
        <v>117</v>
      </c>
      <c r="L465" t="s">
        <v>25</v>
      </c>
      <c r="M465" t="s">
        <v>43</v>
      </c>
      <c r="N465">
        <v>1</v>
      </c>
      <c r="O465" t="s">
        <v>158</v>
      </c>
      <c r="P465" t="s">
        <v>159</v>
      </c>
      <c r="Q465" t="s">
        <v>28</v>
      </c>
      <c r="R465" t="s">
        <v>28</v>
      </c>
      <c r="S465" t="s">
        <v>28</v>
      </c>
      <c r="T465" t="s">
        <v>28</v>
      </c>
      <c r="U465" t="s">
        <v>28</v>
      </c>
      <c r="V465" t="s">
        <v>28</v>
      </c>
      <c r="W465">
        <v>3</v>
      </c>
      <c r="X465" t="s">
        <v>155</v>
      </c>
    </row>
    <row r="466" spans="1:24" x14ac:dyDescent="0.2">
      <c r="A466" t="str">
        <f t="shared" si="21"/>
        <v>sample_miseq-16S-E-G09-L3_SICap-P20-G9-P1D14-RP3-TYG-S1R2-noBile-rep1-day14-repassage3</v>
      </c>
      <c r="B466" s="1" t="s">
        <v>638</v>
      </c>
      <c r="C466" s="3" t="s">
        <v>1214</v>
      </c>
      <c r="D466" s="3" t="s">
        <v>1327</v>
      </c>
      <c r="E466" t="s">
        <v>20</v>
      </c>
      <c r="F466" t="s">
        <v>156</v>
      </c>
      <c r="G466" t="s">
        <v>125</v>
      </c>
      <c r="H466" t="str">
        <f t="shared" si="22"/>
        <v>09</v>
      </c>
      <c r="I466" t="str">
        <f t="shared" si="23"/>
        <v>G</v>
      </c>
      <c r="J466" t="s">
        <v>157</v>
      </c>
      <c r="K466" t="s">
        <v>117</v>
      </c>
      <c r="L466" t="s">
        <v>25</v>
      </c>
      <c r="M466" t="s">
        <v>45</v>
      </c>
      <c r="N466">
        <v>1</v>
      </c>
      <c r="O466" t="s">
        <v>158</v>
      </c>
      <c r="P466" t="s">
        <v>159</v>
      </c>
      <c r="Q466" t="s">
        <v>28</v>
      </c>
      <c r="R466" t="s">
        <v>28</v>
      </c>
      <c r="S466" t="s">
        <v>28</v>
      </c>
      <c r="T466" t="s">
        <v>28</v>
      </c>
      <c r="U466" t="s">
        <v>28</v>
      </c>
      <c r="V466" t="s">
        <v>28</v>
      </c>
      <c r="W466">
        <v>3</v>
      </c>
      <c r="X466" t="s">
        <v>155</v>
      </c>
    </row>
    <row r="467" spans="1:24" x14ac:dyDescent="0.2">
      <c r="A467" t="str">
        <f t="shared" si="21"/>
        <v>sample_miseq-16S-E-G10-L3_SICap-P20-G10-P1D14-RP3-TYG-StoolPool-noBile-rep1-day14-repassage3</v>
      </c>
      <c r="B467" s="1" t="s">
        <v>639</v>
      </c>
      <c r="C467" s="3" t="s">
        <v>1215</v>
      </c>
      <c r="D467" s="3" t="s">
        <v>1327</v>
      </c>
      <c r="E467" t="s">
        <v>20</v>
      </c>
      <c r="F467" t="s">
        <v>156</v>
      </c>
      <c r="G467" t="s">
        <v>126</v>
      </c>
      <c r="H467" t="str">
        <f t="shared" si="22"/>
        <v>10</v>
      </c>
      <c r="I467" t="str">
        <f t="shared" si="23"/>
        <v>G</v>
      </c>
      <c r="J467" t="s">
        <v>157</v>
      </c>
      <c r="K467" t="s">
        <v>117</v>
      </c>
      <c r="L467" t="s">
        <v>25</v>
      </c>
      <c r="M467" t="s">
        <v>47</v>
      </c>
      <c r="N467">
        <v>1</v>
      </c>
      <c r="O467" t="s">
        <v>158</v>
      </c>
      <c r="P467" t="s">
        <v>159</v>
      </c>
      <c r="Q467" t="s">
        <v>28</v>
      </c>
      <c r="R467" t="s">
        <v>28</v>
      </c>
      <c r="S467" t="s">
        <v>28</v>
      </c>
      <c r="T467" t="s">
        <v>28</v>
      </c>
      <c r="U467" t="s">
        <v>28</v>
      </c>
      <c r="V467" t="s">
        <v>28</v>
      </c>
      <c r="W467">
        <v>3</v>
      </c>
      <c r="X467" t="s">
        <v>155</v>
      </c>
    </row>
    <row r="468" spans="1:24" x14ac:dyDescent="0.2">
      <c r="A468" t="str">
        <f t="shared" si="21"/>
        <v>sample_miseq-16S-E-G11-L3_SICap-P20-G11-P1D14-RP3-TYG-SIPool-noBile-rep1-day14-repassage3</v>
      </c>
      <c r="B468" s="1" t="s">
        <v>640</v>
      </c>
      <c r="C468" s="3" t="s">
        <v>1216</v>
      </c>
      <c r="D468" s="3" t="s">
        <v>1327</v>
      </c>
      <c r="E468" t="s">
        <v>20</v>
      </c>
      <c r="F468" t="s">
        <v>156</v>
      </c>
      <c r="G468" t="s">
        <v>127</v>
      </c>
      <c r="H468" t="str">
        <f t="shared" si="22"/>
        <v>11</v>
      </c>
      <c r="I468" t="str">
        <f t="shared" si="23"/>
        <v>G</v>
      </c>
      <c r="J468" t="s">
        <v>157</v>
      </c>
      <c r="K468" t="s">
        <v>117</v>
      </c>
      <c r="L468" t="s">
        <v>25</v>
      </c>
      <c r="M468" t="s">
        <v>49</v>
      </c>
      <c r="N468">
        <v>1</v>
      </c>
      <c r="O468" t="s">
        <v>158</v>
      </c>
      <c r="P468" t="s">
        <v>159</v>
      </c>
      <c r="Q468" t="s">
        <v>28</v>
      </c>
      <c r="R468" t="s">
        <v>28</v>
      </c>
      <c r="S468" t="s">
        <v>28</v>
      </c>
      <c r="T468" t="s">
        <v>28</v>
      </c>
      <c r="U468" t="s">
        <v>28</v>
      </c>
      <c r="V468" t="s">
        <v>28</v>
      </c>
      <c r="W468">
        <v>3</v>
      </c>
      <c r="X468" t="s">
        <v>155</v>
      </c>
    </row>
    <row r="469" spans="1:24" x14ac:dyDescent="0.2">
      <c r="A469" t="str">
        <f t="shared" si="21"/>
        <v>sample_miseq-16S-E-G12-L3_SICap-P20-G12-P1D14-RP3-TYG-Media-noBile-rep1-day14-repassage3</v>
      </c>
      <c r="B469" s="1" t="s">
        <v>641</v>
      </c>
      <c r="C469" s="3" t="s">
        <v>1217</v>
      </c>
      <c r="D469" s="3" t="s">
        <v>1327</v>
      </c>
      <c r="E469" t="s">
        <v>20</v>
      </c>
      <c r="F469" t="s">
        <v>156</v>
      </c>
      <c r="G469" t="s">
        <v>128</v>
      </c>
      <c r="H469" t="str">
        <f t="shared" si="22"/>
        <v>12</v>
      </c>
      <c r="I469" t="str">
        <f t="shared" si="23"/>
        <v>G</v>
      </c>
      <c r="J469" t="s">
        <v>157</v>
      </c>
      <c r="K469" t="s">
        <v>117</v>
      </c>
      <c r="L469" t="s">
        <v>25</v>
      </c>
      <c r="M469" t="s">
        <v>6</v>
      </c>
      <c r="N469">
        <v>1</v>
      </c>
      <c r="O469" t="s">
        <v>158</v>
      </c>
      <c r="P469" t="s">
        <v>159</v>
      </c>
      <c r="Q469" t="s">
        <v>28</v>
      </c>
      <c r="R469" t="s">
        <v>28</v>
      </c>
      <c r="S469" t="s">
        <v>28</v>
      </c>
      <c r="T469" t="s">
        <v>28</v>
      </c>
      <c r="U469" t="s">
        <v>28</v>
      </c>
      <c r="V469" t="s">
        <v>28</v>
      </c>
      <c r="W469">
        <v>3</v>
      </c>
      <c r="X469" t="s">
        <v>155</v>
      </c>
    </row>
    <row r="470" spans="1:24" x14ac:dyDescent="0.2">
      <c r="A470" t="str">
        <f t="shared" si="21"/>
        <v>sample_miseq-16S-E-H01-L3_SICap-P20-H1-P1D14-RP3-RCM-C1R1-noBile-rep1-day14-repassage3</v>
      </c>
      <c r="B470" s="1" t="s">
        <v>642</v>
      </c>
      <c r="C470" s="3" t="s">
        <v>1218</v>
      </c>
      <c r="D470" s="3" t="s">
        <v>1327</v>
      </c>
      <c r="E470" t="s">
        <v>20</v>
      </c>
      <c r="F470" t="s">
        <v>156</v>
      </c>
      <c r="G470" t="s">
        <v>129</v>
      </c>
      <c r="H470" t="str">
        <f t="shared" si="22"/>
        <v>01</v>
      </c>
      <c r="I470" t="str">
        <f t="shared" si="23"/>
        <v>H</v>
      </c>
      <c r="J470" t="s">
        <v>157</v>
      </c>
      <c r="K470" t="s">
        <v>130</v>
      </c>
      <c r="L470" t="s">
        <v>25</v>
      </c>
      <c r="M470" t="s">
        <v>26</v>
      </c>
      <c r="N470">
        <v>1</v>
      </c>
      <c r="O470" t="s">
        <v>158</v>
      </c>
      <c r="P470" t="s">
        <v>159</v>
      </c>
      <c r="Q470" t="s">
        <v>28</v>
      </c>
      <c r="R470" t="s">
        <v>28</v>
      </c>
      <c r="S470" t="s">
        <v>28</v>
      </c>
      <c r="T470" t="s">
        <v>28</v>
      </c>
      <c r="U470" t="s">
        <v>28</v>
      </c>
      <c r="V470" t="s">
        <v>28</v>
      </c>
      <c r="W470">
        <v>3</v>
      </c>
      <c r="X470" t="s">
        <v>155</v>
      </c>
    </row>
    <row r="471" spans="1:24" x14ac:dyDescent="0.2">
      <c r="A471" t="str">
        <f t="shared" si="21"/>
        <v>sample_miseq-16S-E-H02-L3_SICap-P20-H2-P1D14-RP3-RCM-C1R2-noBile-rep1-day14-repassage3</v>
      </c>
      <c r="B471" s="1" t="s">
        <v>643</v>
      </c>
      <c r="C471" s="3" t="s">
        <v>1219</v>
      </c>
      <c r="D471" s="3" t="s">
        <v>1327</v>
      </c>
      <c r="E471" t="s">
        <v>20</v>
      </c>
      <c r="F471" t="s">
        <v>156</v>
      </c>
      <c r="G471" t="s">
        <v>131</v>
      </c>
      <c r="H471" t="str">
        <f t="shared" si="22"/>
        <v>02</v>
      </c>
      <c r="I471" t="str">
        <f t="shared" si="23"/>
        <v>H</v>
      </c>
      <c r="J471" t="s">
        <v>157</v>
      </c>
      <c r="K471" t="s">
        <v>130</v>
      </c>
      <c r="L471" t="s">
        <v>25</v>
      </c>
      <c r="M471" t="s">
        <v>31</v>
      </c>
      <c r="N471">
        <v>1</v>
      </c>
      <c r="O471" t="s">
        <v>158</v>
      </c>
      <c r="P471" t="s">
        <v>159</v>
      </c>
      <c r="Q471" t="s">
        <v>28</v>
      </c>
      <c r="R471" t="s">
        <v>28</v>
      </c>
      <c r="S471" t="s">
        <v>28</v>
      </c>
      <c r="T471" t="s">
        <v>28</v>
      </c>
      <c r="U471" t="s">
        <v>28</v>
      </c>
      <c r="V471" t="s">
        <v>28</v>
      </c>
      <c r="W471">
        <v>3</v>
      </c>
      <c r="X471" t="s">
        <v>155</v>
      </c>
    </row>
    <row r="472" spans="1:24" x14ac:dyDescent="0.2">
      <c r="A472" t="str">
        <f t="shared" si="21"/>
        <v>sample_miseq-16S-E-H03-L3_SICap-P20-H3-P1D14-RP3-RCM-C2R1-noBile-rep1-day14-repassage3</v>
      </c>
      <c r="B472" s="1" t="s">
        <v>644</v>
      </c>
      <c r="C472" s="3" t="s">
        <v>1220</v>
      </c>
      <c r="D472" s="3" t="s">
        <v>1327</v>
      </c>
      <c r="E472" t="s">
        <v>20</v>
      </c>
      <c r="F472" t="s">
        <v>156</v>
      </c>
      <c r="G472" t="s">
        <v>132</v>
      </c>
      <c r="H472" t="str">
        <f t="shared" si="22"/>
        <v>03</v>
      </c>
      <c r="I472" t="str">
        <f t="shared" si="23"/>
        <v>H</v>
      </c>
      <c r="J472" t="s">
        <v>157</v>
      </c>
      <c r="K472" t="s">
        <v>130</v>
      </c>
      <c r="L472" t="s">
        <v>25</v>
      </c>
      <c r="M472" t="s">
        <v>33</v>
      </c>
      <c r="N472">
        <v>1</v>
      </c>
      <c r="O472" t="s">
        <v>158</v>
      </c>
      <c r="P472" t="s">
        <v>159</v>
      </c>
      <c r="Q472" t="s">
        <v>28</v>
      </c>
      <c r="R472" t="s">
        <v>28</v>
      </c>
      <c r="S472" t="s">
        <v>28</v>
      </c>
      <c r="T472" t="s">
        <v>28</v>
      </c>
      <c r="U472" t="s">
        <v>28</v>
      </c>
      <c r="V472" t="s">
        <v>28</v>
      </c>
      <c r="W472">
        <v>3</v>
      </c>
      <c r="X472" t="s">
        <v>155</v>
      </c>
    </row>
    <row r="473" spans="1:24" x14ac:dyDescent="0.2">
      <c r="A473" t="str">
        <f t="shared" si="21"/>
        <v>sample_miseq-16S-E-H04-L3_SICap-P20-H4-P1D14-RP3-RCM-C2R2-noBile-rep1-day14-repassage3</v>
      </c>
      <c r="B473" s="1" t="s">
        <v>645</v>
      </c>
      <c r="C473" s="3" t="s">
        <v>1221</v>
      </c>
      <c r="D473" s="3" t="s">
        <v>1327</v>
      </c>
      <c r="E473" t="s">
        <v>20</v>
      </c>
      <c r="F473" t="s">
        <v>156</v>
      </c>
      <c r="G473" t="s">
        <v>133</v>
      </c>
      <c r="H473" t="str">
        <f t="shared" si="22"/>
        <v>04</v>
      </c>
      <c r="I473" t="str">
        <f t="shared" si="23"/>
        <v>H</v>
      </c>
      <c r="J473" t="s">
        <v>157</v>
      </c>
      <c r="K473" t="s">
        <v>130</v>
      </c>
      <c r="L473" t="s">
        <v>25</v>
      </c>
      <c r="M473" t="s">
        <v>35</v>
      </c>
      <c r="N473">
        <v>1</v>
      </c>
      <c r="O473" t="s">
        <v>158</v>
      </c>
      <c r="P473" t="s">
        <v>159</v>
      </c>
      <c r="Q473" t="s">
        <v>28</v>
      </c>
      <c r="R473" t="s">
        <v>28</v>
      </c>
      <c r="S473" t="s">
        <v>28</v>
      </c>
      <c r="T473" t="s">
        <v>28</v>
      </c>
      <c r="U473" t="s">
        <v>28</v>
      </c>
      <c r="V473" t="s">
        <v>28</v>
      </c>
      <c r="W473">
        <v>3</v>
      </c>
      <c r="X473" t="s">
        <v>155</v>
      </c>
    </row>
    <row r="474" spans="1:24" x14ac:dyDescent="0.2">
      <c r="A474" t="str">
        <f t="shared" si="21"/>
        <v>sample_miseq-16S-E-H05-L3_SICap-P20-H5-P1D14-RP3-RCM-C3R1-noBile-rep1-day14-repassage3</v>
      </c>
      <c r="B474" s="1" t="s">
        <v>646</v>
      </c>
      <c r="C474" s="3" t="s">
        <v>1222</v>
      </c>
      <c r="D474" s="3" t="s">
        <v>1327</v>
      </c>
      <c r="E474" t="s">
        <v>20</v>
      </c>
      <c r="F474" t="s">
        <v>156</v>
      </c>
      <c r="G474" t="s">
        <v>134</v>
      </c>
      <c r="H474" t="str">
        <f t="shared" si="22"/>
        <v>05</v>
      </c>
      <c r="I474" t="str">
        <f t="shared" si="23"/>
        <v>H</v>
      </c>
      <c r="J474" t="s">
        <v>157</v>
      </c>
      <c r="K474" t="s">
        <v>130</v>
      </c>
      <c r="L474" t="s">
        <v>25</v>
      </c>
      <c r="M474" t="s">
        <v>37</v>
      </c>
      <c r="N474">
        <v>1</v>
      </c>
      <c r="O474" t="s">
        <v>158</v>
      </c>
      <c r="P474" t="s">
        <v>159</v>
      </c>
      <c r="Q474" t="s">
        <v>28</v>
      </c>
      <c r="R474" t="s">
        <v>28</v>
      </c>
      <c r="S474" t="s">
        <v>28</v>
      </c>
      <c r="T474" t="s">
        <v>28</v>
      </c>
      <c r="U474" t="s">
        <v>28</v>
      </c>
      <c r="V474" t="s">
        <v>28</v>
      </c>
      <c r="W474">
        <v>3</v>
      </c>
      <c r="X474" t="s">
        <v>155</v>
      </c>
    </row>
    <row r="475" spans="1:24" x14ac:dyDescent="0.2">
      <c r="A475" t="str">
        <f t="shared" si="21"/>
        <v>sample_miseq-16S-E-H06-L3_SICap-P20-H6-P1D14-RP3-RCM-C3R2-noBile-rep1-day14-repassage3</v>
      </c>
      <c r="B475" s="1" t="s">
        <v>647</v>
      </c>
      <c r="C475" s="3" t="s">
        <v>1223</v>
      </c>
      <c r="D475" s="3" t="s">
        <v>1327</v>
      </c>
      <c r="E475" t="s">
        <v>20</v>
      </c>
      <c r="F475" t="s">
        <v>156</v>
      </c>
      <c r="G475" t="s">
        <v>135</v>
      </c>
      <c r="H475" t="str">
        <f t="shared" si="22"/>
        <v>06</v>
      </c>
      <c r="I475" t="str">
        <f t="shared" si="23"/>
        <v>H</v>
      </c>
      <c r="J475" t="s">
        <v>157</v>
      </c>
      <c r="K475" t="s">
        <v>130</v>
      </c>
      <c r="L475" t="s">
        <v>25</v>
      </c>
      <c r="M475" t="s">
        <v>39</v>
      </c>
      <c r="N475">
        <v>1</v>
      </c>
      <c r="O475" t="s">
        <v>158</v>
      </c>
      <c r="P475" t="s">
        <v>159</v>
      </c>
      <c r="Q475" t="s">
        <v>28</v>
      </c>
      <c r="R475" t="s">
        <v>28</v>
      </c>
      <c r="S475" t="s">
        <v>28</v>
      </c>
      <c r="T475" t="s">
        <v>28</v>
      </c>
      <c r="U475" t="s">
        <v>28</v>
      </c>
      <c r="V475" t="s">
        <v>28</v>
      </c>
      <c r="W475">
        <v>3</v>
      </c>
      <c r="X475" t="s">
        <v>155</v>
      </c>
    </row>
    <row r="476" spans="1:24" x14ac:dyDescent="0.2">
      <c r="A476" t="str">
        <f t="shared" si="21"/>
        <v>sample_miseq-16S-E-H07-L3_SICap-P20-H7-P1D14-RP3-RCM-C4R1-noBile-rep1-day14-repassage3</v>
      </c>
      <c r="B476" s="1" t="s">
        <v>648</v>
      </c>
      <c r="C476" s="3" t="s">
        <v>1224</v>
      </c>
      <c r="D476" s="3" t="s">
        <v>1327</v>
      </c>
      <c r="E476" t="s">
        <v>20</v>
      </c>
      <c r="F476" t="s">
        <v>156</v>
      </c>
      <c r="G476" t="s">
        <v>136</v>
      </c>
      <c r="H476" t="str">
        <f t="shared" si="22"/>
        <v>07</v>
      </c>
      <c r="I476" t="str">
        <f t="shared" si="23"/>
        <v>H</v>
      </c>
      <c r="J476" t="s">
        <v>157</v>
      </c>
      <c r="K476" t="s">
        <v>130</v>
      </c>
      <c r="L476" t="s">
        <v>25</v>
      </c>
      <c r="M476" t="s">
        <v>41</v>
      </c>
      <c r="N476">
        <v>1</v>
      </c>
      <c r="O476" t="s">
        <v>158</v>
      </c>
      <c r="P476" t="s">
        <v>159</v>
      </c>
      <c r="Q476" t="s">
        <v>28</v>
      </c>
      <c r="R476" t="s">
        <v>28</v>
      </c>
      <c r="S476" t="s">
        <v>28</v>
      </c>
      <c r="T476" t="s">
        <v>28</v>
      </c>
      <c r="U476" t="s">
        <v>28</v>
      </c>
      <c r="V476" t="s">
        <v>28</v>
      </c>
      <c r="W476">
        <v>3</v>
      </c>
      <c r="X476" t="s">
        <v>155</v>
      </c>
    </row>
    <row r="477" spans="1:24" x14ac:dyDescent="0.2">
      <c r="A477" t="str">
        <f t="shared" si="21"/>
        <v>sample_miseq-16S-E-H08-L3_SICap-P20-H8-P1D14-RP3-RCM-C4R2-noBile-rep1-day14-repassage3</v>
      </c>
      <c r="B477" s="1" t="s">
        <v>649</v>
      </c>
      <c r="C477" s="3" t="s">
        <v>1225</v>
      </c>
      <c r="D477" s="3" t="s">
        <v>1327</v>
      </c>
      <c r="E477" t="s">
        <v>20</v>
      </c>
      <c r="F477" t="s">
        <v>156</v>
      </c>
      <c r="G477" t="s">
        <v>137</v>
      </c>
      <c r="H477" t="str">
        <f t="shared" si="22"/>
        <v>08</v>
      </c>
      <c r="I477" t="str">
        <f t="shared" si="23"/>
        <v>H</v>
      </c>
      <c r="J477" t="s">
        <v>157</v>
      </c>
      <c r="K477" t="s">
        <v>130</v>
      </c>
      <c r="L477" t="s">
        <v>25</v>
      </c>
      <c r="M477" t="s">
        <v>43</v>
      </c>
      <c r="N477">
        <v>1</v>
      </c>
      <c r="O477" t="s">
        <v>158</v>
      </c>
      <c r="P477" t="s">
        <v>159</v>
      </c>
      <c r="Q477" t="s">
        <v>28</v>
      </c>
      <c r="R477" t="s">
        <v>28</v>
      </c>
      <c r="S477" t="s">
        <v>28</v>
      </c>
      <c r="T477" t="s">
        <v>28</v>
      </c>
      <c r="U477" t="s">
        <v>28</v>
      </c>
      <c r="V477" t="s">
        <v>28</v>
      </c>
      <c r="W477">
        <v>3</v>
      </c>
      <c r="X477" t="s">
        <v>155</v>
      </c>
    </row>
    <row r="478" spans="1:24" x14ac:dyDescent="0.2">
      <c r="A478" t="str">
        <f t="shared" si="21"/>
        <v>sample_miseq-16S-E-H09-L3_SICap-P20-H9-P1D14-RP3-RCM-S1R2-noBile-rep1-day14-repassage3</v>
      </c>
      <c r="B478" s="1" t="s">
        <v>650</v>
      </c>
      <c r="C478" s="3" t="s">
        <v>1226</v>
      </c>
      <c r="D478" s="3" t="s">
        <v>1327</v>
      </c>
      <c r="E478" t="s">
        <v>20</v>
      </c>
      <c r="F478" t="s">
        <v>156</v>
      </c>
      <c r="G478" t="s">
        <v>138</v>
      </c>
      <c r="H478" t="str">
        <f t="shared" si="22"/>
        <v>09</v>
      </c>
      <c r="I478" t="str">
        <f t="shared" si="23"/>
        <v>H</v>
      </c>
      <c r="J478" t="s">
        <v>157</v>
      </c>
      <c r="K478" t="s">
        <v>130</v>
      </c>
      <c r="L478" t="s">
        <v>25</v>
      </c>
      <c r="M478" t="s">
        <v>45</v>
      </c>
      <c r="N478">
        <v>1</v>
      </c>
      <c r="O478" t="s">
        <v>158</v>
      </c>
      <c r="P478" t="s">
        <v>159</v>
      </c>
      <c r="Q478" t="s">
        <v>28</v>
      </c>
      <c r="R478" t="s">
        <v>28</v>
      </c>
      <c r="S478" t="s">
        <v>28</v>
      </c>
      <c r="T478" t="s">
        <v>28</v>
      </c>
      <c r="U478" t="s">
        <v>28</v>
      </c>
      <c r="V478" t="s">
        <v>28</v>
      </c>
      <c r="W478">
        <v>3</v>
      </c>
      <c r="X478" t="s">
        <v>155</v>
      </c>
    </row>
    <row r="479" spans="1:24" x14ac:dyDescent="0.2">
      <c r="A479" t="str">
        <f t="shared" si="21"/>
        <v>sample_miseq-16S-E-H10-L3_SICap-P20-H10-P1D14-RP3-RCM-StoolPool-noBile-rep1-day14-repassage3</v>
      </c>
      <c r="B479" s="1" t="s">
        <v>651</v>
      </c>
      <c r="C479" s="3" t="s">
        <v>1227</v>
      </c>
      <c r="D479" s="3" t="s">
        <v>1327</v>
      </c>
      <c r="E479" t="s">
        <v>20</v>
      </c>
      <c r="F479" t="s">
        <v>156</v>
      </c>
      <c r="G479" t="s">
        <v>139</v>
      </c>
      <c r="H479" t="str">
        <f t="shared" si="22"/>
        <v>10</v>
      </c>
      <c r="I479" t="str">
        <f t="shared" si="23"/>
        <v>H</v>
      </c>
      <c r="J479" t="s">
        <v>157</v>
      </c>
      <c r="K479" t="s">
        <v>130</v>
      </c>
      <c r="L479" t="s">
        <v>25</v>
      </c>
      <c r="M479" t="s">
        <v>47</v>
      </c>
      <c r="N479">
        <v>1</v>
      </c>
      <c r="O479" t="s">
        <v>158</v>
      </c>
      <c r="P479" t="s">
        <v>159</v>
      </c>
      <c r="Q479" t="s">
        <v>28</v>
      </c>
      <c r="R479" t="s">
        <v>28</v>
      </c>
      <c r="S479" t="s">
        <v>28</v>
      </c>
      <c r="T479" t="s">
        <v>28</v>
      </c>
      <c r="U479" t="s">
        <v>28</v>
      </c>
      <c r="V479" t="s">
        <v>28</v>
      </c>
      <c r="W479">
        <v>3</v>
      </c>
      <c r="X479" t="s">
        <v>155</v>
      </c>
    </row>
    <row r="480" spans="1:24" x14ac:dyDescent="0.2">
      <c r="A480" t="str">
        <f t="shared" si="21"/>
        <v>sample_miseq-16S-E-H11-L3_SICap-P20-H11-P1D14-RP3-RCM-SIPool-noBile-rep1-day14-repassage3</v>
      </c>
      <c r="B480" s="1" t="s">
        <v>652</v>
      </c>
      <c r="C480" s="3" t="s">
        <v>1228</v>
      </c>
      <c r="D480" s="3" t="s">
        <v>1327</v>
      </c>
      <c r="E480" t="s">
        <v>20</v>
      </c>
      <c r="F480" t="s">
        <v>156</v>
      </c>
      <c r="G480" t="s">
        <v>140</v>
      </c>
      <c r="H480" t="str">
        <f t="shared" si="22"/>
        <v>11</v>
      </c>
      <c r="I480" t="str">
        <f t="shared" si="23"/>
        <v>H</v>
      </c>
      <c r="J480" t="s">
        <v>157</v>
      </c>
      <c r="K480" t="s">
        <v>130</v>
      </c>
      <c r="L480" t="s">
        <v>25</v>
      </c>
      <c r="M480" t="s">
        <v>49</v>
      </c>
      <c r="N480">
        <v>1</v>
      </c>
      <c r="O480" t="s">
        <v>158</v>
      </c>
      <c r="P480" t="s">
        <v>159</v>
      </c>
      <c r="Q480" t="s">
        <v>28</v>
      </c>
      <c r="R480" t="s">
        <v>28</v>
      </c>
      <c r="S480" t="s">
        <v>28</v>
      </c>
      <c r="T480" t="s">
        <v>28</v>
      </c>
      <c r="U480" t="s">
        <v>28</v>
      </c>
      <c r="V480" t="s">
        <v>28</v>
      </c>
      <c r="W480">
        <v>3</v>
      </c>
      <c r="X480" t="s">
        <v>155</v>
      </c>
    </row>
    <row r="481" spans="1:24" x14ac:dyDescent="0.2">
      <c r="A481" t="str">
        <f t="shared" si="21"/>
        <v>sample_miseq-16S-E-H12-L3_SICap-P20-H12-P1D14-RP3-RCM-Media-noBile-rep1-day14-repassage3</v>
      </c>
      <c r="B481" s="1" t="s">
        <v>653</v>
      </c>
      <c r="C481" s="3" t="s">
        <v>1229</v>
      </c>
      <c r="D481" s="3" t="s">
        <v>1327</v>
      </c>
      <c r="E481" t="s">
        <v>20</v>
      </c>
      <c r="F481" t="s">
        <v>156</v>
      </c>
      <c r="G481" t="s">
        <v>141</v>
      </c>
      <c r="H481" t="str">
        <f t="shared" si="22"/>
        <v>12</v>
      </c>
      <c r="I481" t="str">
        <f t="shared" si="23"/>
        <v>H</v>
      </c>
      <c r="J481" t="s">
        <v>157</v>
      </c>
      <c r="K481" t="s">
        <v>130</v>
      </c>
      <c r="L481" t="s">
        <v>25</v>
      </c>
      <c r="M481" t="s">
        <v>6</v>
      </c>
      <c r="N481">
        <v>1</v>
      </c>
      <c r="O481" t="s">
        <v>158</v>
      </c>
      <c r="P481" t="s">
        <v>159</v>
      </c>
      <c r="Q481" t="s">
        <v>28</v>
      </c>
      <c r="R481" t="s">
        <v>28</v>
      </c>
      <c r="S481" t="s">
        <v>28</v>
      </c>
      <c r="T481" t="s">
        <v>28</v>
      </c>
      <c r="U481" t="s">
        <v>28</v>
      </c>
      <c r="V481" t="s">
        <v>28</v>
      </c>
      <c r="W481">
        <v>3</v>
      </c>
      <c r="X481" t="s">
        <v>155</v>
      </c>
    </row>
    <row r="482" spans="1:24" x14ac:dyDescent="0.2">
      <c r="A482" t="str">
        <f t="shared" si="21"/>
        <v>sample_miseq-16S-F-A01-L5_SICap-P22-A1-MouseStool-Feces-mouse-20231110-111-Blue-3</v>
      </c>
      <c r="B482" s="1" t="s">
        <v>654</v>
      </c>
      <c r="C482" s="3" t="s">
        <v>1230</v>
      </c>
      <c r="D482" s="3" t="s">
        <v>1327</v>
      </c>
      <c r="E482" t="s">
        <v>20</v>
      </c>
      <c r="F482" t="s">
        <v>161</v>
      </c>
      <c r="G482" t="s">
        <v>22</v>
      </c>
      <c r="H482" t="str">
        <f t="shared" si="22"/>
        <v>01</v>
      </c>
      <c r="I482" t="str">
        <f t="shared" si="23"/>
        <v>A</v>
      </c>
      <c r="J482" t="s">
        <v>162</v>
      </c>
      <c r="K482" t="s">
        <v>28</v>
      </c>
      <c r="L482" t="s">
        <v>28</v>
      </c>
      <c r="M482" t="s">
        <v>28</v>
      </c>
      <c r="N482" t="s">
        <v>28</v>
      </c>
      <c r="O482" t="s">
        <v>28</v>
      </c>
      <c r="P482" t="s">
        <v>28</v>
      </c>
      <c r="Q482" t="s">
        <v>47</v>
      </c>
      <c r="R482" t="s">
        <v>163</v>
      </c>
      <c r="S482">
        <v>111</v>
      </c>
      <c r="T482" t="s">
        <v>164</v>
      </c>
      <c r="U482">
        <v>20231110</v>
      </c>
      <c r="V482">
        <v>1</v>
      </c>
      <c r="W482">
        <v>5</v>
      </c>
      <c r="X482" t="s">
        <v>160</v>
      </c>
    </row>
    <row r="483" spans="1:24" x14ac:dyDescent="0.2">
      <c r="A483" t="str">
        <f t="shared" si="21"/>
        <v>sample_miseq-16S-F-A02-L5_SICap-P22-A2-MouseStool-Feces-mouse-20231110-111-Orange-3</v>
      </c>
      <c r="B483" s="1" t="s">
        <v>655</v>
      </c>
      <c r="C483" s="3" t="s">
        <v>1231</v>
      </c>
      <c r="D483" s="3" t="s">
        <v>1327</v>
      </c>
      <c r="E483" t="s">
        <v>20</v>
      </c>
      <c r="F483" t="s">
        <v>161</v>
      </c>
      <c r="G483" t="s">
        <v>30</v>
      </c>
      <c r="H483" t="str">
        <f t="shared" si="22"/>
        <v>02</v>
      </c>
      <c r="I483" t="str">
        <f t="shared" si="23"/>
        <v>A</v>
      </c>
      <c r="J483" t="s">
        <v>162</v>
      </c>
      <c r="K483" t="s">
        <v>28</v>
      </c>
      <c r="L483" t="s">
        <v>28</v>
      </c>
      <c r="M483" t="s">
        <v>28</v>
      </c>
      <c r="N483" t="s">
        <v>28</v>
      </c>
      <c r="O483" t="s">
        <v>28</v>
      </c>
      <c r="P483" t="s">
        <v>28</v>
      </c>
      <c r="Q483" t="s">
        <v>47</v>
      </c>
      <c r="R483" t="s">
        <v>163</v>
      </c>
      <c r="S483">
        <v>111</v>
      </c>
      <c r="T483" t="s">
        <v>165</v>
      </c>
      <c r="U483">
        <v>20231110</v>
      </c>
      <c r="V483">
        <v>1</v>
      </c>
      <c r="W483">
        <v>5</v>
      </c>
      <c r="X483" t="s">
        <v>160</v>
      </c>
    </row>
    <row r="484" spans="1:24" x14ac:dyDescent="0.2">
      <c r="A484" t="str">
        <f t="shared" si="21"/>
        <v>sample_miseq-16S-F-A03-L5_SICap-P22-A3-MouseStool-Feces-mouse-20231110-111-Clear-3</v>
      </c>
      <c r="B484" s="1" t="s">
        <v>656</v>
      </c>
      <c r="C484" s="3" t="s">
        <v>1232</v>
      </c>
      <c r="D484" s="3" t="s">
        <v>1327</v>
      </c>
      <c r="E484" t="s">
        <v>20</v>
      </c>
      <c r="F484" t="s">
        <v>161</v>
      </c>
      <c r="G484" t="s">
        <v>32</v>
      </c>
      <c r="H484" t="str">
        <f t="shared" si="22"/>
        <v>03</v>
      </c>
      <c r="I484" t="str">
        <f t="shared" si="23"/>
        <v>A</v>
      </c>
      <c r="J484" t="s">
        <v>162</v>
      </c>
      <c r="K484" t="s">
        <v>28</v>
      </c>
      <c r="L484" t="s">
        <v>28</v>
      </c>
      <c r="M484" t="s">
        <v>28</v>
      </c>
      <c r="N484" t="s">
        <v>28</v>
      </c>
      <c r="O484" t="s">
        <v>28</v>
      </c>
      <c r="P484" t="s">
        <v>28</v>
      </c>
      <c r="Q484" t="s">
        <v>47</v>
      </c>
      <c r="R484" t="s">
        <v>163</v>
      </c>
      <c r="S484">
        <v>111</v>
      </c>
      <c r="T484" t="s">
        <v>166</v>
      </c>
      <c r="U484">
        <v>20231110</v>
      </c>
      <c r="V484">
        <v>1</v>
      </c>
      <c r="W484">
        <v>5</v>
      </c>
      <c r="X484" t="s">
        <v>160</v>
      </c>
    </row>
    <row r="485" spans="1:24" x14ac:dyDescent="0.2">
      <c r="A485" t="str">
        <f t="shared" si="21"/>
        <v>sample_miseq-16S-F-A04-L5_SICap-P22-A4-MouseStool-Feces-mouse-20231110-111-Purple-1</v>
      </c>
      <c r="B485" s="1" t="s">
        <v>657</v>
      </c>
      <c r="C485" s="3" t="s">
        <v>1233</v>
      </c>
      <c r="D485" s="3" t="s">
        <v>1327</v>
      </c>
      <c r="E485" t="s">
        <v>20</v>
      </c>
      <c r="F485" t="s">
        <v>161</v>
      </c>
      <c r="G485" t="s">
        <v>34</v>
      </c>
      <c r="H485" t="str">
        <f t="shared" si="22"/>
        <v>04</v>
      </c>
      <c r="I485" t="str">
        <f t="shared" si="23"/>
        <v>A</v>
      </c>
      <c r="J485" t="s">
        <v>162</v>
      </c>
      <c r="K485" t="s">
        <v>28</v>
      </c>
      <c r="L485" t="s">
        <v>28</v>
      </c>
      <c r="M485" t="s">
        <v>28</v>
      </c>
      <c r="N485" t="s">
        <v>28</v>
      </c>
      <c r="O485" t="s">
        <v>28</v>
      </c>
      <c r="P485" t="s">
        <v>28</v>
      </c>
      <c r="Q485" t="s">
        <v>47</v>
      </c>
      <c r="R485" t="s">
        <v>163</v>
      </c>
      <c r="S485">
        <v>111</v>
      </c>
      <c r="T485" t="s">
        <v>167</v>
      </c>
      <c r="U485">
        <v>20231110</v>
      </c>
      <c r="V485">
        <v>1</v>
      </c>
      <c r="W485">
        <v>5</v>
      </c>
      <c r="X485" t="s">
        <v>160</v>
      </c>
    </row>
    <row r="486" spans="1:24" x14ac:dyDescent="0.2">
      <c r="A486" t="str">
        <f t="shared" si="21"/>
        <v>sample_miseq-16S-F-A05-L5_SICap-P22-A5-MouseStool-Feces-mouse-20231110-111-Yellow-1</v>
      </c>
      <c r="B486" s="1" t="s">
        <v>658</v>
      </c>
      <c r="C486" s="3" t="s">
        <v>1234</v>
      </c>
      <c r="D486" s="3" t="s">
        <v>1327</v>
      </c>
      <c r="E486" t="s">
        <v>20</v>
      </c>
      <c r="F486" t="s">
        <v>161</v>
      </c>
      <c r="G486" t="s">
        <v>36</v>
      </c>
      <c r="H486" t="str">
        <f t="shared" si="22"/>
        <v>05</v>
      </c>
      <c r="I486" t="str">
        <f t="shared" si="23"/>
        <v>A</v>
      </c>
      <c r="J486" t="s">
        <v>162</v>
      </c>
      <c r="K486" t="s">
        <v>28</v>
      </c>
      <c r="L486" t="s">
        <v>28</v>
      </c>
      <c r="M486" t="s">
        <v>28</v>
      </c>
      <c r="N486" t="s">
        <v>28</v>
      </c>
      <c r="O486" t="s">
        <v>28</v>
      </c>
      <c r="P486" t="s">
        <v>28</v>
      </c>
      <c r="Q486" t="s">
        <v>47</v>
      </c>
      <c r="R486" t="s">
        <v>163</v>
      </c>
      <c r="S486">
        <v>111</v>
      </c>
      <c r="T486" t="s">
        <v>168</v>
      </c>
      <c r="U486">
        <v>20231110</v>
      </c>
      <c r="V486">
        <v>1</v>
      </c>
      <c r="W486">
        <v>5</v>
      </c>
      <c r="X486" t="s">
        <v>160</v>
      </c>
    </row>
    <row r="487" spans="1:24" x14ac:dyDescent="0.2">
      <c r="A487" t="str">
        <f t="shared" si="21"/>
        <v>sample_miseq-16S-F-A06-L5_SICap-P22-A6-MouseStool-Feces-mouse-20231110-111-Green-1</v>
      </c>
      <c r="B487" s="1" t="s">
        <v>659</v>
      </c>
      <c r="C487" s="3" t="s">
        <v>1235</v>
      </c>
      <c r="D487" s="3" t="s">
        <v>1327</v>
      </c>
      <c r="E487" t="s">
        <v>20</v>
      </c>
      <c r="F487" t="s">
        <v>161</v>
      </c>
      <c r="G487" t="s">
        <v>38</v>
      </c>
      <c r="H487" t="str">
        <f t="shared" si="22"/>
        <v>06</v>
      </c>
      <c r="I487" t="str">
        <f t="shared" si="23"/>
        <v>A</v>
      </c>
      <c r="J487" t="s">
        <v>162</v>
      </c>
      <c r="K487" t="s">
        <v>28</v>
      </c>
      <c r="L487" t="s">
        <v>28</v>
      </c>
      <c r="M487" t="s">
        <v>28</v>
      </c>
      <c r="N487" t="s">
        <v>28</v>
      </c>
      <c r="O487" t="s">
        <v>28</v>
      </c>
      <c r="P487" t="s">
        <v>28</v>
      </c>
      <c r="Q487" t="s">
        <v>47</v>
      </c>
      <c r="R487" t="s">
        <v>163</v>
      </c>
      <c r="S487">
        <v>111</v>
      </c>
      <c r="T487" t="s">
        <v>169</v>
      </c>
      <c r="U487">
        <v>20231110</v>
      </c>
      <c r="V487">
        <v>1</v>
      </c>
      <c r="W487">
        <v>5</v>
      </c>
      <c r="X487" t="s">
        <v>160</v>
      </c>
    </row>
    <row r="488" spans="1:24" x14ac:dyDescent="0.2">
      <c r="A488" t="str">
        <f t="shared" si="21"/>
        <v>sample_miseq-16S-F-A07-L5_SICap-P22-A7-MouseStool-Feces-mouse-20231110-114-Blue-3</v>
      </c>
      <c r="B488" s="1" t="s">
        <v>660</v>
      </c>
      <c r="C488" s="3" t="s">
        <v>1236</v>
      </c>
      <c r="D488" s="3" t="s">
        <v>1327</v>
      </c>
      <c r="E488" t="s">
        <v>20</v>
      </c>
      <c r="F488" t="s">
        <v>161</v>
      </c>
      <c r="G488" t="s">
        <v>40</v>
      </c>
      <c r="H488" t="str">
        <f t="shared" si="22"/>
        <v>07</v>
      </c>
      <c r="I488" t="str">
        <f t="shared" si="23"/>
        <v>A</v>
      </c>
      <c r="J488" t="s">
        <v>162</v>
      </c>
      <c r="K488" t="s">
        <v>28</v>
      </c>
      <c r="L488" t="s">
        <v>28</v>
      </c>
      <c r="M488" t="s">
        <v>28</v>
      </c>
      <c r="N488" t="s">
        <v>28</v>
      </c>
      <c r="O488" t="s">
        <v>28</v>
      </c>
      <c r="P488" t="s">
        <v>28</v>
      </c>
      <c r="Q488" t="s">
        <v>49</v>
      </c>
      <c r="R488" t="s">
        <v>163</v>
      </c>
      <c r="S488">
        <v>114</v>
      </c>
      <c r="T488" t="s">
        <v>164</v>
      </c>
      <c r="U488">
        <v>20231110</v>
      </c>
      <c r="V488">
        <v>1</v>
      </c>
      <c r="W488">
        <v>5</v>
      </c>
      <c r="X488" t="s">
        <v>160</v>
      </c>
    </row>
    <row r="489" spans="1:24" x14ac:dyDescent="0.2">
      <c r="A489" t="str">
        <f t="shared" si="21"/>
        <v>sample_miseq-16S-F-A08-L5_SICap-P22-A8-MouseStool-Feces-mouse-20231110-114-Orange-3</v>
      </c>
      <c r="B489" s="1" t="s">
        <v>661</v>
      </c>
      <c r="C489" s="3" t="s">
        <v>1237</v>
      </c>
      <c r="D489" s="3" t="s">
        <v>1327</v>
      </c>
      <c r="E489" t="s">
        <v>20</v>
      </c>
      <c r="F489" t="s">
        <v>161</v>
      </c>
      <c r="G489" t="s">
        <v>42</v>
      </c>
      <c r="H489" t="str">
        <f t="shared" si="22"/>
        <v>08</v>
      </c>
      <c r="I489" t="str">
        <f t="shared" si="23"/>
        <v>A</v>
      </c>
      <c r="J489" t="s">
        <v>162</v>
      </c>
      <c r="K489" t="s">
        <v>28</v>
      </c>
      <c r="L489" t="s">
        <v>28</v>
      </c>
      <c r="M489" t="s">
        <v>28</v>
      </c>
      <c r="N489" t="s">
        <v>28</v>
      </c>
      <c r="O489" t="s">
        <v>28</v>
      </c>
      <c r="P489" t="s">
        <v>28</v>
      </c>
      <c r="Q489" t="s">
        <v>49</v>
      </c>
      <c r="R489" t="s">
        <v>163</v>
      </c>
      <c r="S489">
        <v>114</v>
      </c>
      <c r="T489" t="s">
        <v>165</v>
      </c>
      <c r="U489">
        <v>20231110</v>
      </c>
      <c r="V489">
        <v>1</v>
      </c>
      <c r="W489">
        <v>5</v>
      </c>
      <c r="X489" t="s">
        <v>160</v>
      </c>
    </row>
    <row r="490" spans="1:24" x14ac:dyDescent="0.2">
      <c r="A490" t="str">
        <f t="shared" si="21"/>
        <v>sample_miseq-16S-F-A09-L5_SICap-P22-A9-MouseStool-Feces-mouse-20231110-114-Clear-3</v>
      </c>
      <c r="B490" s="1" t="s">
        <v>662</v>
      </c>
      <c r="C490" s="3" t="s">
        <v>1238</v>
      </c>
      <c r="D490" s="3" t="s">
        <v>1327</v>
      </c>
      <c r="E490" t="s">
        <v>20</v>
      </c>
      <c r="F490" t="s">
        <v>161</v>
      </c>
      <c r="G490" t="s">
        <v>44</v>
      </c>
      <c r="H490" t="str">
        <f t="shared" si="22"/>
        <v>09</v>
      </c>
      <c r="I490" t="str">
        <f t="shared" si="23"/>
        <v>A</v>
      </c>
      <c r="J490" t="s">
        <v>162</v>
      </c>
      <c r="K490" t="s">
        <v>28</v>
      </c>
      <c r="L490" t="s">
        <v>28</v>
      </c>
      <c r="M490" t="s">
        <v>28</v>
      </c>
      <c r="N490" t="s">
        <v>28</v>
      </c>
      <c r="O490" t="s">
        <v>28</v>
      </c>
      <c r="P490" t="s">
        <v>28</v>
      </c>
      <c r="Q490" t="s">
        <v>49</v>
      </c>
      <c r="R490" t="s">
        <v>163</v>
      </c>
      <c r="S490">
        <v>114</v>
      </c>
      <c r="T490" t="s">
        <v>166</v>
      </c>
      <c r="U490">
        <v>20231110</v>
      </c>
      <c r="V490">
        <v>1</v>
      </c>
      <c r="W490">
        <v>5</v>
      </c>
      <c r="X490" t="s">
        <v>160</v>
      </c>
    </row>
    <row r="491" spans="1:24" x14ac:dyDescent="0.2">
      <c r="A491" t="str">
        <f t="shared" si="21"/>
        <v>sample_miseq-16S-F-A10-L5_SICap-P22-A10-MouseStool-Feces-mouse-20231110-114-Purple-1</v>
      </c>
      <c r="B491" s="1" t="s">
        <v>663</v>
      </c>
      <c r="C491" s="3" t="s">
        <v>1239</v>
      </c>
      <c r="D491" s="3" t="s">
        <v>1327</v>
      </c>
      <c r="E491" t="s">
        <v>20</v>
      </c>
      <c r="F491" t="s">
        <v>161</v>
      </c>
      <c r="G491" t="s">
        <v>46</v>
      </c>
      <c r="H491" t="str">
        <f t="shared" si="22"/>
        <v>10</v>
      </c>
      <c r="I491" t="str">
        <f t="shared" si="23"/>
        <v>A</v>
      </c>
      <c r="J491" t="s">
        <v>162</v>
      </c>
      <c r="K491" t="s">
        <v>28</v>
      </c>
      <c r="L491" t="s">
        <v>28</v>
      </c>
      <c r="M491" t="s">
        <v>28</v>
      </c>
      <c r="N491" t="s">
        <v>28</v>
      </c>
      <c r="O491" t="s">
        <v>28</v>
      </c>
      <c r="P491" t="s">
        <v>28</v>
      </c>
      <c r="Q491" t="s">
        <v>49</v>
      </c>
      <c r="R491" t="s">
        <v>163</v>
      </c>
      <c r="S491">
        <v>114</v>
      </c>
      <c r="T491" t="s">
        <v>167</v>
      </c>
      <c r="U491">
        <v>20231110</v>
      </c>
      <c r="V491">
        <v>1</v>
      </c>
      <c r="W491">
        <v>5</v>
      </c>
      <c r="X491" t="s">
        <v>160</v>
      </c>
    </row>
    <row r="492" spans="1:24" x14ac:dyDescent="0.2">
      <c r="A492" t="str">
        <f t="shared" si="21"/>
        <v>sample_miseq-16S-F-A11-L5_SICap-P22-A11-MouseStool-Feces-mouse-20231110-114-Yellow-1</v>
      </c>
      <c r="B492" s="1" t="s">
        <v>664</v>
      </c>
      <c r="C492" s="3" t="s">
        <v>1240</v>
      </c>
      <c r="D492" s="3" t="s">
        <v>1327</v>
      </c>
      <c r="E492" t="s">
        <v>20</v>
      </c>
      <c r="F492" t="s">
        <v>161</v>
      </c>
      <c r="G492" t="s">
        <v>48</v>
      </c>
      <c r="H492" t="str">
        <f t="shared" si="22"/>
        <v>11</v>
      </c>
      <c r="I492" t="str">
        <f t="shared" si="23"/>
        <v>A</v>
      </c>
      <c r="J492" t="s">
        <v>162</v>
      </c>
      <c r="K492" t="s">
        <v>28</v>
      </c>
      <c r="L492" t="s">
        <v>28</v>
      </c>
      <c r="M492" t="s">
        <v>28</v>
      </c>
      <c r="N492" t="s">
        <v>28</v>
      </c>
      <c r="O492" t="s">
        <v>28</v>
      </c>
      <c r="P492" t="s">
        <v>28</v>
      </c>
      <c r="Q492" t="s">
        <v>49</v>
      </c>
      <c r="R492" t="s">
        <v>163</v>
      </c>
      <c r="S492">
        <v>114</v>
      </c>
      <c r="T492" t="s">
        <v>168</v>
      </c>
      <c r="U492">
        <v>20231110</v>
      </c>
      <c r="V492">
        <v>1</v>
      </c>
      <c r="W492">
        <v>5</v>
      </c>
      <c r="X492" t="s">
        <v>160</v>
      </c>
    </row>
    <row r="493" spans="1:24" x14ac:dyDescent="0.2">
      <c r="A493" t="str">
        <f t="shared" si="21"/>
        <v>sample_miseq-16S-F-A12-L5_SICap-P22-A12-MouseStool-Feces-mouse-20231110-114-Green-1</v>
      </c>
      <c r="B493" s="1" t="s">
        <v>665</v>
      </c>
      <c r="C493" s="3" t="s">
        <v>1241</v>
      </c>
      <c r="D493" s="3" t="s">
        <v>1327</v>
      </c>
      <c r="E493" t="s">
        <v>20</v>
      </c>
      <c r="F493" t="s">
        <v>161</v>
      </c>
      <c r="G493" t="s">
        <v>50</v>
      </c>
      <c r="H493" t="str">
        <f t="shared" si="22"/>
        <v>12</v>
      </c>
      <c r="I493" t="str">
        <f t="shared" si="23"/>
        <v>A</v>
      </c>
      <c r="J493" t="s">
        <v>162</v>
      </c>
      <c r="K493" t="s">
        <v>28</v>
      </c>
      <c r="L493" t="s">
        <v>28</v>
      </c>
      <c r="M493" t="s">
        <v>28</v>
      </c>
      <c r="N493" t="s">
        <v>28</v>
      </c>
      <c r="O493" t="s">
        <v>28</v>
      </c>
      <c r="P493" t="s">
        <v>28</v>
      </c>
      <c r="Q493" t="s">
        <v>49</v>
      </c>
      <c r="R493" t="s">
        <v>163</v>
      </c>
      <c r="S493">
        <v>114</v>
      </c>
      <c r="T493" t="s">
        <v>169</v>
      </c>
      <c r="U493">
        <v>20231110</v>
      </c>
      <c r="V493">
        <v>1</v>
      </c>
      <c r="W493">
        <v>5</v>
      </c>
      <c r="X493" t="s">
        <v>160</v>
      </c>
    </row>
    <row r="494" spans="1:24" x14ac:dyDescent="0.2">
      <c r="A494" t="str">
        <f t="shared" si="21"/>
        <v>sample_miseq-16S-F-B01-L5_SICap-P22-B1-MouseStool-Feces-mouse-20231110-113-Blue-3</v>
      </c>
      <c r="B494" s="1" t="s">
        <v>666</v>
      </c>
      <c r="C494" s="3" t="s">
        <v>1242</v>
      </c>
      <c r="D494" s="3" t="s">
        <v>1327</v>
      </c>
      <c r="E494" t="s">
        <v>20</v>
      </c>
      <c r="F494" t="s">
        <v>161</v>
      </c>
      <c r="G494" t="s">
        <v>51</v>
      </c>
      <c r="H494" t="str">
        <f t="shared" si="22"/>
        <v>01</v>
      </c>
      <c r="I494" t="str">
        <f t="shared" si="23"/>
        <v>B</v>
      </c>
      <c r="J494" t="s">
        <v>162</v>
      </c>
      <c r="K494" t="s">
        <v>28</v>
      </c>
      <c r="L494" t="s">
        <v>28</v>
      </c>
      <c r="M494" t="s">
        <v>28</v>
      </c>
      <c r="N494" t="s">
        <v>28</v>
      </c>
      <c r="O494" t="s">
        <v>28</v>
      </c>
      <c r="P494" t="s">
        <v>28</v>
      </c>
      <c r="Q494" t="s">
        <v>170</v>
      </c>
      <c r="R494" t="s">
        <v>163</v>
      </c>
      <c r="S494">
        <v>113</v>
      </c>
      <c r="T494" t="s">
        <v>164</v>
      </c>
      <c r="U494">
        <v>20231110</v>
      </c>
      <c r="V494">
        <v>1</v>
      </c>
      <c r="W494">
        <v>5</v>
      </c>
      <c r="X494" t="s">
        <v>160</v>
      </c>
    </row>
    <row r="495" spans="1:24" x14ac:dyDescent="0.2">
      <c r="A495" t="str">
        <f t="shared" si="21"/>
        <v>sample_miseq-16S-F-B02-L5_SICap-P22-B2-MouseStool-Feces-mouse-20231110-113-Orange-3</v>
      </c>
      <c r="B495" s="1" t="s">
        <v>667</v>
      </c>
      <c r="C495" s="3" t="s">
        <v>1243</v>
      </c>
      <c r="D495" s="3" t="s">
        <v>1327</v>
      </c>
      <c r="E495" t="s">
        <v>20</v>
      </c>
      <c r="F495" t="s">
        <v>161</v>
      </c>
      <c r="G495" t="s">
        <v>53</v>
      </c>
      <c r="H495" t="str">
        <f t="shared" si="22"/>
        <v>02</v>
      </c>
      <c r="I495" t="str">
        <f t="shared" si="23"/>
        <v>B</v>
      </c>
      <c r="J495" t="s">
        <v>162</v>
      </c>
      <c r="K495" t="s">
        <v>28</v>
      </c>
      <c r="L495" t="s">
        <v>28</v>
      </c>
      <c r="M495" t="s">
        <v>28</v>
      </c>
      <c r="N495" t="s">
        <v>28</v>
      </c>
      <c r="O495" t="s">
        <v>28</v>
      </c>
      <c r="P495" t="s">
        <v>28</v>
      </c>
      <c r="Q495" t="s">
        <v>170</v>
      </c>
      <c r="R495" t="s">
        <v>163</v>
      </c>
      <c r="S495">
        <v>113</v>
      </c>
      <c r="T495" t="s">
        <v>165</v>
      </c>
      <c r="U495">
        <v>20231110</v>
      </c>
      <c r="V495">
        <v>1</v>
      </c>
      <c r="W495">
        <v>5</v>
      </c>
      <c r="X495" t="s">
        <v>160</v>
      </c>
    </row>
    <row r="496" spans="1:24" x14ac:dyDescent="0.2">
      <c r="A496" t="str">
        <f t="shared" si="21"/>
        <v>sample_miseq-16S-F-B03-L5_SICap-P22-B3-MouseStool-Feces-mouse-20231110-113-Clear-3</v>
      </c>
      <c r="B496" s="1" t="s">
        <v>668</v>
      </c>
      <c r="C496" s="3" t="s">
        <v>1244</v>
      </c>
      <c r="D496" s="3" t="s">
        <v>1327</v>
      </c>
      <c r="E496" t="s">
        <v>20</v>
      </c>
      <c r="F496" t="s">
        <v>161</v>
      </c>
      <c r="G496" t="s">
        <v>54</v>
      </c>
      <c r="H496" t="str">
        <f t="shared" si="22"/>
        <v>03</v>
      </c>
      <c r="I496" t="str">
        <f t="shared" si="23"/>
        <v>B</v>
      </c>
      <c r="J496" t="s">
        <v>162</v>
      </c>
      <c r="K496" t="s">
        <v>28</v>
      </c>
      <c r="L496" t="s">
        <v>28</v>
      </c>
      <c r="M496" t="s">
        <v>28</v>
      </c>
      <c r="N496" t="s">
        <v>28</v>
      </c>
      <c r="O496" t="s">
        <v>28</v>
      </c>
      <c r="P496" t="s">
        <v>28</v>
      </c>
      <c r="Q496" t="s">
        <v>170</v>
      </c>
      <c r="R496" t="s">
        <v>163</v>
      </c>
      <c r="S496">
        <v>113</v>
      </c>
      <c r="T496" t="s">
        <v>166</v>
      </c>
      <c r="U496">
        <v>20231110</v>
      </c>
      <c r="V496">
        <v>1</v>
      </c>
      <c r="W496">
        <v>5</v>
      </c>
      <c r="X496" t="s">
        <v>160</v>
      </c>
    </row>
    <row r="497" spans="1:24" x14ac:dyDescent="0.2">
      <c r="A497" t="str">
        <f t="shared" si="21"/>
        <v>sample_miseq-16S-F-B04-L5_SICap-P22-B4-MouseStool-Feces-mouse-20231110-113-Purple-1</v>
      </c>
      <c r="B497" s="1" t="s">
        <v>669</v>
      </c>
      <c r="C497" s="3" t="s">
        <v>1245</v>
      </c>
      <c r="D497" s="3" t="s">
        <v>1327</v>
      </c>
      <c r="E497" t="s">
        <v>20</v>
      </c>
      <c r="F497" t="s">
        <v>161</v>
      </c>
      <c r="G497" t="s">
        <v>55</v>
      </c>
      <c r="H497" t="str">
        <f t="shared" si="22"/>
        <v>04</v>
      </c>
      <c r="I497" t="str">
        <f t="shared" si="23"/>
        <v>B</v>
      </c>
      <c r="J497" t="s">
        <v>162</v>
      </c>
      <c r="K497" t="s">
        <v>28</v>
      </c>
      <c r="L497" t="s">
        <v>28</v>
      </c>
      <c r="M497" t="s">
        <v>28</v>
      </c>
      <c r="N497" t="s">
        <v>28</v>
      </c>
      <c r="O497" t="s">
        <v>28</v>
      </c>
      <c r="P497" t="s">
        <v>28</v>
      </c>
      <c r="Q497" t="s">
        <v>170</v>
      </c>
      <c r="R497" t="s">
        <v>163</v>
      </c>
      <c r="S497">
        <v>113</v>
      </c>
      <c r="T497" t="s">
        <v>167</v>
      </c>
      <c r="U497">
        <v>20231110</v>
      </c>
      <c r="V497">
        <v>1</v>
      </c>
      <c r="W497">
        <v>5</v>
      </c>
      <c r="X497" t="s">
        <v>160</v>
      </c>
    </row>
    <row r="498" spans="1:24" x14ac:dyDescent="0.2">
      <c r="A498" t="str">
        <f t="shared" si="21"/>
        <v>sample_miseq-16S-F-B05-L5_SICap-P22-B5-MouseStool-Feces-mouse-20231110-113-Yellow-1</v>
      </c>
      <c r="B498" s="1" t="s">
        <v>670</v>
      </c>
      <c r="C498" s="3" t="s">
        <v>1246</v>
      </c>
      <c r="D498" s="3" t="s">
        <v>1327</v>
      </c>
      <c r="E498" t="s">
        <v>20</v>
      </c>
      <c r="F498" t="s">
        <v>161</v>
      </c>
      <c r="G498" t="s">
        <v>56</v>
      </c>
      <c r="H498" t="str">
        <f t="shared" si="22"/>
        <v>05</v>
      </c>
      <c r="I498" t="str">
        <f t="shared" si="23"/>
        <v>B</v>
      </c>
      <c r="J498" t="s">
        <v>162</v>
      </c>
      <c r="K498" t="s">
        <v>28</v>
      </c>
      <c r="L498" t="s">
        <v>28</v>
      </c>
      <c r="M498" t="s">
        <v>28</v>
      </c>
      <c r="N498" t="s">
        <v>28</v>
      </c>
      <c r="O498" t="s">
        <v>28</v>
      </c>
      <c r="P498" t="s">
        <v>28</v>
      </c>
      <c r="Q498" t="s">
        <v>170</v>
      </c>
      <c r="R498" t="s">
        <v>163</v>
      </c>
      <c r="S498">
        <v>113</v>
      </c>
      <c r="T498" t="s">
        <v>168</v>
      </c>
      <c r="U498">
        <v>20231110</v>
      </c>
      <c r="V498">
        <v>1</v>
      </c>
      <c r="W498">
        <v>5</v>
      </c>
      <c r="X498" t="s">
        <v>160</v>
      </c>
    </row>
    <row r="499" spans="1:24" x14ac:dyDescent="0.2">
      <c r="A499" t="str">
        <f t="shared" si="21"/>
        <v>sample_miseq-16S-F-B06-L5_SICap-P22-B6-MouseStool-Feces-mouse-20231110-113-Green-1</v>
      </c>
      <c r="B499" s="1" t="s">
        <v>671</v>
      </c>
      <c r="C499" s="3" t="s">
        <v>1247</v>
      </c>
      <c r="D499" s="3" t="s">
        <v>1327</v>
      </c>
      <c r="E499" t="s">
        <v>20</v>
      </c>
      <c r="F499" t="s">
        <v>161</v>
      </c>
      <c r="G499" t="s">
        <v>57</v>
      </c>
      <c r="H499" t="str">
        <f t="shared" si="22"/>
        <v>06</v>
      </c>
      <c r="I499" t="str">
        <f t="shared" si="23"/>
        <v>B</v>
      </c>
      <c r="J499" t="s">
        <v>162</v>
      </c>
      <c r="K499" t="s">
        <v>28</v>
      </c>
      <c r="L499" t="s">
        <v>28</v>
      </c>
      <c r="M499" t="s">
        <v>28</v>
      </c>
      <c r="N499" t="s">
        <v>28</v>
      </c>
      <c r="O499" t="s">
        <v>28</v>
      </c>
      <c r="P499" t="s">
        <v>28</v>
      </c>
      <c r="Q499" t="s">
        <v>170</v>
      </c>
      <c r="R499" t="s">
        <v>163</v>
      </c>
      <c r="S499">
        <v>113</v>
      </c>
      <c r="T499" t="s">
        <v>169</v>
      </c>
      <c r="U499">
        <v>20231110</v>
      </c>
      <c r="V499">
        <v>1</v>
      </c>
      <c r="W499">
        <v>5</v>
      </c>
      <c r="X499" t="s">
        <v>160</v>
      </c>
    </row>
    <row r="500" spans="1:24" x14ac:dyDescent="0.2">
      <c r="A500" t="str">
        <f t="shared" si="21"/>
        <v>sample_miseq-16S-F-B07-L5_SICap-P22-B7-MouseStool-Feces-mouse-20231112-111-Orange-3</v>
      </c>
      <c r="B500" s="1" t="s">
        <v>672</v>
      </c>
      <c r="C500" s="3" t="s">
        <v>1248</v>
      </c>
      <c r="D500" s="3" t="s">
        <v>1327</v>
      </c>
      <c r="E500" t="s">
        <v>20</v>
      </c>
      <c r="F500" t="s">
        <v>161</v>
      </c>
      <c r="G500" t="s">
        <v>58</v>
      </c>
      <c r="H500" t="str">
        <f t="shared" si="22"/>
        <v>07</v>
      </c>
      <c r="I500" t="str">
        <f t="shared" si="23"/>
        <v>B</v>
      </c>
      <c r="J500" t="s">
        <v>162</v>
      </c>
      <c r="K500" t="s">
        <v>28</v>
      </c>
      <c r="L500" t="s">
        <v>28</v>
      </c>
      <c r="M500" t="s">
        <v>28</v>
      </c>
      <c r="N500" t="s">
        <v>28</v>
      </c>
      <c r="O500" t="s">
        <v>28</v>
      </c>
      <c r="P500" t="s">
        <v>28</v>
      </c>
      <c r="Q500" t="s">
        <v>47</v>
      </c>
      <c r="R500" t="s">
        <v>163</v>
      </c>
      <c r="S500">
        <v>111</v>
      </c>
      <c r="T500" t="s">
        <v>165</v>
      </c>
      <c r="U500">
        <v>20231112</v>
      </c>
      <c r="V500">
        <v>3</v>
      </c>
      <c r="W500">
        <v>5</v>
      </c>
      <c r="X500" t="s">
        <v>160</v>
      </c>
    </row>
    <row r="501" spans="1:24" x14ac:dyDescent="0.2">
      <c r="A501" t="str">
        <f t="shared" si="21"/>
        <v>sample_miseq-16S-F-B08-L5_SICap-P22-B8-MouseStool-Feces-mouse-20231112-111-Clear-3</v>
      </c>
      <c r="B501" s="1" t="s">
        <v>673</v>
      </c>
      <c r="C501" s="3" t="s">
        <v>1249</v>
      </c>
      <c r="D501" s="3" t="s">
        <v>1327</v>
      </c>
      <c r="E501" t="s">
        <v>20</v>
      </c>
      <c r="F501" t="s">
        <v>161</v>
      </c>
      <c r="G501" t="s">
        <v>59</v>
      </c>
      <c r="H501" t="str">
        <f t="shared" si="22"/>
        <v>08</v>
      </c>
      <c r="I501" t="str">
        <f t="shared" si="23"/>
        <v>B</v>
      </c>
      <c r="J501" t="s">
        <v>162</v>
      </c>
      <c r="K501" t="s">
        <v>28</v>
      </c>
      <c r="L501" t="s">
        <v>28</v>
      </c>
      <c r="M501" t="s">
        <v>28</v>
      </c>
      <c r="N501" t="s">
        <v>28</v>
      </c>
      <c r="O501" t="s">
        <v>28</v>
      </c>
      <c r="P501" t="s">
        <v>28</v>
      </c>
      <c r="Q501" t="s">
        <v>47</v>
      </c>
      <c r="R501" t="s">
        <v>163</v>
      </c>
      <c r="S501">
        <v>111</v>
      </c>
      <c r="T501" t="s">
        <v>166</v>
      </c>
      <c r="U501">
        <v>20231112</v>
      </c>
      <c r="V501">
        <v>3</v>
      </c>
      <c r="W501">
        <v>5</v>
      </c>
      <c r="X501" t="s">
        <v>160</v>
      </c>
    </row>
    <row r="502" spans="1:24" x14ac:dyDescent="0.2">
      <c r="A502" t="str">
        <f t="shared" si="21"/>
        <v>sample_miseq-16S-F-B09-L5_SICap-P22-B9-MouseStool-Feces-mouse-20231112-111-Yellow-1</v>
      </c>
      <c r="B502" s="1" t="s">
        <v>674</v>
      </c>
      <c r="C502" s="3" t="s">
        <v>1250</v>
      </c>
      <c r="D502" s="3" t="s">
        <v>1327</v>
      </c>
      <c r="E502" t="s">
        <v>20</v>
      </c>
      <c r="F502" t="s">
        <v>161</v>
      </c>
      <c r="G502" t="s">
        <v>60</v>
      </c>
      <c r="H502" t="str">
        <f t="shared" si="22"/>
        <v>09</v>
      </c>
      <c r="I502" t="str">
        <f t="shared" si="23"/>
        <v>B</v>
      </c>
      <c r="J502" t="s">
        <v>162</v>
      </c>
      <c r="K502" t="s">
        <v>28</v>
      </c>
      <c r="L502" t="s">
        <v>28</v>
      </c>
      <c r="M502" t="s">
        <v>28</v>
      </c>
      <c r="N502" t="s">
        <v>28</v>
      </c>
      <c r="O502" t="s">
        <v>28</v>
      </c>
      <c r="P502" t="s">
        <v>28</v>
      </c>
      <c r="Q502" t="s">
        <v>47</v>
      </c>
      <c r="R502" t="s">
        <v>163</v>
      </c>
      <c r="S502">
        <v>111</v>
      </c>
      <c r="T502" t="s">
        <v>168</v>
      </c>
      <c r="U502">
        <v>20231112</v>
      </c>
      <c r="V502">
        <v>3</v>
      </c>
      <c r="W502">
        <v>5</v>
      </c>
      <c r="X502" t="s">
        <v>160</v>
      </c>
    </row>
    <row r="503" spans="1:24" x14ac:dyDescent="0.2">
      <c r="A503" t="str">
        <f t="shared" si="21"/>
        <v>sample_miseq-16S-F-B10-L5_SICap-P22-B10-MouseStool-Feces-mouse-20231112-114-Blue-3</v>
      </c>
      <c r="B503" s="1" t="s">
        <v>675</v>
      </c>
      <c r="C503" s="3" t="s">
        <v>1251</v>
      </c>
      <c r="D503" s="3" t="s">
        <v>1327</v>
      </c>
      <c r="E503" t="s">
        <v>20</v>
      </c>
      <c r="F503" t="s">
        <v>161</v>
      </c>
      <c r="G503" t="s">
        <v>61</v>
      </c>
      <c r="H503" t="str">
        <f t="shared" si="22"/>
        <v>10</v>
      </c>
      <c r="I503" t="str">
        <f t="shared" si="23"/>
        <v>B</v>
      </c>
      <c r="J503" t="s">
        <v>162</v>
      </c>
      <c r="K503" t="s">
        <v>28</v>
      </c>
      <c r="L503" t="s">
        <v>28</v>
      </c>
      <c r="M503" t="s">
        <v>28</v>
      </c>
      <c r="N503" t="s">
        <v>28</v>
      </c>
      <c r="O503" t="s">
        <v>28</v>
      </c>
      <c r="P503" t="s">
        <v>28</v>
      </c>
      <c r="Q503" t="s">
        <v>49</v>
      </c>
      <c r="R503" t="s">
        <v>163</v>
      </c>
      <c r="S503">
        <v>114</v>
      </c>
      <c r="T503" t="s">
        <v>164</v>
      </c>
      <c r="U503">
        <v>20231112</v>
      </c>
      <c r="V503">
        <v>3</v>
      </c>
      <c r="W503">
        <v>5</v>
      </c>
      <c r="X503" t="s">
        <v>160</v>
      </c>
    </row>
    <row r="504" spans="1:24" x14ac:dyDescent="0.2">
      <c r="A504" t="str">
        <f t="shared" si="21"/>
        <v>sample_miseq-16S-F-B11-L5_SICap-P22-B11-MouseStool-Feces-mouse-20231112-114-Orange-3</v>
      </c>
      <c r="B504" s="1" t="s">
        <v>676</v>
      </c>
      <c r="C504" s="3" t="s">
        <v>1252</v>
      </c>
      <c r="D504" s="3" t="s">
        <v>1327</v>
      </c>
      <c r="E504" t="s">
        <v>20</v>
      </c>
      <c r="F504" t="s">
        <v>161</v>
      </c>
      <c r="G504" t="s">
        <v>62</v>
      </c>
      <c r="H504" t="str">
        <f t="shared" si="22"/>
        <v>11</v>
      </c>
      <c r="I504" t="str">
        <f t="shared" si="23"/>
        <v>B</v>
      </c>
      <c r="J504" t="s">
        <v>162</v>
      </c>
      <c r="K504" t="s">
        <v>28</v>
      </c>
      <c r="L504" t="s">
        <v>28</v>
      </c>
      <c r="M504" t="s">
        <v>28</v>
      </c>
      <c r="N504" t="s">
        <v>28</v>
      </c>
      <c r="O504" t="s">
        <v>28</v>
      </c>
      <c r="P504" t="s">
        <v>28</v>
      </c>
      <c r="Q504" t="s">
        <v>49</v>
      </c>
      <c r="R504" t="s">
        <v>163</v>
      </c>
      <c r="S504">
        <v>114</v>
      </c>
      <c r="T504" t="s">
        <v>165</v>
      </c>
      <c r="U504">
        <v>20231112</v>
      </c>
      <c r="V504">
        <v>3</v>
      </c>
      <c r="W504">
        <v>5</v>
      </c>
      <c r="X504" t="s">
        <v>160</v>
      </c>
    </row>
    <row r="505" spans="1:24" x14ac:dyDescent="0.2">
      <c r="A505" t="str">
        <f t="shared" si="21"/>
        <v>sample_miseq-16S-F-B12-L5_SICap-P22-B12-MouseStool-Feces-mouse-20231112-114-Purple-1</v>
      </c>
      <c r="B505" s="1" t="s">
        <v>677</v>
      </c>
      <c r="C505" s="3" t="s">
        <v>1253</v>
      </c>
      <c r="D505" s="3" t="s">
        <v>1327</v>
      </c>
      <c r="E505" t="s">
        <v>20</v>
      </c>
      <c r="F505" t="s">
        <v>161</v>
      </c>
      <c r="G505" t="s">
        <v>63</v>
      </c>
      <c r="H505" t="str">
        <f t="shared" si="22"/>
        <v>12</v>
      </c>
      <c r="I505" t="str">
        <f t="shared" si="23"/>
        <v>B</v>
      </c>
      <c r="J505" t="s">
        <v>162</v>
      </c>
      <c r="K505" t="s">
        <v>28</v>
      </c>
      <c r="L505" t="s">
        <v>28</v>
      </c>
      <c r="M505" t="s">
        <v>28</v>
      </c>
      <c r="N505" t="s">
        <v>28</v>
      </c>
      <c r="O505" t="s">
        <v>28</v>
      </c>
      <c r="P505" t="s">
        <v>28</v>
      </c>
      <c r="Q505" t="s">
        <v>49</v>
      </c>
      <c r="R505" t="s">
        <v>163</v>
      </c>
      <c r="S505">
        <v>114</v>
      </c>
      <c r="T505" t="s">
        <v>167</v>
      </c>
      <c r="U505">
        <v>20231112</v>
      </c>
      <c r="V505">
        <v>3</v>
      </c>
      <c r="W505">
        <v>5</v>
      </c>
      <c r="X505" t="s">
        <v>160</v>
      </c>
    </row>
    <row r="506" spans="1:24" x14ac:dyDescent="0.2">
      <c r="A506" t="str">
        <f t="shared" si="21"/>
        <v>sample_miseq-16S-F-C01-L5_SICap-P22-C1-MouseStool-Feces-mouse-20231112-114-Yellow-1</v>
      </c>
      <c r="B506" s="1" t="s">
        <v>678</v>
      </c>
      <c r="C506" s="3" t="s">
        <v>1254</v>
      </c>
      <c r="D506" s="3" t="s">
        <v>1327</v>
      </c>
      <c r="E506" t="s">
        <v>20</v>
      </c>
      <c r="F506" t="s">
        <v>161</v>
      </c>
      <c r="G506" t="s">
        <v>64</v>
      </c>
      <c r="H506" t="str">
        <f t="shared" si="22"/>
        <v>01</v>
      </c>
      <c r="I506" t="str">
        <f t="shared" si="23"/>
        <v>C</v>
      </c>
      <c r="J506" t="s">
        <v>162</v>
      </c>
      <c r="K506" t="s">
        <v>28</v>
      </c>
      <c r="L506" t="s">
        <v>28</v>
      </c>
      <c r="M506" t="s">
        <v>28</v>
      </c>
      <c r="N506" t="s">
        <v>28</v>
      </c>
      <c r="O506" t="s">
        <v>28</v>
      </c>
      <c r="P506" t="s">
        <v>28</v>
      </c>
      <c r="Q506" t="s">
        <v>49</v>
      </c>
      <c r="R506" t="s">
        <v>163</v>
      </c>
      <c r="S506">
        <v>114</v>
      </c>
      <c r="T506" t="s">
        <v>168</v>
      </c>
      <c r="U506">
        <v>20231112</v>
      </c>
      <c r="V506">
        <v>3</v>
      </c>
      <c r="W506">
        <v>5</v>
      </c>
      <c r="X506" t="s">
        <v>160</v>
      </c>
    </row>
    <row r="507" spans="1:24" x14ac:dyDescent="0.2">
      <c r="A507" t="str">
        <f t="shared" si="21"/>
        <v>sample_miseq-16S-F-C02-L5_SICap-P22-C2-MouseStool-Feces-mouse-20231112-114-Green-1</v>
      </c>
      <c r="B507" s="1" t="s">
        <v>679</v>
      </c>
      <c r="C507" s="3" t="s">
        <v>1255</v>
      </c>
      <c r="D507" s="3" t="s">
        <v>1327</v>
      </c>
      <c r="E507" t="s">
        <v>20</v>
      </c>
      <c r="F507" t="s">
        <v>161</v>
      </c>
      <c r="G507" t="s">
        <v>66</v>
      </c>
      <c r="H507" t="str">
        <f t="shared" si="22"/>
        <v>02</v>
      </c>
      <c r="I507" t="str">
        <f t="shared" si="23"/>
        <v>C</v>
      </c>
      <c r="J507" t="s">
        <v>162</v>
      </c>
      <c r="K507" t="s">
        <v>28</v>
      </c>
      <c r="L507" t="s">
        <v>28</v>
      </c>
      <c r="M507" t="s">
        <v>28</v>
      </c>
      <c r="N507" t="s">
        <v>28</v>
      </c>
      <c r="O507" t="s">
        <v>28</v>
      </c>
      <c r="P507" t="s">
        <v>28</v>
      </c>
      <c r="Q507" t="s">
        <v>49</v>
      </c>
      <c r="R507" t="s">
        <v>163</v>
      </c>
      <c r="S507">
        <v>114</v>
      </c>
      <c r="T507" t="s">
        <v>169</v>
      </c>
      <c r="U507">
        <v>20231112</v>
      </c>
      <c r="V507">
        <v>3</v>
      </c>
      <c r="W507">
        <v>5</v>
      </c>
      <c r="X507" t="s">
        <v>160</v>
      </c>
    </row>
    <row r="508" spans="1:24" x14ac:dyDescent="0.2">
      <c r="A508" t="str">
        <f t="shared" si="21"/>
        <v>sample_miseq-16S-F-C03-L5_SICap-P22-C3-MouseStool-Feces-mouse-20231112-113-Blue-3</v>
      </c>
      <c r="B508" s="1" t="s">
        <v>680</v>
      </c>
      <c r="C508" s="3" t="s">
        <v>1256</v>
      </c>
      <c r="D508" s="3" t="s">
        <v>1327</v>
      </c>
      <c r="E508" t="s">
        <v>20</v>
      </c>
      <c r="F508" t="s">
        <v>161</v>
      </c>
      <c r="G508" t="s">
        <v>67</v>
      </c>
      <c r="H508" t="str">
        <f t="shared" si="22"/>
        <v>03</v>
      </c>
      <c r="I508" t="str">
        <f t="shared" si="23"/>
        <v>C</v>
      </c>
      <c r="J508" t="s">
        <v>162</v>
      </c>
      <c r="K508" t="s">
        <v>28</v>
      </c>
      <c r="L508" t="s">
        <v>28</v>
      </c>
      <c r="M508" t="s">
        <v>28</v>
      </c>
      <c r="N508" t="s">
        <v>28</v>
      </c>
      <c r="O508" t="s">
        <v>28</v>
      </c>
      <c r="P508" t="s">
        <v>28</v>
      </c>
      <c r="Q508" t="s">
        <v>170</v>
      </c>
      <c r="R508" t="s">
        <v>163</v>
      </c>
      <c r="S508">
        <v>113</v>
      </c>
      <c r="T508" t="s">
        <v>164</v>
      </c>
      <c r="U508">
        <v>20231112</v>
      </c>
      <c r="V508">
        <v>3</v>
      </c>
      <c r="W508">
        <v>5</v>
      </c>
      <c r="X508" t="s">
        <v>160</v>
      </c>
    </row>
    <row r="509" spans="1:24" x14ac:dyDescent="0.2">
      <c r="A509" t="str">
        <f t="shared" si="21"/>
        <v>sample_miseq-16S-F-C04-L5_SICap-P22-C4-MouseStool-Feces-mouse-20231112-113-Orange-3</v>
      </c>
      <c r="B509" s="1" t="s">
        <v>681</v>
      </c>
      <c r="C509" s="3" t="s">
        <v>1257</v>
      </c>
      <c r="D509" s="3" t="s">
        <v>1327</v>
      </c>
      <c r="E509" t="s">
        <v>20</v>
      </c>
      <c r="F509" t="s">
        <v>161</v>
      </c>
      <c r="G509" t="s">
        <v>68</v>
      </c>
      <c r="H509" t="str">
        <f t="shared" si="22"/>
        <v>04</v>
      </c>
      <c r="I509" t="str">
        <f t="shared" si="23"/>
        <v>C</v>
      </c>
      <c r="J509" t="s">
        <v>162</v>
      </c>
      <c r="K509" t="s">
        <v>28</v>
      </c>
      <c r="L509" t="s">
        <v>28</v>
      </c>
      <c r="M509" t="s">
        <v>28</v>
      </c>
      <c r="N509" t="s">
        <v>28</v>
      </c>
      <c r="O509" t="s">
        <v>28</v>
      </c>
      <c r="P509" t="s">
        <v>28</v>
      </c>
      <c r="Q509" t="s">
        <v>170</v>
      </c>
      <c r="R509" t="s">
        <v>163</v>
      </c>
      <c r="S509">
        <v>113</v>
      </c>
      <c r="T509" t="s">
        <v>165</v>
      </c>
      <c r="U509">
        <v>20231112</v>
      </c>
      <c r="V509">
        <v>3</v>
      </c>
      <c r="W509">
        <v>5</v>
      </c>
      <c r="X509" t="s">
        <v>160</v>
      </c>
    </row>
    <row r="510" spans="1:24" x14ac:dyDescent="0.2">
      <c r="A510" t="str">
        <f t="shared" si="21"/>
        <v>sample_miseq-16S-F-C05-L5_SICap-P22-C5-MouseStool-Feces-mouse-20231112-113-Clear-3</v>
      </c>
      <c r="B510" s="1" t="s">
        <v>682</v>
      </c>
      <c r="C510" s="3" t="s">
        <v>1258</v>
      </c>
      <c r="D510" s="3" t="s">
        <v>1327</v>
      </c>
      <c r="E510" t="s">
        <v>20</v>
      </c>
      <c r="F510" t="s">
        <v>161</v>
      </c>
      <c r="G510" t="s">
        <v>69</v>
      </c>
      <c r="H510" t="str">
        <f t="shared" si="22"/>
        <v>05</v>
      </c>
      <c r="I510" t="str">
        <f t="shared" si="23"/>
        <v>C</v>
      </c>
      <c r="J510" t="s">
        <v>162</v>
      </c>
      <c r="K510" t="s">
        <v>28</v>
      </c>
      <c r="L510" t="s">
        <v>28</v>
      </c>
      <c r="M510" t="s">
        <v>28</v>
      </c>
      <c r="N510" t="s">
        <v>28</v>
      </c>
      <c r="O510" t="s">
        <v>28</v>
      </c>
      <c r="P510" t="s">
        <v>28</v>
      </c>
      <c r="Q510" t="s">
        <v>170</v>
      </c>
      <c r="R510" t="s">
        <v>163</v>
      </c>
      <c r="S510">
        <v>113</v>
      </c>
      <c r="T510" t="s">
        <v>166</v>
      </c>
      <c r="U510">
        <v>20231112</v>
      </c>
      <c r="V510">
        <v>3</v>
      </c>
      <c r="W510">
        <v>5</v>
      </c>
      <c r="X510" t="s">
        <v>160</v>
      </c>
    </row>
    <row r="511" spans="1:24" x14ac:dyDescent="0.2">
      <c r="A511" t="str">
        <f t="shared" si="21"/>
        <v>sample_miseq-16S-F-C06-L5_SICap-P22-C6-MouseStool-Feces-mouse-20231112-113-Purple-1</v>
      </c>
      <c r="B511" s="1" t="s">
        <v>683</v>
      </c>
      <c r="C511" s="3" t="s">
        <v>1259</v>
      </c>
      <c r="D511" s="3" t="s">
        <v>1327</v>
      </c>
      <c r="E511" t="s">
        <v>20</v>
      </c>
      <c r="F511" t="s">
        <v>161</v>
      </c>
      <c r="G511" t="s">
        <v>70</v>
      </c>
      <c r="H511" t="str">
        <f t="shared" si="22"/>
        <v>06</v>
      </c>
      <c r="I511" t="str">
        <f t="shared" si="23"/>
        <v>C</v>
      </c>
      <c r="J511" t="s">
        <v>162</v>
      </c>
      <c r="K511" t="s">
        <v>28</v>
      </c>
      <c r="L511" t="s">
        <v>28</v>
      </c>
      <c r="M511" t="s">
        <v>28</v>
      </c>
      <c r="N511" t="s">
        <v>28</v>
      </c>
      <c r="O511" t="s">
        <v>28</v>
      </c>
      <c r="P511" t="s">
        <v>28</v>
      </c>
      <c r="Q511" t="s">
        <v>170</v>
      </c>
      <c r="R511" t="s">
        <v>163</v>
      </c>
      <c r="S511">
        <v>113</v>
      </c>
      <c r="T511" t="s">
        <v>167</v>
      </c>
      <c r="U511">
        <v>20231112</v>
      </c>
      <c r="V511">
        <v>3</v>
      </c>
      <c r="W511">
        <v>5</v>
      </c>
      <c r="X511" t="s">
        <v>160</v>
      </c>
    </row>
    <row r="512" spans="1:24" x14ac:dyDescent="0.2">
      <c r="A512" t="str">
        <f t="shared" si="21"/>
        <v>sample_miseq-16S-F-C07-L5_SICap-P22-C7-MouseStool-Feces-mouse-20231112-113-Green-1</v>
      </c>
      <c r="B512" s="1" t="s">
        <v>684</v>
      </c>
      <c r="C512" s="3" t="s">
        <v>1260</v>
      </c>
      <c r="D512" s="3" t="s">
        <v>1327</v>
      </c>
      <c r="E512" t="s">
        <v>20</v>
      </c>
      <c r="F512" t="s">
        <v>161</v>
      </c>
      <c r="G512" t="s">
        <v>71</v>
      </c>
      <c r="H512" t="str">
        <f t="shared" si="22"/>
        <v>07</v>
      </c>
      <c r="I512" t="str">
        <f t="shared" si="23"/>
        <v>C</v>
      </c>
      <c r="J512" t="s">
        <v>162</v>
      </c>
      <c r="K512" t="s">
        <v>28</v>
      </c>
      <c r="L512" t="s">
        <v>28</v>
      </c>
      <c r="M512" t="s">
        <v>28</v>
      </c>
      <c r="N512" t="s">
        <v>28</v>
      </c>
      <c r="O512" t="s">
        <v>28</v>
      </c>
      <c r="P512" t="s">
        <v>28</v>
      </c>
      <c r="Q512" t="s">
        <v>170</v>
      </c>
      <c r="R512" t="s">
        <v>163</v>
      </c>
      <c r="S512">
        <v>113</v>
      </c>
      <c r="T512" t="s">
        <v>169</v>
      </c>
      <c r="U512">
        <v>20231112</v>
      </c>
      <c r="V512">
        <v>3</v>
      </c>
      <c r="W512">
        <v>5</v>
      </c>
      <c r="X512" t="s">
        <v>160</v>
      </c>
    </row>
    <row r="513" spans="1:24" x14ac:dyDescent="0.2">
      <c r="A513" t="str">
        <f t="shared" si="21"/>
        <v>sample_miseq-16S-F-C08-L5_SICap-P22-C8-MouseStool-Feces-mouse-20231113-111-Orange-3</v>
      </c>
      <c r="B513" s="1" t="s">
        <v>685</v>
      </c>
      <c r="C513" s="3" t="s">
        <v>1261</v>
      </c>
      <c r="D513" s="3" t="s">
        <v>1327</v>
      </c>
      <c r="E513" t="s">
        <v>20</v>
      </c>
      <c r="F513" t="s">
        <v>161</v>
      </c>
      <c r="G513" t="s">
        <v>72</v>
      </c>
      <c r="H513" t="str">
        <f t="shared" si="22"/>
        <v>08</v>
      </c>
      <c r="I513" t="str">
        <f t="shared" si="23"/>
        <v>C</v>
      </c>
      <c r="J513" t="s">
        <v>162</v>
      </c>
      <c r="K513" t="s">
        <v>28</v>
      </c>
      <c r="L513" t="s">
        <v>28</v>
      </c>
      <c r="M513" t="s">
        <v>28</v>
      </c>
      <c r="N513" t="s">
        <v>28</v>
      </c>
      <c r="O513" t="s">
        <v>28</v>
      </c>
      <c r="P513" t="s">
        <v>28</v>
      </c>
      <c r="Q513" t="s">
        <v>47</v>
      </c>
      <c r="R513" t="s">
        <v>163</v>
      </c>
      <c r="S513">
        <v>111</v>
      </c>
      <c r="T513" t="s">
        <v>165</v>
      </c>
      <c r="U513">
        <v>20231113</v>
      </c>
      <c r="V513">
        <v>4</v>
      </c>
      <c r="W513">
        <v>5</v>
      </c>
      <c r="X513" t="s">
        <v>160</v>
      </c>
    </row>
    <row r="514" spans="1:24" x14ac:dyDescent="0.2">
      <c r="A514" t="str">
        <f t="shared" si="21"/>
        <v>sample_miseq-16S-F-C09-L5_SICap-P22-C9-MouseStool-Feces-mouse-20231113-111-Clear-3</v>
      </c>
      <c r="B514" s="1" t="s">
        <v>686</v>
      </c>
      <c r="C514" s="3" t="s">
        <v>1262</v>
      </c>
      <c r="D514" s="3" t="s">
        <v>1327</v>
      </c>
      <c r="E514" t="s">
        <v>20</v>
      </c>
      <c r="F514" t="s">
        <v>161</v>
      </c>
      <c r="G514" t="s">
        <v>73</v>
      </c>
      <c r="H514" t="str">
        <f t="shared" si="22"/>
        <v>09</v>
      </c>
      <c r="I514" t="str">
        <f t="shared" si="23"/>
        <v>C</v>
      </c>
      <c r="J514" t="s">
        <v>162</v>
      </c>
      <c r="K514" t="s">
        <v>28</v>
      </c>
      <c r="L514" t="s">
        <v>28</v>
      </c>
      <c r="M514" t="s">
        <v>28</v>
      </c>
      <c r="N514" t="s">
        <v>28</v>
      </c>
      <c r="O514" t="s">
        <v>28</v>
      </c>
      <c r="P514" t="s">
        <v>28</v>
      </c>
      <c r="Q514" t="s">
        <v>47</v>
      </c>
      <c r="R514" t="s">
        <v>163</v>
      </c>
      <c r="S514">
        <v>111</v>
      </c>
      <c r="T514" t="s">
        <v>166</v>
      </c>
      <c r="U514">
        <v>20231113</v>
      </c>
      <c r="V514">
        <v>4</v>
      </c>
      <c r="W514">
        <v>5</v>
      </c>
      <c r="X514" t="s">
        <v>160</v>
      </c>
    </row>
    <row r="515" spans="1:24" x14ac:dyDescent="0.2">
      <c r="A515" t="str">
        <f t="shared" ref="A515:A577" si="24">_xlfn.CONCAT("sample_miseq-",C515)</f>
        <v>sample_miseq-16S-F-C10-L5_SICap-P22-C10-MouseStool-Feces-mouse-20231113-111-Yellow-1</v>
      </c>
      <c r="B515" s="1" t="s">
        <v>687</v>
      </c>
      <c r="C515" s="3" t="s">
        <v>1263</v>
      </c>
      <c r="D515" s="3" t="s">
        <v>1327</v>
      </c>
      <c r="E515" t="s">
        <v>20</v>
      </c>
      <c r="F515" t="s">
        <v>161</v>
      </c>
      <c r="G515" t="s">
        <v>74</v>
      </c>
      <c r="H515" t="str">
        <f t="shared" ref="H515:H578" si="25">RIGHT(G515,2)</f>
        <v>10</v>
      </c>
      <c r="I515" t="str">
        <f t="shared" ref="I515:I578" si="26">LEFT(G515)</f>
        <v>C</v>
      </c>
      <c r="J515" t="s">
        <v>162</v>
      </c>
      <c r="K515" t="s">
        <v>28</v>
      </c>
      <c r="L515" t="s">
        <v>28</v>
      </c>
      <c r="M515" t="s">
        <v>28</v>
      </c>
      <c r="N515" t="s">
        <v>28</v>
      </c>
      <c r="O515" t="s">
        <v>28</v>
      </c>
      <c r="P515" t="s">
        <v>28</v>
      </c>
      <c r="Q515" t="s">
        <v>47</v>
      </c>
      <c r="R515" t="s">
        <v>163</v>
      </c>
      <c r="S515">
        <v>111</v>
      </c>
      <c r="T515" t="s">
        <v>168</v>
      </c>
      <c r="U515">
        <v>20231113</v>
      </c>
      <c r="V515">
        <v>4</v>
      </c>
      <c r="W515">
        <v>5</v>
      </c>
      <c r="X515" t="s">
        <v>160</v>
      </c>
    </row>
    <row r="516" spans="1:24" x14ac:dyDescent="0.2">
      <c r="A516" t="str">
        <f t="shared" si="24"/>
        <v>sample_miseq-16S-F-C11-L5_SICap-P22-C11-MouseStool-Feces-mouse-20231113-114-Blue-3</v>
      </c>
      <c r="B516" s="1" t="s">
        <v>688</v>
      </c>
      <c r="C516" s="3" t="s">
        <v>1264</v>
      </c>
      <c r="D516" s="3" t="s">
        <v>1327</v>
      </c>
      <c r="E516" t="s">
        <v>20</v>
      </c>
      <c r="F516" t="s">
        <v>161</v>
      </c>
      <c r="G516" t="s">
        <v>75</v>
      </c>
      <c r="H516" t="str">
        <f t="shared" si="25"/>
        <v>11</v>
      </c>
      <c r="I516" t="str">
        <f t="shared" si="26"/>
        <v>C</v>
      </c>
      <c r="J516" t="s">
        <v>162</v>
      </c>
      <c r="K516" t="s">
        <v>28</v>
      </c>
      <c r="L516" t="s">
        <v>28</v>
      </c>
      <c r="M516" t="s">
        <v>28</v>
      </c>
      <c r="N516" t="s">
        <v>28</v>
      </c>
      <c r="O516" t="s">
        <v>28</v>
      </c>
      <c r="P516" t="s">
        <v>28</v>
      </c>
      <c r="Q516" t="s">
        <v>49</v>
      </c>
      <c r="R516" t="s">
        <v>163</v>
      </c>
      <c r="S516">
        <v>114</v>
      </c>
      <c r="T516" t="s">
        <v>164</v>
      </c>
      <c r="U516">
        <v>20231113</v>
      </c>
      <c r="V516">
        <v>4</v>
      </c>
      <c r="W516">
        <v>5</v>
      </c>
      <c r="X516" t="s">
        <v>160</v>
      </c>
    </row>
    <row r="517" spans="1:24" x14ac:dyDescent="0.2">
      <c r="A517" t="str">
        <f t="shared" si="24"/>
        <v>sample_miseq-16S-F-C12-L5_SICap-P22-C12-MouseStool-Feces-mouse-20231113-114-Orange-3</v>
      </c>
      <c r="B517" s="1" t="s">
        <v>689</v>
      </c>
      <c r="C517" s="3" t="s">
        <v>1265</v>
      </c>
      <c r="D517" s="3" t="s">
        <v>1327</v>
      </c>
      <c r="E517" t="s">
        <v>20</v>
      </c>
      <c r="F517" t="s">
        <v>161</v>
      </c>
      <c r="G517" t="s">
        <v>76</v>
      </c>
      <c r="H517" t="str">
        <f t="shared" si="25"/>
        <v>12</v>
      </c>
      <c r="I517" t="str">
        <f t="shared" si="26"/>
        <v>C</v>
      </c>
      <c r="J517" t="s">
        <v>162</v>
      </c>
      <c r="K517" t="s">
        <v>28</v>
      </c>
      <c r="L517" t="s">
        <v>28</v>
      </c>
      <c r="M517" t="s">
        <v>28</v>
      </c>
      <c r="N517" t="s">
        <v>28</v>
      </c>
      <c r="O517" t="s">
        <v>28</v>
      </c>
      <c r="P517" t="s">
        <v>28</v>
      </c>
      <c r="Q517" t="s">
        <v>49</v>
      </c>
      <c r="R517" t="s">
        <v>163</v>
      </c>
      <c r="S517">
        <v>114</v>
      </c>
      <c r="T517" t="s">
        <v>165</v>
      </c>
      <c r="U517">
        <v>20231113</v>
      </c>
      <c r="V517">
        <v>4</v>
      </c>
      <c r="W517">
        <v>5</v>
      </c>
      <c r="X517" t="s">
        <v>160</v>
      </c>
    </row>
    <row r="518" spans="1:24" x14ac:dyDescent="0.2">
      <c r="A518" t="str">
        <f t="shared" si="24"/>
        <v>sample_miseq-16S-F-D01-L5_SICap-P22-D1-MouseStool-Feces-mouse-20231113-114-Clear-3</v>
      </c>
      <c r="B518" s="1" t="s">
        <v>690</v>
      </c>
      <c r="C518" s="3" t="s">
        <v>1266</v>
      </c>
      <c r="D518" s="3" t="s">
        <v>1327</v>
      </c>
      <c r="E518" t="s">
        <v>20</v>
      </c>
      <c r="F518" t="s">
        <v>161</v>
      </c>
      <c r="G518" t="s">
        <v>77</v>
      </c>
      <c r="H518" t="str">
        <f t="shared" si="25"/>
        <v>01</v>
      </c>
      <c r="I518" t="str">
        <f t="shared" si="26"/>
        <v>D</v>
      </c>
      <c r="J518" t="s">
        <v>162</v>
      </c>
      <c r="K518" t="s">
        <v>28</v>
      </c>
      <c r="L518" t="s">
        <v>28</v>
      </c>
      <c r="M518" t="s">
        <v>28</v>
      </c>
      <c r="N518" t="s">
        <v>28</v>
      </c>
      <c r="O518" t="s">
        <v>28</v>
      </c>
      <c r="P518" t="s">
        <v>28</v>
      </c>
      <c r="Q518" t="s">
        <v>49</v>
      </c>
      <c r="R518" t="s">
        <v>163</v>
      </c>
      <c r="S518">
        <v>114</v>
      </c>
      <c r="T518" t="s">
        <v>166</v>
      </c>
      <c r="U518">
        <v>20231113</v>
      </c>
      <c r="V518">
        <v>4</v>
      </c>
      <c r="W518">
        <v>5</v>
      </c>
      <c r="X518" t="s">
        <v>160</v>
      </c>
    </row>
    <row r="519" spans="1:24" x14ac:dyDescent="0.2">
      <c r="A519" t="str">
        <f t="shared" si="24"/>
        <v>sample_miseq-16S-F-D02-L5_SICap-P22-D2-MouseStool-Feces-mouse-20231113-114-Purple-1</v>
      </c>
      <c r="B519" s="1" t="s">
        <v>691</v>
      </c>
      <c r="C519" s="3" t="s">
        <v>1267</v>
      </c>
      <c r="D519" s="3" t="s">
        <v>1327</v>
      </c>
      <c r="E519" t="s">
        <v>20</v>
      </c>
      <c r="F519" t="s">
        <v>161</v>
      </c>
      <c r="G519" t="s">
        <v>79</v>
      </c>
      <c r="H519" t="str">
        <f t="shared" si="25"/>
        <v>02</v>
      </c>
      <c r="I519" t="str">
        <f t="shared" si="26"/>
        <v>D</v>
      </c>
      <c r="J519" t="s">
        <v>162</v>
      </c>
      <c r="K519" t="s">
        <v>28</v>
      </c>
      <c r="L519" t="s">
        <v>28</v>
      </c>
      <c r="M519" t="s">
        <v>28</v>
      </c>
      <c r="N519" t="s">
        <v>28</v>
      </c>
      <c r="O519" t="s">
        <v>28</v>
      </c>
      <c r="P519" t="s">
        <v>28</v>
      </c>
      <c r="Q519" t="s">
        <v>49</v>
      </c>
      <c r="R519" t="s">
        <v>163</v>
      </c>
      <c r="S519">
        <v>114</v>
      </c>
      <c r="T519" t="s">
        <v>167</v>
      </c>
      <c r="U519">
        <v>20231113</v>
      </c>
      <c r="V519">
        <v>4</v>
      </c>
      <c r="W519">
        <v>5</v>
      </c>
      <c r="X519" t="s">
        <v>160</v>
      </c>
    </row>
    <row r="520" spans="1:24" x14ac:dyDescent="0.2">
      <c r="A520" t="str">
        <f t="shared" si="24"/>
        <v>sample_miseq-16S-F-D03-L5_SICap-P22-D3-MouseStool-Feces-mouse-20231113-114-Yellow-1</v>
      </c>
      <c r="B520" s="1" t="s">
        <v>692</v>
      </c>
      <c r="C520" s="3" t="s">
        <v>1268</v>
      </c>
      <c r="D520" s="3" t="s">
        <v>1327</v>
      </c>
      <c r="E520" t="s">
        <v>20</v>
      </c>
      <c r="F520" t="s">
        <v>161</v>
      </c>
      <c r="G520" t="s">
        <v>80</v>
      </c>
      <c r="H520" t="str">
        <f t="shared" si="25"/>
        <v>03</v>
      </c>
      <c r="I520" t="str">
        <f t="shared" si="26"/>
        <v>D</v>
      </c>
      <c r="J520" t="s">
        <v>162</v>
      </c>
      <c r="K520" t="s">
        <v>28</v>
      </c>
      <c r="L520" t="s">
        <v>28</v>
      </c>
      <c r="M520" t="s">
        <v>28</v>
      </c>
      <c r="N520" t="s">
        <v>28</v>
      </c>
      <c r="O520" t="s">
        <v>28</v>
      </c>
      <c r="P520" t="s">
        <v>28</v>
      </c>
      <c r="Q520" t="s">
        <v>49</v>
      </c>
      <c r="R520" t="s">
        <v>163</v>
      </c>
      <c r="S520">
        <v>114</v>
      </c>
      <c r="T520" t="s">
        <v>168</v>
      </c>
      <c r="U520">
        <v>20231113</v>
      </c>
      <c r="V520">
        <v>4</v>
      </c>
      <c r="W520">
        <v>5</v>
      </c>
      <c r="X520" t="s">
        <v>160</v>
      </c>
    </row>
    <row r="521" spans="1:24" x14ac:dyDescent="0.2">
      <c r="A521" t="str">
        <f t="shared" si="24"/>
        <v>sample_miseq-16S-F-D04-L5_SICap-P22-D4-MouseStool-Feces-mouse-20231113-114-Green-1</v>
      </c>
      <c r="B521" s="1" t="s">
        <v>693</v>
      </c>
      <c r="C521" s="3" t="s">
        <v>1269</v>
      </c>
      <c r="D521" s="3" t="s">
        <v>1327</v>
      </c>
      <c r="E521" t="s">
        <v>20</v>
      </c>
      <c r="F521" t="s">
        <v>161</v>
      </c>
      <c r="G521" t="s">
        <v>81</v>
      </c>
      <c r="H521" t="str">
        <f t="shared" si="25"/>
        <v>04</v>
      </c>
      <c r="I521" t="str">
        <f t="shared" si="26"/>
        <v>D</v>
      </c>
      <c r="J521" t="s">
        <v>162</v>
      </c>
      <c r="K521" t="s">
        <v>28</v>
      </c>
      <c r="L521" t="s">
        <v>28</v>
      </c>
      <c r="M521" t="s">
        <v>28</v>
      </c>
      <c r="N521" t="s">
        <v>28</v>
      </c>
      <c r="O521" t="s">
        <v>28</v>
      </c>
      <c r="P521" t="s">
        <v>28</v>
      </c>
      <c r="Q521" t="s">
        <v>49</v>
      </c>
      <c r="R521" t="s">
        <v>163</v>
      </c>
      <c r="S521">
        <v>114</v>
      </c>
      <c r="T521" t="s">
        <v>169</v>
      </c>
      <c r="U521">
        <v>20231113</v>
      </c>
      <c r="V521">
        <v>4</v>
      </c>
      <c r="W521">
        <v>5</v>
      </c>
      <c r="X521" t="s">
        <v>160</v>
      </c>
    </row>
    <row r="522" spans="1:24" x14ac:dyDescent="0.2">
      <c r="A522" t="str">
        <f t="shared" si="24"/>
        <v>sample_miseq-16S-F-D05-L5_SICap-P22-D5-MouseStool-Feces-mouse-20231113-113-Blue-3</v>
      </c>
      <c r="B522" s="1" t="s">
        <v>694</v>
      </c>
      <c r="C522" s="3" t="s">
        <v>1270</v>
      </c>
      <c r="D522" s="3" t="s">
        <v>1327</v>
      </c>
      <c r="E522" t="s">
        <v>20</v>
      </c>
      <c r="F522" t="s">
        <v>161</v>
      </c>
      <c r="G522" t="s">
        <v>82</v>
      </c>
      <c r="H522" t="str">
        <f t="shared" si="25"/>
        <v>05</v>
      </c>
      <c r="I522" t="str">
        <f t="shared" si="26"/>
        <v>D</v>
      </c>
      <c r="J522" t="s">
        <v>162</v>
      </c>
      <c r="K522" t="s">
        <v>28</v>
      </c>
      <c r="L522" t="s">
        <v>28</v>
      </c>
      <c r="M522" t="s">
        <v>28</v>
      </c>
      <c r="N522" t="s">
        <v>28</v>
      </c>
      <c r="O522" t="s">
        <v>28</v>
      </c>
      <c r="P522" t="s">
        <v>28</v>
      </c>
      <c r="Q522" t="s">
        <v>170</v>
      </c>
      <c r="R522" t="s">
        <v>163</v>
      </c>
      <c r="S522">
        <v>113</v>
      </c>
      <c r="T522" t="s">
        <v>164</v>
      </c>
      <c r="U522">
        <v>20231113</v>
      </c>
      <c r="V522">
        <v>4</v>
      </c>
      <c r="W522">
        <v>5</v>
      </c>
      <c r="X522" t="s">
        <v>160</v>
      </c>
    </row>
    <row r="523" spans="1:24" x14ac:dyDescent="0.2">
      <c r="A523" t="str">
        <f t="shared" si="24"/>
        <v>sample_miseq-16S-F-D06-L5_SICap-P22-D6-MouseStool-Feces-mouse-20231113-113-Clear-3</v>
      </c>
      <c r="B523" s="1" t="s">
        <v>695</v>
      </c>
      <c r="C523" s="3" t="s">
        <v>1271</v>
      </c>
      <c r="D523" s="3" t="s">
        <v>1327</v>
      </c>
      <c r="E523" t="s">
        <v>20</v>
      </c>
      <c r="F523" t="s">
        <v>161</v>
      </c>
      <c r="G523" t="s">
        <v>83</v>
      </c>
      <c r="H523" t="str">
        <f t="shared" si="25"/>
        <v>06</v>
      </c>
      <c r="I523" t="str">
        <f t="shared" si="26"/>
        <v>D</v>
      </c>
      <c r="J523" t="s">
        <v>162</v>
      </c>
      <c r="K523" t="s">
        <v>28</v>
      </c>
      <c r="L523" t="s">
        <v>28</v>
      </c>
      <c r="M523" t="s">
        <v>28</v>
      </c>
      <c r="N523" t="s">
        <v>28</v>
      </c>
      <c r="O523" t="s">
        <v>28</v>
      </c>
      <c r="P523" t="s">
        <v>28</v>
      </c>
      <c r="Q523" t="s">
        <v>170</v>
      </c>
      <c r="R523" t="s">
        <v>163</v>
      </c>
      <c r="S523">
        <v>113</v>
      </c>
      <c r="T523" t="s">
        <v>166</v>
      </c>
      <c r="U523">
        <v>20231113</v>
      </c>
      <c r="V523">
        <v>4</v>
      </c>
      <c r="W523">
        <v>5</v>
      </c>
      <c r="X523" t="s">
        <v>160</v>
      </c>
    </row>
    <row r="524" spans="1:24" x14ac:dyDescent="0.2">
      <c r="A524" t="str">
        <f t="shared" si="24"/>
        <v>sample_miseq-16S-F-D07-L5_SICap-P22-D7-MouseStool-Feces-mouse-20231113-113-Purple-1</v>
      </c>
      <c r="B524" s="1" t="s">
        <v>696</v>
      </c>
      <c r="C524" s="3" t="s">
        <v>1272</v>
      </c>
      <c r="D524" s="3" t="s">
        <v>1327</v>
      </c>
      <c r="E524" t="s">
        <v>20</v>
      </c>
      <c r="F524" t="s">
        <v>161</v>
      </c>
      <c r="G524" t="s">
        <v>84</v>
      </c>
      <c r="H524" t="str">
        <f t="shared" si="25"/>
        <v>07</v>
      </c>
      <c r="I524" t="str">
        <f t="shared" si="26"/>
        <v>D</v>
      </c>
      <c r="J524" t="s">
        <v>162</v>
      </c>
      <c r="K524" t="s">
        <v>28</v>
      </c>
      <c r="L524" t="s">
        <v>28</v>
      </c>
      <c r="M524" t="s">
        <v>28</v>
      </c>
      <c r="N524" t="s">
        <v>28</v>
      </c>
      <c r="O524" t="s">
        <v>28</v>
      </c>
      <c r="P524" t="s">
        <v>28</v>
      </c>
      <c r="Q524" t="s">
        <v>170</v>
      </c>
      <c r="R524" t="s">
        <v>163</v>
      </c>
      <c r="S524">
        <v>113</v>
      </c>
      <c r="T524" t="s">
        <v>167</v>
      </c>
      <c r="U524">
        <v>20231113</v>
      </c>
      <c r="V524">
        <v>4</v>
      </c>
      <c r="W524">
        <v>5</v>
      </c>
      <c r="X524" t="s">
        <v>160</v>
      </c>
    </row>
    <row r="525" spans="1:24" x14ac:dyDescent="0.2">
      <c r="A525" t="str">
        <f t="shared" si="24"/>
        <v>sample_miseq-16S-F-D08-L5_SICap-P22-D8-MouseStool-Feces-mouse-20231113-113-Yellow-1</v>
      </c>
      <c r="B525" s="1" t="s">
        <v>697</v>
      </c>
      <c r="C525" s="3" t="s">
        <v>1273</v>
      </c>
      <c r="D525" s="3" t="s">
        <v>1327</v>
      </c>
      <c r="E525" t="s">
        <v>20</v>
      </c>
      <c r="F525" t="s">
        <v>161</v>
      </c>
      <c r="G525" t="s">
        <v>85</v>
      </c>
      <c r="H525" t="str">
        <f t="shared" si="25"/>
        <v>08</v>
      </c>
      <c r="I525" t="str">
        <f t="shared" si="26"/>
        <v>D</v>
      </c>
      <c r="J525" t="s">
        <v>162</v>
      </c>
      <c r="K525" t="s">
        <v>28</v>
      </c>
      <c r="L525" t="s">
        <v>28</v>
      </c>
      <c r="M525" t="s">
        <v>28</v>
      </c>
      <c r="N525" t="s">
        <v>28</v>
      </c>
      <c r="O525" t="s">
        <v>28</v>
      </c>
      <c r="P525" t="s">
        <v>28</v>
      </c>
      <c r="Q525" t="s">
        <v>170</v>
      </c>
      <c r="R525" t="s">
        <v>163</v>
      </c>
      <c r="S525">
        <v>113</v>
      </c>
      <c r="T525" t="s">
        <v>168</v>
      </c>
      <c r="U525">
        <v>20231113</v>
      </c>
      <c r="V525">
        <v>4</v>
      </c>
      <c r="W525">
        <v>5</v>
      </c>
      <c r="X525" t="s">
        <v>160</v>
      </c>
    </row>
    <row r="526" spans="1:24" x14ac:dyDescent="0.2">
      <c r="A526" t="str">
        <f t="shared" si="24"/>
        <v>sample_miseq-16S-F-D09-L5_SICap-P22-D9-MouseStool-Feces-mouse-20231113-113-Green-1</v>
      </c>
      <c r="B526" s="1" t="s">
        <v>698</v>
      </c>
      <c r="C526" s="3" t="s">
        <v>1274</v>
      </c>
      <c r="D526" s="3" t="s">
        <v>1327</v>
      </c>
      <c r="E526" t="s">
        <v>20</v>
      </c>
      <c r="F526" t="s">
        <v>161</v>
      </c>
      <c r="G526" t="s">
        <v>86</v>
      </c>
      <c r="H526" t="str">
        <f t="shared" si="25"/>
        <v>09</v>
      </c>
      <c r="I526" t="str">
        <f t="shared" si="26"/>
        <v>D</v>
      </c>
      <c r="J526" t="s">
        <v>162</v>
      </c>
      <c r="K526" t="s">
        <v>28</v>
      </c>
      <c r="L526" t="s">
        <v>28</v>
      </c>
      <c r="M526" t="s">
        <v>28</v>
      </c>
      <c r="N526" t="s">
        <v>28</v>
      </c>
      <c r="O526" t="s">
        <v>28</v>
      </c>
      <c r="P526" t="s">
        <v>28</v>
      </c>
      <c r="Q526" t="s">
        <v>170</v>
      </c>
      <c r="R526" t="s">
        <v>163</v>
      </c>
      <c r="S526">
        <v>113</v>
      </c>
      <c r="T526" t="s">
        <v>169</v>
      </c>
      <c r="U526">
        <v>20231113</v>
      </c>
      <c r="V526">
        <v>4</v>
      </c>
      <c r="W526">
        <v>5</v>
      </c>
      <c r="X526" t="s">
        <v>160</v>
      </c>
    </row>
    <row r="527" spans="1:24" x14ac:dyDescent="0.2">
      <c r="A527" t="str">
        <f t="shared" si="24"/>
        <v>sample_miseq-16S-F-D10-L5_SICap-P22-D10-MouseStool-Feces-mouse-20231116-111-Orange-3</v>
      </c>
      <c r="B527" s="1" t="s">
        <v>699</v>
      </c>
      <c r="C527" s="3" t="s">
        <v>1275</v>
      </c>
      <c r="D527" s="3" t="s">
        <v>1327</v>
      </c>
      <c r="E527" t="s">
        <v>20</v>
      </c>
      <c r="F527" t="s">
        <v>161</v>
      </c>
      <c r="G527" t="s">
        <v>87</v>
      </c>
      <c r="H527" t="str">
        <f t="shared" si="25"/>
        <v>10</v>
      </c>
      <c r="I527" t="str">
        <f t="shared" si="26"/>
        <v>D</v>
      </c>
      <c r="J527" t="s">
        <v>162</v>
      </c>
      <c r="K527" t="s">
        <v>28</v>
      </c>
      <c r="L527" t="s">
        <v>28</v>
      </c>
      <c r="M527" t="s">
        <v>28</v>
      </c>
      <c r="N527" t="s">
        <v>28</v>
      </c>
      <c r="O527" t="s">
        <v>28</v>
      </c>
      <c r="P527" t="s">
        <v>28</v>
      </c>
      <c r="Q527" t="s">
        <v>47</v>
      </c>
      <c r="R527" t="s">
        <v>163</v>
      </c>
      <c r="S527">
        <v>111</v>
      </c>
      <c r="T527" t="s">
        <v>165</v>
      </c>
      <c r="U527">
        <v>20231116</v>
      </c>
      <c r="V527">
        <v>7</v>
      </c>
      <c r="W527">
        <v>5</v>
      </c>
      <c r="X527" t="s">
        <v>160</v>
      </c>
    </row>
    <row r="528" spans="1:24" x14ac:dyDescent="0.2">
      <c r="A528" t="str">
        <f t="shared" si="24"/>
        <v>sample_miseq-16S-F-D11-L5_SICap-P22-D11-MouseStool-Feces-mouse-20231116-114-Blue-3</v>
      </c>
      <c r="B528" s="1" t="s">
        <v>700</v>
      </c>
      <c r="C528" s="3" t="s">
        <v>1276</v>
      </c>
      <c r="D528" s="3" t="s">
        <v>1327</v>
      </c>
      <c r="E528" t="s">
        <v>20</v>
      </c>
      <c r="F528" t="s">
        <v>161</v>
      </c>
      <c r="G528" t="s">
        <v>88</v>
      </c>
      <c r="H528" t="str">
        <f t="shared" si="25"/>
        <v>11</v>
      </c>
      <c r="I528" t="str">
        <f t="shared" si="26"/>
        <v>D</v>
      </c>
      <c r="J528" t="s">
        <v>162</v>
      </c>
      <c r="K528" t="s">
        <v>28</v>
      </c>
      <c r="L528" t="s">
        <v>28</v>
      </c>
      <c r="M528" t="s">
        <v>28</v>
      </c>
      <c r="N528" t="s">
        <v>28</v>
      </c>
      <c r="O528" t="s">
        <v>28</v>
      </c>
      <c r="P528" t="s">
        <v>28</v>
      </c>
      <c r="Q528" t="s">
        <v>49</v>
      </c>
      <c r="R528" t="s">
        <v>163</v>
      </c>
      <c r="S528">
        <v>114</v>
      </c>
      <c r="T528" t="s">
        <v>164</v>
      </c>
      <c r="U528">
        <v>20231116</v>
      </c>
      <c r="V528">
        <v>7</v>
      </c>
      <c r="W528">
        <v>5</v>
      </c>
      <c r="X528" t="s">
        <v>160</v>
      </c>
    </row>
    <row r="529" spans="1:24" x14ac:dyDescent="0.2">
      <c r="A529" t="str">
        <f t="shared" si="24"/>
        <v>sample_miseq-16S-F-D12-L5_SICap-P22-D12-MouseStool-Feces-mouse-20231116-114-Orange-3</v>
      </c>
      <c r="B529" s="1" t="s">
        <v>701</v>
      </c>
      <c r="C529" s="3" t="s">
        <v>1277</v>
      </c>
      <c r="D529" s="3" t="s">
        <v>1327</v>
      </c>
      <c r="E529" t="s">
        <v>20</v>
      </c>
      <c r="F529" t="s">
        <v>161</v>
      </c>
      <c r="G529" t="s">
        <v>89</v>
      </c>
      <c r="H529" t="str">
        <f t="shared" si="25"/>
        <v>12</v>
      </c>
      <c r="I529" t="str">
        <f t="shared" si="26"/>
        <v>D</v>
      </c>
      <c r="J529" t="s">
        <v>162</v>
      </c>
      <c r="K529" t="s">
        <v>28</v>
      </c>
      <c r="L529" t="s">
        <v>28</v>
      </c>
      <c r="M529" t="s">
        <v>28</v>
      </c>
      <c r="N529" t="s">
        <v>28</v>
      </c>
      <c r="O529" t="s">
        <v>28</v>
      </c>
      <c r="P529" t="s">
        <v>28</v>
      </c>
      <c r="Q529" t="s">
        <v>49</v>
      </c>
      <c r="R529" t="s">
        <v>163</v>
      </c>
      <c r="S529">
        <v>114</v>
      </c>
      <c r="T529" t="s">
        <v>165</v>
      </c>
      <c r="U529">
        <v>20231116</v>
      </c>
      <c r="V529">
        <v>7</v>
      </c>
      <c r="W529">
        <v>5</v>
      </c>
      <c r="X529" t="s">
        <v>160</v>
      </c>
    </row>
    <row r="530" spans="1:24" x14ac:dyDescent="0.2">
      <c r="A530" t="str">
        <f t="shared" si="24"/>
        <v>sample_miseq-16S-F-E01-L5_SICap-P22-E1-MouseStool-Feces-mouse-20231116-114-Clear-3</v>
      </c>
      <c r="B530" s="1" t="s">
        <v>702</v>
      </c>
      <c r="C530" s="3" t="s">
        <v>1278</v>
      </c>
      <c r="D530" s="3" t="s">
        <v>1327</v>
      </c>
      <c r="E530" t="s">
        <v>20</v>
      </c>
      <c r="F530" t="s">
        <v>161</v>
      </c>
      <c r="G530" t="s">
        <v>90</v>
      </c>
      <c r="H530" t="str">
        <f t="shared" si="25"/>
        <v>01</v>
      </c>
      <c r="I530" t="str">
        <f t="shared" si="26"/>
        <v>E</v>
      </c>
      <c r="J530" t="s">
        <v>162</v>
      </c>
      <c r="K530" t="s">
        <v>28</v>
      </c>
      <c r="L530" t="s">
        <v>28</v>
      </c>
      <c r="M530" t="s">
        <v>28</v>
      </c>
      <c r="N530" t="s">
        <v>28</v>
      </c>
      <c r="O530" t="s">
        <v>28</v>
      </c>
      <c r="P530" t="s">
        <v>28</v>
      </c>
      <c r="Q530" t="s">
        <v>49</v>
      </c>
      <c r="R530" t="s">
        <v>163</v>
      </c>
      <c r="S530">
        <v>114</v>
      </c>
      <c r="T530" t="s">
        <v>166</v>
      </c>
      <c r="U530">
        <v>20231116</v>
      </c>
      <c r="V530">
        <v>7</v>
      </c>
      <c r="W530">
        <v>5</v>
      </c>
      <c r="X530" t="s">
        <v>160</v>
      </c>
    </row>
    <row r="531" spans="1:24" x14ac:dyDescent="0.2">
      <c r="A531" t="str">
        <f t="shared" si="24"/>
        <v>sample_miseq-16S-F-E02-L5_SICap-P22-E2-MouseStool-Feces-mouse-20231116-114-Purple-1</v>
      </c>
      <c r="B531" s="1" t="s">
        <v>703</v>
      </c>
      <c r="C531" s="3" t="s">
        <v>1279</v>
      </c>
      <c r="D531" s="3" t="s">
        <v>1327</v>
      </c>
      <c r="E531" t="s">
        <v>20</v>
      </c>
      <c r="F531" t="s">
        <v>161</v>
      </c>
      <c r="G531" t="s">
        <v>92</v>
      </c>
      <c r="H531" t="str">
        <f t="shared" si="25"/>
        <v>02</v>
      </c>
      <c r="I531" t="str">
        <f t="shared" si="26"/>
        <v>E</v>
      </c>
      <c r="J531" t="s">
        <v>162</v>
      </c>
      <c r="K531" t="s">
        <v>28</v>
      </c>
      <c r="L531" t="s">
        <v>28</v>
      </c>
      <c r="M531" t="s">
        <v>28</v>
      </c>
      <c r="N531" t="s">
        <v>28</v>
      </c>
      <c r="O531" t="s">
        <v>28</v>
      </c>
      <c r="P531" t="s">
        <v>28</v>
      </c>
      <c r="Q531" t="s">
        <v>49</v>
      </c>
      <c r="R531" t="s">
        <v>163</v>
      </c>
      <c r="S531">
        <v>114</v>
      </c>
      <c r="T531" t="s">
        <v>167</v>
      </c>
      <c r="U531">
        <v>20231116</v>
      </c>
      <c r="V531">
        <v>7</v>
      </c>
      <c r="W531">
        <v>5</v>
      </c>
      <c r="X531" t="s">
        <v>160</v>
      </c>
    </row>
    <row r="532" spans="1:24" x14ac:dyDescent="0.2">
      <c r="A532" t="str">
        <f t="shared" si="24"/>
        <v>sample_miseq-16S-F-E03-L5_SICap-P22-E3-MouseStool-Feces-mouse-20231116-114-Yellow-1</v>
      </c>
      <c r="B532" s="1" t="s">
        <v>704</v>
      </c>
      <c r="C532" s="3" t="s">
        <v>1280</v>
      </c>
      <c r="D532" s="3" t="s">
        <v>1327</v>
      </c>
      <c r="E532" t="s">
        <v>20</v>
      </c>
      <c r="F532" t="s">
        <v>161</v>
      </c>
      <c r="G532" t="s">
        <v>93</v>
      </c>
      <c r="H532" t="str">
        <f t="shared" si="25"/>
        <v>03</v>
      </c>
      <c r="I532" t="str">
        <f t="shared" si="26"/>
        <v>E</v>
      </c>
      <c r="J532" t="s">
        <v>162</v>
      </c>
      <c r="K532" t="s">
        <v>28</v>
      </c>
      <c r="L532" t="s">
        <v>28</v>
      </c>
      <c r="M532" t="s">
        <v>28</v>
      </c>
      <c r="N532" t="s">
        <v>28</v>
      </c>
      <c r="O532" t="s">
        <v>28</v>
      </c>
      <c r="P532" t="s">
        <v>28</v>
      </c>
      <c r="Q532" t="s">
        <v>49</v>
      </c>
      <c r="R532" t="s">
        <v>163</v>
      </c>
      <c r="S532">
        <v>114</v>
      </c>
      <c r="T532" t="s">
        <v>168</v>
      </c>
      <c r="U532">
        <v>20231116</v>
      </c>
      <c r="V532">
        <v>7</v>
      </c>
      <c r="W532">
        <v>5</v>
      </c>
      <c r="X532" t="s">
        <v>160</v>
      </c>
    </row>
    <row r="533" spans="1:24" x14ac:dyDescent="0.2">
      <c r="A533" t="str">
        <f t="shared" si="24"/>
        <v>sample_miseq-16S-F-E04-L5_SICap-P22-E4-MouseStool-Feces-mouse-20231116-114-Green-1</v>
      </c>
      <c r="B533" s="1" t="s">
        <v>705</v>
      </c>
      <c r="C533" s="3" t="s">
        <v>1281</v>
      </c>
      <c r="D533" s="3" t="s">
        <v>1327</v>
      </c>
      <c r="E533" t="s">
        <v>20</v>
      </c>
      <c r="F533" t="s">
        <v>161</v>
      </c>
      <c r="G533" t="s">
        <v>94</v>
      </c>
      <c r="H533" t="str">
        <f t="shared" si="25"/>
        <v>04</v>
      </c>
      <c r="I533" t="str">
        <f t="shared" si="26"/>
        <v>E</v>
      </c>
      <c r="J533" t="s">
        <v>162</v>
      </c>
      <c r="K533" t="s">
        <v>28</v>
      </c>
      <c r="L533" t="s">
        <v>28</v>
      </c>
      <c r="M533" t="s">
        <v>28</v>
      </c>
      <c r="N533" t="s">
        <v>28</v>
      </c>
      <c r="O533" t="s">
        <v>28</v>
      </c>
      <c r="P533" t="s">
        <v>28</v>
      </c>
      <c r="Q533" t="s">
        <v>49</v>
      </c>
      <c r="R533" t="s">
        <v>163</v>
      </c>
      <c r="S533">
        <v>114</v>
      </c>
      <c r="T533" t="s">
        <v>169</v>
      </c>
      <c r="U533">
        <v>20231116</v>
      </c>
      <c r="V533">
        <v>7</v>
      </c>
      <c r="W533">
        <v>5</v>
      </c>
      <c r="X533" t="s">
        <v>160</v>
      </c>
    </row>
    <row r="534" spans="1:24" x14ac:dyDescent="0.2">
      <c r="A534" t="str">
        <f t="shared" si="24"/>
        <v>sample_miseq-16S-F-E05-L5_SICap-P22-E5-MouseStool-Feces-mouse-20231116-113-Blue-3</v>
      </c>
      <c r="B534" s="1" t="s">
        <v>706</v>
      </c>
      <c r="C534" s="3" t="s">
        <v>1282</v>
      </c>
      <c r="D534" s="3" t="s">
        <v>1327</v>
      </c>
      <c r="E534" t="s">
        <v>20</v>
      </c>
      <c r="F534" t="s">
        <v>161</v>
      </c>
      <c r="G534" t="s">
        <v>95</v>
      </c>
      <c r="H534" t="str">
        <f t="shared" si="25"/>
        <v>05</v>
      </c>
      <c r="I534" t="str">
        <f t="shared" si="26"/>
        <v>E</v>
      </c>
      <c r="J534" t="s">
        <v>162</v>
      </c>
      <c r="K534" t="s">
        <v>28</v>
      </c>
      <c r="L534" t="s">
        <v>28</v>
      </c>
      <c r="M534" t="s">
        <v>28</v>
      </c>
      <c r="N534" t="s">
        <v>28</v>
      </c>
      <c r="O534" t="s">
        <v>28</v>
      </c>
      <c r="P534" t="s">
        <v>28</v>
      </c>
      <c r="Q534" t="s">
        <v>170</v>
      </c>
      <c r="R534" t="s">
        <v>163</v>
      </c>
      <c r="S534">
        <v>113</v>
      </c>
      <c r="T534" t="s">
        <v>164</v>
      </c>
      <c r="U534">
        <v>20231116</v>
      </c>
      <c r="V534">
        <v>7</v>
      </c>
      <c r="W534">
        <v>5</v>
      </c>
      <c r="X534" t="s">
        <v>160</v>
      </c>
    </row>
    <row r="535" spans="1:24" x14ac:dyDescent="0.2">
      <c r="A535" t="str">
        <f t="shared" si="24"/>
        <v>sample_miseq-16S-F-E06-L5_SICap-P22-E6-MouseStool-Feces-mouse-20231116-113-Clear-3</v>
      </c>
      <c r="B535" s="1" t="s">
        <v>707</v>
      </c>
      <c r="C535" s="3" t="s">
        <v>1283</v>
      </c>
      <c r="D535" s="3" t="s">
        <v>1327</v>
      </c>
      <c r="E535" t="s">
        <v>20</v>
      </c>
      <c r="F535" t="s">
        <v>161</v>
      </c>
      <c r="G535" t="s">
        <v>96</v>
      </c>
      <c r="H535" t="str">
        <f t="shared" si="25"/>
        <v>06</v>
      </c>
      <c r="I535" t="str">
        <f t="shared" si="26"/>
        <v>E</v>
      </c>
      <c r="J535" t="s">
        <v>162</v>
      </c>
      <c r="K535" t="s">
        <v>28</v>
      </c>
      <c r="L535" t="s">
        <v>28</v>
      </c>
      <c r="M535" t="s">
        <v>28</v>
      </c>
      <c r="N535" t="s">
        <v>28</v>
      </c>
      <c r="O535" t="s">
        <v>28</v>
      </c>
      <c r="P535" t="s">
        <v>28</v>
      </c>
      <c r="Q535" t="s">
        <v>170</v>
      </c>
      <c r="R535" t="s">
        <v>163</v>
      </c>
      <c r="S535">
        <v>113</v>
      </c>
      <c r="T535" t="s">
        <v>166</v>
      </c>
      <c r="U535">
        <v>20231116</v>
      </c>
      <c r="V535">
        <v>7</v>
      </c>
      <c r="W535">
        <v>5</v>
      </c>
      <c r="X535" t="s">
        <v>160</v>
      </c>
    </row>
    <row r="536" spans="1:24" x14ac:dyDescent="0.2">
      <c r="A536" t="str">
        <f t="shared" si="24"/>
        <v>sample_miseq-16S-F-E07-L5_SICap-P22-E7-MouseStool-Feces-mouse-20231116-113-Purple-1</v>
      </c>
      <c r="B536" s="1" t="s">
        <v>708</v>
      </c>
      <c r="C536" s="3" t="s">
        <v>1284</v>
      </c>
      <c r="D536" s="3" t="s">
        <v>1327</v>
      </c>
      <c r="E536" t="s">
        <v>20</v>
      </c>
      <c r="F536" t="s">
        <v>161</v>
      </c>
      <c r="G536" t="s">
        <v>97</v>
      </c>
      <c r="H536" t="str">
        <f t="shared" si="25"/>
        <v>07</v>
      </c>
      <c r="I536" t="str">
        <f t="shared" si="26"/>
        <v>E</v>
      </c>
      <c r="J536" t="s">
        <v>162</v>
      </c>
      <c r="K536" t="s">
        <v>28</v>
      </c>
      <c r="L536" t="s">
        <v>28</v>
      </c>
      <c r="M536" t="s">
        <v>28</v>
      </c>
      <c r="N536" t="s">
        <v>28</v>
      </c>
      <c r="O536" t="s">
        <v>28</v>
      </c>
      <c r="P536" t="s">
        <v>28</v>
      </c>
      <c r="Q536" t="s">
        <v>170</v>
      </c>
      <c r="R536" t="s">
        <v>163</v>
      </c>
      <c r="S536">
        <v>113</v>
      </c>
      <c r="T536" t="s">
        <v>167</v>
      </c>
      <c r="U536">
        <v>20231116</v>
      </c>
      <c r="V536">
        <v>7</v>
      </c>
      <c r="W536">
        <v>5</v>
      </c>
      <c r="X536" t="s">
        <v>160</v>
      </c>
    </row>
    <row r="537" spans="1:24" x14ac:dyDescent="0.2">
      <c r="A537" t="str">
        <f t="shared" si="24"/>
        <v>sample_miseq-16S-F-E08-L5_SICap-P22-E8-MouseStool-Feces-mouse-20231116-113-Yellow-1</v>
      </c>
      <c r="B537" s="1" t="s">
        <v>709</v>
      </c>
      <c r="C537" s="3" t="s">
        <v>1285</v>
      </c>
      <c r="D537" s="3" t="s">
        <v>1327</v>
      </c>
      <c r="E537" t="s">
        <v>20</v>
      </c>
      <c r="F537" t="s">
        <v>161</v>
      </c>
      <c r="G537" t="s">
        <v>98</v>
      </c>
      <c r="H537" t="str">
        <f t="shared" si="25"/>
        <v>08</v>
      </c>
      <c r="I537" t="str">
        <f t="shared" si="26"/>
        <v>E</v>
      </c>
      <c r="J537" t="s">
        <v>162</v>
      </c>
      <c r="K537" t="s">
        <v>28</v>
      </c>
      <c r="L537" t="s">
        <v>28</v>
      </c>
      <c r="M537" t="s">
        <v>28</v>
      </c>
      <c r="N537" t="s">
        <v>28</v>
      </c>
      <c r="O537" t="s">
        <v>28</v>
      </c>
      <c r="P537" t="s">
        <v>28</v>
      </c>
      <c r="Q537" t="s">
        <v>170</v>
      </c>
      <c r="R537" t="s">
        <v>163</v>
      </c>
      <c r="S537">
        <v>113</v>
      </c>
      <c r="T537" t="s">
        <v>168</v>
      </c>
      <c r="U537">
        <v>20231116</v>
      </c>
      <c r="V537">
        <v>7</v>
      </c>
      <c r="W537">
        <v>5</v>
      </c>
      <c r="X537" t="s">
        <v>160</v>
      </c>
    </row>
    <row r="538" spans="1:24" x14ac:dyDescent="0.2">
      <c r="A538" t="str">
        <f t="shared" si="24"/>
        <v>sample_miseq-16S-F-E09-L5_SICap-P22-E9-MouseStool-Feces-mouse-20231116-113-Green-1</v>
      </c>
      <c r="B538" s="1" t="s">
        <v>710</v>
      </c>
      <c r="C538" s="3" t="s">
        <v>1286</v>
      </c>
      <c r="D538" s="3" t="s">
        <v>1327</v>
      </c>
      <c r="E538" t="s">
        <v>20</v>
      </c>
      <c r="F538" t="s">
        <v>161</v>
      </c>
      <c r="G538" t="s">
        <v>99</v>
      </c>
      <c r="H538" t="str">
        <f t="shared" si="25"/>
        <v>09</v>
      </c>
      <c r="I538" t="str">
        <f t="shared" si="26"/>
        <v>E</v>
      </c>
      <c r="J538" t="s">
        <v>162</v>
      </c>
      <c r="K538" t="s">
        <v>28</v>
      </c>
      <c r="L538" t="s">
        <v>28</v>
      </c>
      <c r="M538" t="s">
        <v>28</v>
      </c>
      <c r="N538" t="s">
        <v>28</v>
      </c>
      <c r="O538" t="s">
        <v>28</v>
      </c>
      <c r="P538" t="s">
        <v>28</v>
      </c>
      <c r="Q538" t="s">
        <v>170</v>
      </c>
      <c r="R538" t="s">
        <v>163</v>
      </c>
      <c r="S538">
        <v>113</v>
      </c>
      <c r="T538" t="s">
        <v>169</v>
      </c>
      <c r="U538">
        <v>20231116</v>
      </c>
      <c r="V538">
        <v>7</v>
      </c>
      <c r="W538">
        <v>5</v>
      </c>
      <c r="X538" t="s">
        <v>160</v>
      </c>
    </row>
    <row r="539" spans="1:24" x14ac:dyDescent="0.2">
      <c r="A539" t="str">
        <f t="shared" si="24"/>
        <v>sample_miseq-16S-F-E10-L5_SICap-P22-E10-MouseStool-Feces-mouse-20231128-111-Blue-3</v>
      </c>
      <c r="B539" s="1" t="s">
        <v>711</v>
      </c>
      <c r="C539" s="3" t="s">
        <v>1287</v>
      </c>
      <c r="D539" s="3" t="s">
        <v>1327</v>
      </c>
      <c r="E539" t="s">
        <v>20</v>
      </c>
      <c r="F539" t="s">
        <v>161</v>
      </c>
      <c r="G539" t="s">
        <v>100</v>
      </c>
      <c r="H539" t="str">
        <f t="shared" si="25"/>
        <v>10</v>
      </c>
      <c r="I539" t="str">
        <f t="shared" si="26"/>
        <v>E</v>
      </c>
      <c r="J539" t="s">
        <v>162</v>
      </c>
      <c r="K539" t="s">
        <v>28</v>
      </c>
      <c r="L539" t="s">
        <v>28</v>
      </c>
      <c r="M539" t="s">
        <v>28</v>
      </c>
      <c r="N539" t="s">
        <v>28</v>
      </c>
      <c r="O539" t="s">
        <v>28</v>
      </c>
      <c r="P539" t="s">
        <v>28</v>
      </c>
      <c r="Q539" t="s">
        <v>47</v>
      </c>
      <c r="R539" t="s">
        <v>163</v>
      </c>
      <c r="S539">
        <v>111</v>
      </c>
      <c r="T539" t="s">
        <v>164</v>
      </c>
      <c r="U539">
        <v>20231128</v>
      </c>
      <c r="V539">
        <v>19</v>
      </c>
      <c r="W539">
        <v>5</v>
      </c>
      <c r="X539" t="s">
        <v>160</v>
      </c>
    </row>
    <row r="540" spans="1:24" x14ac:dyDescent="0.2">
      <c r="A540" t="str">
        <f t="shared" si="24"/>
        <v>sample_miseq-16S-F-E11-L5_SICap-P22-E11-MouseStool-Feces-mouse-20231128-114-Blue-3</v>
      </c>
      <c r="B540" s="1" t="s">
        <v>712</v>
      </c>
      <c r="C540" s="3" t="s">
        <v>1288</v>
      </c>
      <c r="D540" s="3" t="s">
        <v>1327</v>
      </c>
      <c r="E540" t="s">
        <v>20</v>
      </c>
      <c r="F540" t="s">
        <v>161</v>
      </c>
      <c r="G540" t="s">
        <v>101</v>
      </c>
      <c r="H540" t="str">
        <f t="shared" si="25"/>
        <v>11</v>
      </c>
      <c r="I540" t="str">
        <f t="shared" si="26"/>
        <v>E</v>
      </c>
      <c r="J540" t="s">
        <v>162</v>
      </c>
      <c r="K540" t="s">
        <v>28</v>
      </c>
      <c r="L540" t="s">
        <v>28</v>
      </c>
      <c r="M540" t="s">
        <v>28</v>
      </c>
      <c r="N540" t="s">
        <v>28</v>
      </c>
      <c r="O540" t="s">
        <v>28</v>
      </c>
      <c r="P540" t="s">
        <v>28</v>
      </c>
      <c r="Q540" t="s">
        <v>49</v>
      </c>
      <c r="R540" t="s">
        <v>163</v>
      </c>
      <c r="S540">
        <v>114</v>
      </c>
      <c r="T540" t="s">
        <v>164</v>
      </c>
      <c r="U540">
        <v>20231128</v>
      </c>
      <c r="V540">
        <v>19</v>
      </c>
      <c r="W540">
        <v>5</v>
      </c>
      <c r="X540" t="s">
        <v>160</v>
      </c>
    </row>
    <row r="541" spans="1:24" x14ac:dyDescent="0.2">
      <c r="A541" t="str">
        <f t="shared" si="24"/>
        <v>sample_miseq-16S-F-E12-L5_SICap-P22-E12-MouseStool-Feces-mouse-20231128-114-Orange-3</v>
      </c>
      <c r="B541" s="1" t="s">
        <v>713</v>
      </c>
      <c r="C541" s="3" t="s">
        <v>1289</v>
      </c>
      <c r="D541" s="3" t="s">
        <v>1327</v>
      </c>
      <c r="E541" t="s">
        <v>20</v>
      </c>
      <c r="F541" t="s">
        <v>161</v>
      </c>
      <c r="G541" t="s">
        <v>102</v>
      </c>
      <c r="H541" t="str">
        <f t="shared" si="25"/>
        <v>12</v>
      </c>
      <c r="I541" t="str">
        <f t="shared" si="26"/>
        <v>E</v>
      </c>
      <c r="J541" t="s">
        <v>162</v>
      </c>
      <c r="K541" t="s">
        <v>28</v>
      </c>
      <c r="L541" t="s">
        <v>28</v>
      </c>
      <c r="M541" t="s">
        <v>28</v>
      </c>
      <c r="N541" t="s">
        <v>28</v>
      </c>
      <c r="O541" t="s">
        <v>28</v>
      </c>
      <c r="P541" t="s">
        <v>28</v>
      </c>
      <c r="Q541" t="s">
        <v>49</v>
      </c>
      <c r="R541" t="s">
        <v>163</v>
      </c>
      <c r="S541">
        <v>114</v>
      </c>
      <c r="T541" t="s">
        <v>165</v>
      </c>
      <c r="U541">
        <v>20231128</v>
      </c>
      <c r="V541">
        <v>19</v>
      </c>
      <c r="W541">
        <v>5</v>
      </c>
      <c r="X541" t="s">
        <v>160</v>
      </c>
    </row>
    <row r="542" spans="1:24" x14ac:dyDescent="0.2">
      <c r="A542" t="str">
        <f t="shared" si="24"/>
        <v>sample_miseq-16S-F-F01-L5_SICap-P22-F1-MouseStool-Feces-mouse-20231128-114-Clear-3</v>
      </c>
      <c r="B542" s="1" t="s">
        <v>714</v>
      </c>
      <c r="C542" s="3" t="s">
        <v>1290</v>
      </c>
      <c r="D542" s="3" t="s">
        <v>1327</v>
      </c>
      <c r="E542" t="s">
        <v>20</v>
      </c>
      <c r="F542" t="s">
        <v>161</v>
      </c>
      <c r="G542" t="s">
        <v>103</v>
      </c>
      <c r="H542" t="str">
        <f t="shared" si="25"/>
        <v>01</v>
      </c>
      <c r="I542" t="str">
        <f t="shared" si="26"/>
        <v>F</v>
      </c>
      <c r="J542" t="s">
        <v>162</v>
      </c>
      <c r="K542" t="s">
        <v>28</v>
      </c>
      <c r="L542" t="s">
        <v>28</v>
      </c>
      <c r="M542" t="s">
        <v>28</v>
      </c>
      <c r="N542" t="s">
        <v>28</v>
      </c>
      <c r="O542" t="s">
        <v>28</v>
      </c>
      <c r="P542" t="s">
        <v>28</v>
      </c>
      <c r="Q542" t="s">
        <v>49</v>
      </c>
      <c r="R542" t="s">
        <v>163</v>
      </c>
      <c r="S542">
        <v>114</v>
      </c>
      <c r="T542" t="s">
        <v>166</v>
      </c>
      <c r="U542">
        <v>20231128</v>
      </c>
      <c r="V542">
        <v>19</v>
      </c>
      <c r="W542">
        <v>5</v>
      </c>
      <c r="X542" t="s">
        <v>160</v>
      </c>
    </row>
    <row r="543" spans="1:24" x14ac:dyDescent="0.2">
      <c r="A543" t="str">
        <f t="shared" si="24"/>
        <v>sample_miseq-16S-F-F02-L5_SICap-P22-F2-MouseStool-Feces-mouse-20231128-114-Purple-1</v>
      </c>
      <c r="B543" s="1" t="s">
        <v>715</v>
      </c>
      <c r="C543" s="3" t="s">
        <v>1291</v>
      </c>
      <c r="D543" s="3" t="s">
        <v>1327</v>
      </c>
      <c r="E543" t="s">
        <v>20</v>
      </c>
      <c r="F543" t="s">
        <v>161</v>
      </c>
      <c r="G543" t="s">
        <v>105</v>
      </c>
      <c r="H543" t="str">
        <f t="shared" si="25"/>
        <v>02</v>
      </c>
      <c r="I543" t="str">
        <f t="shared" si="26"/>
        <v>F</v>
      </c>
      <c r="J543" t="s">
        <v>162</v>
      </c>
      <c r="K543" t="s">
        <v>28</v>
      </c>
      <c r="L543" t="s">
        <v>28</v>
      </c>
      <c r="M543" t="s">
        <v>28</v>
      </c>
      <c r="N543" t="s">
        <v>28</v>
      </c>
      <c r="O543" t="s">
        <v>28</v>
      </c>
      <c r="P543" t="s">
        <v>28</v>
      </c>
      <c r="Q543" t="s">
        <v>49</v>
      </c>
      <c r="R543" t="s">
        <v>163</v>
      </c>
      <c r="S543">
        <v>114</v>
      </c>
      <c r="T543" t="s">
        <v>167</v>
      </c>
      <c r="U543">
        <v>20231128</v>
      </c>
      <c r="V543">
        <v>19</v>
      </c>
      <c r="W543">
        <v>5</v>
      </c>
      <c r="X543" t="s">
        <v>160</v>
      </c>
    </row>
    <row r="544" spans="1:24" x14ac:dyDescent="0.2">
      <c r="A544" t="str">
        <f t="shared" si="24"/>
        <v>sample_miseq-16S-F-F03-L5_SICap-P22-F3-MouseStool-Feces-mouse-20231128-114-Yellow-1</v>
      </c>
      <c r="B544" s="1" t="s">
        <v>716</v>
      </c>
      <c r="C544" s="3" t="s">
        <v>1292</v>
      </c>
      <c r="D544" s="3" t="s">
        <v>1327</v>
      </c>
      <c r="E544" t="s">
        <v>20</v>
      </c>
      <c r="F544" t="s">
        <v>161</v>
      </c>
      <c r="G544" t="s">
        <v>106</v>
      </c>
      <c r="H544" t="str">
        <f t="shared" si="25"/>
        <v>03</v>
      </c>
      <c r="I544" t="str">
        <f t="shared" si="26"/>
        <v>F</v>
      </c>
      <c r="J544" t="s">
        <v>162</v>
      </c>
      <c r="K544" t="s">
        <v>28</v>
      </c>
      <c r="L544" t="s">
        <v>28</v>
      </c>
      <c r="M544" t="s">
        <v>28</v>
      </c>
      <c r="N544" t="s">
        <v>28</v>
      </c>
      <c r="O544" t="s">
        <v>28</v>
      </c>
      <c r="P544" t="s">
        <v>28</v>
      </c>
      <c r="Q544" t="s">
        <v>49</v>
      </c>
      <c r="R544" t="s">
        <v>163</v>
      </c>
      <c r="S544">
        <v>114</v>
      </c>
      <c r="T544" t="s">
        <v>168</v>
      </c>
      <c r="U544">
        <v>20231128</v>
      </c>
      <c r="V544">
        <v>19</v>
      </c>
      <c r="W544">
        <v>5</v>
      </c>
      <c r="X544" t="s">
        <v>160</v>
      </c>
    </row>
    <row r="545" spans="1:24" x14ac:dyDescent="0.2">
      <c r="A545" t="str">
        <f t="shared" si="24"/>
        <v>sample_miseq-16S-F-F04-L5_SICap-P22-F4-MouseStool-Feces-mouse-20231128-114-Green-1</v>
      </c>
      <c r="B545" s="1" t="s">
        <v>717</v>
      </c>
      <c r="C545" s="3" t="s">
        <v>1293</v>
      </c>
      <c r="D545" s="3" t="s">
        <v>1327</v>
      </c>
      <c r="E545" t="s">
        <v>20</v>
      </c>
      <c r="F545" t="s">
        <v>161</v>
      </c>
      <c r="G545" t="s">
        <v>107</v>
      </c>
      <c r="H545" t="str">
        <f t="shared" si="25"/>
        <v>04</v>
      </c>
      <c r="I545" t="str">
        <f t="shared" si="26"/>
        <v>F</v>
      </c>
      <c r="J545" t="s">
        <v>162</v>
      </c>
      <c r="K545" t="s">
        <v>28</v>
      </c>
      <c r="L545" t="s">
        <v>28</v>
      </c>
      <c r="M545" t="s">
        <v>28</v>
      </c>
      <c r="N545" t="s">
        <v>28</v>
      </c>
      <c r="O545" t="s">
        <v>28</v>
      </c>
      <c r="P545" t="s">
        <v>28</v>
      </c>
      <c r="Q545" t="s">
        <v>49</v>
      </c>
      <c r="R545" t="s">
        <v>163</v>
      </c>
      <c r="S545">
        <v>114</v>
      </c>
      <c r="T545" t="s">
        <v>169</v>
      </c>
      <c r="U545">
        <v>20231128</v>
      </c>
      <c r="V545">
        <v>19</v>
      </c>
      <c r="W545">
        <v>5</v>
      </c>
      <c r="X545" t="s">
        <v>160</v>
      </c>
    </row>
    <row r="546" spans="1:24" x14ac:dyDescent="0.2">
      <c r="A546" t="str">
        <f t="shared" si="24"/>
        <v>sample_miseq-16S-F-F05-L5_SICap-P22-F5-MouseStool-Feces-mouse-20231128-113-Clear-3</v>
      </c>
      <c r="B546" s="1" t="s">
        <v>718</v>
      </c>
      <c r="C546" s="3" t="s">
        <v>1294</v>
      </c>
      <c r="D546" s="3" t="s">
        <v>1327</v>
      </c>
      <c r="E546" t="s">
        <v>20</v>
      </c>
      <c r="F546" t="s">
        <v>161</v>
      </c>
      <c r="G546" t="s">
        <v>108</v>
      </c>
      <c r="H546" t="str">
        <f t="shared" si="25"/>
        <v>05</v>
      </c>
      <c r="I546" t="str">
        <f t="shared" si="26"/>
        <v>F</v>
      </c>
      <c r="J546" t="s">
        <v>162</v>
      </c>
      <c r="K546" t="s">
        <v>28</v>
      </c>
      <c r="L546" t="s">
        <v>28</v>
      </c>
      <c r="M546" t="s">
        <v>28</v>
      </c>
      <c r="N546" t="s">
        <v>28</v>
      </c>
      <c r="O546" t="s">
        <v>28</v>
      </c>
      <c r="P546" t="s">
        <v>28</v>
      </c>
      <c r="Q546" t="s">
        <v>170</v>
      </c>
      <c r="R546" t="s">
        <v>163</v>
      </c>
      <c r="S546">
        <v>113</v>
      </c>
      <c r="T546" t="s">
        <v>166</v>
      </c>
      <c r="U546">
        <v>20231128</v>
      </c>
      <c r="V546">
        <v>19</v>
      </c>
      <c r="W546">
        <v>5</v>
      </c>
      <c r="X546" t="s">
        <v>160</v>
      </c>
    </row>
    <row r="547" spans="1:24" x14ac:dyDescent="0.2">
      <c r="A547" t="str">
        <f t="shared" si="24"/>
        <v>sample_miseq-16S-F-F06-L5_SICap-P22-F6-MouseStool-Feces-mouse-20231128-113-Purple-1</v>
      </c>
      <c r="B547" s="1" t="s">
        <v>719</v>
      </c>
      <c r="C547" s="3" t="s">
        <v>1295</v>
      </c>
      <c r="D547" s="3" t="s">
        <v>1327</v>
      </c>
      <c r="E547" t="s">
        <v>20</v>
      </c>
      <c r="F547" t="s">
        <v>161</v>
      </c>
      <c r="G547" t="s">
        <v>109</v>
      </c>
      <c r="H547" t="str">
        <f t="shared" si="25"/>
        <v>06</v>
      </c>
      <c r="I547" t="str">
        <f t="shared" si="26"/>
        <v>F</v>
      </c>
      <c r="J547" t="s">
        <v>162</v>
      </c>
      <c r="K547" t="s">
        <v>28</v>
      </c>
      <c r="L547" t="s">
        <v>28</v>
      </c>
      <c r="M547" t="s">
        <v>28</v>
      </c>
      <c r="N547" t="s">
        <v>28</v>
      </c>
      <c r="O547" t="s">
        <v>28</v>
      </c>
      <c r="P547" t="s">
        <v>28</v>
      </c>
      <c r="Q547" t="s">
        <v>170</v>
      </c>
      <c r="R547" t="s">
        <v>163</v>
      </c>
      <c r="S547">
        <v>113</v>
      </c>
      <c r="T547" t="s">
        <v>167</v>
      </c>
      <c r="U547">
        <v>20231128</v>
      </c>
      <c r="V547">
        <v>19</v>
      </c>
      <c r="W547">
        <v>5</v>
      </c>
      <c r="X547" t="s">
        <v>160</v>
      </c>
    </row>
    <row r="548" spans="1:24" x14ac:dyDescent="0.2">
      <c r="A548" t="str">
        <f t="shared" si="24"/>
        <v>sample_miseq-16S-F-F07-L5_SICap-P22-F7-MouseStool-Feces-mouse-20231204-111-Blue-3</v>
      </c>
      <c r="B548" s="1" t="s">
        <v>720</v>
      </c>
      <c r="C548" s="3" t="s">
        <v>1296</v>
      </c>
      <c r="D548" s="3" t="s">
        <v>1327</v>
      </c>
      <c r="E548" t="s">
        <v>20</v>
      </c>
      <c r="F548" t="s">
        <v>161</v>
      </c>
      <c r="G548" t="s">
        <v>110</v>
      </c>
      <c r="H548" t="str">
        <f t="shared" si="25"/>
        <v>07</v>
      </c>
      <c r="I548" t="str">
        <f t="shared" si="26"/>
        <v>F</v>
      </c>
      <c r="J548" t="s">
        <v>162</v>
      </c>
      <c r="K548" t="s">
        <v>28</v>
      </c>
      <c r="L548" t="s">
        <v>28</v>
      </c>
      <c r="M548" t="s">
        <v>28</v>
      </c>
      <c r="N548" t="s">
        <v>28</v>
      </c>
      <c r="O548" t="s">
        <v>28</v>
      </c>
      <c r="P548" t="s">
        <v>28</v>
      </c>
      <c r="Q548" t="s">
        <v>47</v>
      </c>
      <c r="R548" t="s">
        <v>163</v>
      </c>
      <c r="S548">
        <v>111</v>
      </c>
      <c r="T548" t="s">
        <v>164</v>
      </c>
      <c r="U548">
        <v>20231204</v>
      </c>
      <c r="V548">
        <v>25</v>
      </c>
      <c r="W548">
        <v>5</v>
      </c>
      <c r="X548" t="s">
        <v>160</v>
      </c>
    </row>
    <row r="549" spans="1:24" x14ac:dyDescent="0.2">
      <c r="A549" t="str">
        <f t="shared" si="24"/>
        <v>sample_miseq-16S-F-F08-L5_SICap-P22-F8-MouseStool-Feces-mouse-20231204-114-Blue-3</v>
      </c>
      <c r="B549" s="1" t="s">
        <v>721</v>
      </c>
      <c r="C549" s="3" t="s">
        <v>1297</v>
      </c>
      <c r="D549" s="3" t="s">
        <v>1327</v>
      </c>
      <c r="E549" t="s">
        <v>20</v>
      </c>
      <c r="F549" t="s">
        <v>161</v>
      </c>
      <c r="G549" t="s">
        <v>111</v>
      </c>
      <c r="H549" t="str">
        <f t="shared" si="25"/>
        <v>08</v>
      </c>
      <c r="I549" t="str">
        <f t="shared" si="26"/>
        <v>F</v>
      </c>
      <c r="J549" t="s">
        <v>162</v>
      </c>
      <c r="K549" t="s">
        <v>28</v>
      </c>
      <c r="L549" t="s">
        <v>28</v>
      </c>
      <c r="M549" t="s">
        <v>28</v>
      </c>
      <c r="N549" t="s">
        <v>28</v>
      </c>
      <c r="O549" t="s">
        <v>28</v>
      </c>
      <c r="P549" t="s">
        <v>28</v>
      </c>
      <c r="Q549" t="s">
        <v>49</v>
      </c>
      <c r="R549" t="s">
        <v>163</v>
      </c>
      <c r="S549">
        <v>114</v>
      </c>
      <c r="T549" t="s">
        <v>164</v>
      </c>
      <c r="U549">
        <v>20231204</v>
      </c>
      <c r="V549">
        <v>25</v>
      </c>
      <c r="W549">
        <v>5</v>
      </c>
      <c r="X549" t="s">
        <v>160</v>
      </c>
    </row>
    <row r="550" spans="1:24" x14ac:dyDescent="0.2">
      <c r="A550" t="str">
        <f t="shared" si="24"/>
        <v>sample_miseq-16S-F-F09-L5_SICap-P22-F9-MouseStool-Feces-mouse-20231204-114-Orange-3</v>
      </c>
      <c r="B550" s="1" t="s">
        <v>722</v>
      </c>
      <c r="C550" s="3" t="s">
        <v>1298</v>
      </c>
      <c r="D550" s="3" t="s">
        <v>1327</v>
      </c>
      <c r="E550" t="s">
        <v>20</v>
      </c>
      <c r="F550" t="s">
        <v>161</v>
      </c>
      <c r="G550" t="s">
        <v>112</v>
      </c>
      <c r="H550" t="str">
        <f t="shared" si="25"/>
        <v>09</v>
      </c>
      <c r="I550" t="str">
        <f t="shared" si="26"/>
        <v>F</v>
      </c>
      <c r="J550" t="s">
        <v>162</v>
      </c>
      <c r="K550" t="s">
        <v>28</v>
      </c>
      <c r="L550" t="s">
        <v>28</v>
      </c>
      <c r="M550" t="s">
        <v>28</v>
      </c>
      <c r="N550" t="s">
        <v>28</v>
      </c>
      <c r="O550" t="s">
        <v>28</v>
      </c>
      <c r="P550" t="s">
        <v>28</v>
      </c>
      <c r="Q550" t="s">
        <v>49</v>
      </c>
      <c r="R550" t="s">
        <v>163</v>
      </c>
      <c r="S550">
        <v>114</v>
      </c>
      <c r="T550" t="s">
        <v>165</v>
      </c>
      <c r="U550">
        <v>20231204</v>
      </c>
      <c r="V550">
        <v>25</v>
      </c>
      <c r="W550">
        <v>5</v>
      </c>
      <c r="X550" t="s">
        <v>160</v>
      </c>
    </row>
    <row r="551" spans="1:24" x14ac:dyDescent="0.2">
      <c r="A551" t="str">
        <f t="shared" si="24"/>
        <v>sample_miseq-16S-F-F10-L5_SICap-P22-F10-MouseStool-Feces-mouse-20231204-114-Clear-3</v>
      </c>
      <c r="B551" s="1" t="s">
        <v>723</v>
      </c>
      <c r="C551" s="3" t="s">
        <v>1299</v>
      </c>
      <c r="D551" s="3" t="s">
        <v>1327</v>
      </c>
      <c r="E551" t="s">
        <v>20</v>
      </c>
      <c r="F551" t="s">
        <v>161</v>
      </c>
      <c r="G551" t="s">
        <v>113</v>
      </c>
      <c r="H551" t="str">
        <f t="shared" si="25"/>
        <v>10</v>
      </c>
      <c r="I551" t="str">
        <f t="shared" si="26"/>
        <v>F</v>
      </c>
      <c r="J551" t="s">
        <v>162</v>
      </c>
      <c r="K551" t="s">
        <v>28</v>
      </c>
      <c r="L551" t="s">
        <v>28</v>
      </c>
      <c r="M551" t="s">
        <v>28</v>
      </c>
      <c r="N551" t="s">
        <v>28</v>
      </c>
      <c r="O551" t="s">
        <v>28</v>
      </c>
      <c r="P551" t="s">
        <v>28</v>
      </c>
      <c r="Q551" t="s">
        <v>49</v>
      </c>
      <c r="R551" t="s">
        <v>163</v>
      </c>
      <c r="S551">
        <v>114</v>
      </c>
      <c r="T551" t="s">
        <v>166</v>
      </c>
      <c r="U551">
        <v>20231204</v>
      </c>
      <c r="V551">
        <v>25</v>
      </c>
      <c r="W551">
        <v>5</v>
      </c>
      <c r="X551" t="s">
        <v>160</v>
      </c>
    </row>
    <row r="552" spans="1:24" x14ac:dyDescent="0.2">
      <c r="A552" t="str">
        <f t="shared" si="24"/>
        <v>sample_miseq-16S-F-F11-L5_SICap-P22-F11-MouseStool-Feces-mouse-20231204-114-Purple-1</v>
      </c>
      <c r="B552" s="1" t="s">
        <v>724</v>
      </c>
      <c r="C552" s="3" t="s">
        <v>1300</v>
      </c>
      <c r="D552" s="3" t="s">
        <v>1327</v>
      </c>
      <c r="E552" t="s">
        <v>20</v>
      </c>
      <c r="F552" t="s">
        <v>161</v>
      </c>
      <c r="G552" t="s">
        <v>114</v>
      </c>
      <c r="H552" t="str">
        <f t="shared" si="25"/>
        <v>11</v>
      </c>
      <c r="I552" t="str">
        <f t="shared" si="26"/>
        <v>F</v>
      </c>
      <c r="J552" t="s">
        <v>162</v>
      </c>
      <c r="K552" t="s">
        <v>28</v>
      </c>
      <c r="L552" t="s">
        <v>28</v>
      </c>
      <c r="M552" t="s">
        <v>28</v>
      </c>
      <c r="N552" t="s">
        <v>28</v>
      </c>
      <c r="O552" t="s">
        <v>28</v>
      </c>
      <c r="P552" t="s">
        <v>28</v>
      </c>
      <c r="Q552" t="s">
        <v>49</v>
      </c>
      <c r="R552" t="s">
        <v>163</v>
      </c>
      <c r="S552">
        <v>114</v>
      </c>
      <c r="T552" t="s">
        <v>167</v>
      </c>
      <c r="U552">
        <v>20231204</v>
      </c>
      <c r="V552">
        <v>25</v>
      </c>
      <c r="W552">
        <v>5</v>
      </c>
      <c r="X552" t="s">
        <v>160</v>
      </c>
    </row>
    <row r="553" spans="1:24" x14ac:dyDescent="0.2">
      <c r="A553" t="str">
        <f t="shared" si="24"/>
        <v>sample_miseq-16S-F-F12-L5_SICap-P22-F12-MouseStool-Feces-mouse-20231204-114-Yellow-1</v>
      </c>
      <c r="B553" s="1" t="s">
        <v>725</v>
      </c>
      <c r="C553" s="3" t="s">
        <v>1301</v>
      </c>
      <c r="D553" s="3" t="s">
        <v>1327</v>
      </c>
      <c r="E553" t="s">
        <v>20</v>
      </c>
      <c r="F553" t="s">
        <v>161</v>
      </c>
      <c r="G553" t="s">
        <v>115</v>
      </c>
      <c r="H553" t="str">
        <f t="shared" si="25"/>
        <v>12</v>
      </c>
      <c r="I553" t="str">
        <f t="shared" si="26"/>
        <v>F</v>
      </c>
      <c r="J553" t="s">
        <v>162</v>
      </c>
      <c r="K553" t="s">
        <v>28</v>
      </c>
      <c r="L553" t="s">
        <v>28</v>
      </c>
      <c r="M553" t="s">
        <v>28</v>
      </c>
      <c r="N553" t="s">
        <v>28</v>
      </c>
      <c r="O553" t="s">
        <v>28</v>
      </c>
      <c r="P553" t="s">
        <v>28</v>
      </c>
      <c r="Q553" t="s">
        <v>49</v>
      </c>
      <c r="R553" t="s">
        <v>163</v>
      </c>
      <c r="S553">
        <v>114</v>
      </c>
      <c r="T553" t="s">
        <v>168</v>
      </c>
      <c r="U553">
        <v>20231204</v>
      </c>
      <c r="V553">
        <v>25</v>
      </c>
      <c r="W553">
        <v>5</v>
      </c>
      <c r="X553" t="s">
        <v>160</v>
      </c>
    </row>
    <row r="554" spans="1:24" x14ac:dyDescent="0.2">
      <c r="A554" t="str">
        <f t="shared" si="24"/>
        <v>sample_miseq-16S-F-G01-L5_SICap-P22-G1-MouseStool-Feces-mouse-20231204-114-Green-1</v>
      </c>
      <c r="B554" s="1" t="s">
        <v>726</v>
      </c>
      <c r="C554" s="3" t="s">
        <v>1302</v>
      </c>
      <c r="D554" s="3" t="s">
        <v>1327</v>
      </c>
      <c r="E554" t="s">
        <v>20</v>
      </c>
      <c r="F554" t="s">
        <v>161</v>
      </c>
      <c r="G554" t="s">
        <v>116</v>
      </c>
      <c r="H554" t="str">
        <f t="shared" si="25"/>
        <v>01</v>
      </c>
      <c r="I554" t="str">
        <f t="shared" si="26"/>
        <v>G</v>
      </c>
      <c r="J554" t="s">
        <v>162</v>
      </c>
      <c r="K554" t="s">
        <v>28</v>
      </c>
      <c r="L554" t="s">
        <v>28</v>
      </c>
      <c r="M554" t="s">
        <v>28</v>
      </c>
      <c r="N554" t="s">
        <v>28</v>
      </c>
      <c r="O554" t="s">
        <v>28</v>
      </c>
      <c r="P554" t="s">
        <v>28</v>
      </c>
      <c r="Q554" t="s">
        <v>49</v>
      </c>
      <c r="R554" t="s">
        <v>163</v>
      </c>
      <c r="S554">
        <v>114</v>
      </c>
      <c r="T554" t="s">
        <v>169</v>
      </c>
      <c r="U554">
        <v>20231204</v>
      </c>
      <c r="V554">
        <v>25</v>
      </c>
      <c r="W554">
        <v>5</v>
      </c>
      <c r="X554" t="s">
        <v>160</v>
      </c>
    </row>
    <row r="555" spans="1:24" x14ac:dyDescent="0.2">
      <c r="A555" t="str">
        <f t="shared" si="24"/>
        <v>sample_miseq-16S-F-G02-L5_SICap-P22-G2-MouseStool-Feces-mouse-20231204-113-Clear-3</v>
      </c>
      <c r="B555" s="1" t="s">
        <v>727</v>
      </c>
      <c r="C555" s="3" t="s">
        <v>1303</v>
      </c>
      <c r="D555" s="3" t="s">
        <v>1327</v>
      </c>
      <c r="E555" t="s">
        <v>20</v>
      </c>
      <c r="F555" t="s">
        <v>161</v>
      </c>
      <c r="G555" t="s">
        <v>118</v>
      </c>
      <c r="H555" t="str">
        <f t="shared" si="25"/>
        <v>02</v>
      </c>
      <c r="I555" t="str">
        <f t="shared" si="26"/>
        <v>G</v>
      </c>
      <c r="J555" t="s">
        <v>162</v>
      </c>
      <c r="K555" t="s">
        <v>28</v>
      </c>
      <c r="L555" t="s">
        <v>28</v>
      </c>
      <c r="M555" t="s">
        <v>28</v>
      </c>
      <c r="N555" t="s">
        <v>28</v>
      </c>
      <c r="O555" t="s">
        <v>28</v>
      </c>
      <c r="P555" t="s">
        <v>28</v>
      </c>
      <c r="Q555" t="s">
        <v>170</v>
      </c>
      <c r="R555" t="s">
        <v>163</v>
      </c>
      <c r="S555">
        <v>113</v>
      </c>
      <c r="T555" t="s">
        <v>166</v>
      </c>
      <c r="U555">
        <v>20231204</v>
      </c>
      <c r="V555">
        <v>25</v>
      </c>
      <c r="W555">
        <v>5</v>
      </c>
      <c r="X555" t="s">
        <v>160</v>
      </c>
    </row>
    <row r="556" spans="1:24" x14ac:dyDescent="0.2">
      <c r="A556" t="str">
        <f t="shared" si="24"/>
        <v>sample_miseq-16S-F-G03-L5_SICap-P22-G3-MouseStool-Feces-mouse-20231204-113-Purple-1</v>
      </c>
      <c r="B556" s="1" t="s">
        <v>728</v>
      </c>
      <c r="C556" s="3" t="s">
        <v>1304</v>
      </c>
      <c r="D556" s="3" t="s">
        <v>1327</v>
      </c>
      <c r="E556" t="s">
        <v>20</v>
      </c>
      <c r="F556" t="s">
        <v>161</v>
      </c>
      <c r="G556" t="s">
        <v>119</v>
      </c>
      <c r="H556" t="str">
        <f t="shared" si="25"/>
        <v>03</v>
      </c>
      <c r="I556" t="str">
        <f t="shared" si="26"/>
        <v>G</v>
      </c>
      <c r="J556" t="s">
        <v>162</v>
      </c>
      <c r="K556" t="s">
        <v>28</v>
      </c>
      <c r="L556" t="s">
        <v>28</v>
      </c>
      <c r="M556" t="s">
        <v>28</v>
      </c>
      <c r="N556" t="s">
        <v>28</v>
      </c>
      <c r="O556" t="s">
        <v>28</v>
      </c>
      <c r="P556" t="s">
        <v>28</v>
      </c>
      <c r="Q556" t="s">
        <v>170</v>
      </c>
      <c r="R556" t="s">
        <v>163</v>
      </c>
      <c r="S556">
        <v>113</v>
      </c>
      <c r="T556" t="s">
        <v>167</v>
      </c>
      <c r="U556">
        <v>20231204</v>
      </c>
      <c r="V556">
        <v>25</v>
      </c>
      <c r="W556">
        <v>5</v>
      </c>
      <c r="X556" t="s">
        <v>160</v>
      </c>
    </row>
    <row r="557" spans="1:24" x14ac:dyDescent="0.2">
      <c r="A557" t="str">
        <f t="shared" si="24"/>
        <v>sample_miseq-16S-F-G04-L5_SICap-P22-G4-MouseStool-Feces-mouse-20231208-111-Blue-3</v>
      </c>
      <c r="B557" s="1" t="s">
        <v>729</v>
      </c>
      <c r="C557" s="3" t="s">
        <v>1305</v>
      </c>
      <c r="D557" s="3" t="s">
        <v>1327</v>
      </c>
      <c r="E557" t="s">
        <v>20</v>
      </c>
      <c r="F557" t="s">
        <v>161</v>
      </c>
      <c r="G557" t="s">
        <v>120</v>
      </c>
      <c r="H557" t="str">
        <f t="shared" si="25"/>
        <v>04</v>
      </c>
      <c r="I557" t="str">
        <f t="shared" si="26"/>
        <v>G</v>
      </c>
      <c r="J557" t="s">
        <v>162</v>
      </c>
      <c r="K557" t="s">
        <v>28</v>
      </c>
      <c r="L557" t="s">
        <v>28</v>
      </c>
      <c r="M557" t="s">
        <v>28</v>
      </c>
      <c r="N557" t="s">
        <v>28</v>
      </c>
      <c r="O557" t="s">
        <v>28</v>
      </c>
      <c r="P557" t="s">
        <v>28</v>
      </c>
      <c r="Q557" t="s">
        <v>47</v>
      </c>
      <c r="R557" t="s">
        <v>163</v>
      </c>
      <c r="S557">
        <v>111</v>
      </c>
      <c r="T557" t="s">
        <v>164</v>
      </c>
      <c r="U557">
        <v>20231208</v>
      </c>
      <c r="V557">
        <v>29</v>
      </c>
      <c r="W557">
        <v>5</v>
      </c>
      <c r="X557" t="s">
        <v>160</v>
      </c>
    </row>
    <row r="558" spans="1:24" x14ac:dyDescent="0.2">
      <c r="A558" t="str">
        <f t="shared" si="24"/>
        <v>sample_miseq-16S-F-G05-L5_SICap-P22-G5-MouseStool-Feces-mouse-20231208-114-Blue-3</v>
      </c>
      <c r="B558" s="1" t="s">
        <v>730</v>
      </c>
      <c r="C558" s="3" t="s">
        <v>1306</v>
      </c>
      <c r="D558" s="3" t="s">
        <v>1327</v>
      </c>
      <c r="E558" t="s">
        <v>20</v>
      </c>
      <c r="F558" t="s">
        <v>161</v>
      </c>
      <c r="G558" t="s">
        <v>121</v>
      </c>
      <c r="H558" t="str">
        <f t="shared" si="25"/>
        <v>05</v>
      </c>
      <c r="I558" t="str">
        <f t="shared" si="26"/>
        <v>G</v>
      </c>
      <c r="J558" t="s">
        <v>162</v>
      </c>
      <c r="K558" t="s">
        <v>28</v>
      </c>
      <c r="L558" t="s">
        <v>28</v>
      </c>
      <c r="M558" t="s">
        <v>28</v>
      </c>
      <c r="N558" t="s">
        <v>28</v>
      </c>
      <c r="O558" t="s">
        <v>28</v>
      </c>
      <c r="P558" t="s">
        <v>28</v>
      </c>
      <c r="Q558" t="s">
        <v>49</v>
      </c>
      <c r="R558" t="s">
        <v>163</v>
      </c>
      <c r="S558">
        <v>114</v>
      </c>
      <c r="T558" t="s">
        <v>164</v>
      </c>
      <c r="U558">
        <v>20231208</v>
      </c>
      <c r="V558">
        <v>29</v>
      </c>
      <c r="W558">
        <v>5</v>
      </c>
      <c r="X558" t="s">
        <v>160</v>
      </c>
    </row>
    <row r="559" spans="1:24" x14ac:dyDescent="0.2">
      <c r="A559" t="str">
        <f t="shared" si="24"/>
        <v>sample_miseq-16S-F-G06-L5_SICap-P22-G6-MouseStool-Feces-mouse-20231208-114-Orange-3</v>
      </c>
      <c r="B559" s="1" t="s">
        <v>731</v>
      </c>
      <c r="C559" s="3" t="s">
        <v>1307</v>
      </c>
      <c r="D559" s="3" t="s">
        <v>1327</v>
      </c>
      <c r="E559" t="s">
        <v>20</v>
      </c>
      <c r="F559" t="s">
        <v>161</v>
      </c>
      <c r="G559" t="s">
        <v>122</v>
      </c>
      <c r="H559" t="str">
        <f t="shared" si="25"/>
        <v>06</v>
      </c>
      <c r="I559" t="str">
        <f t="shared" si="26"/>
        <v>G</v>
      </c>
      <c r="J559" t="s">
        <v>162</v>
      </c>
      <c r="K559" t="s">
        <v>28</v>
      </c>
      <c r="L559" t="s">
        <v>28</v>
      </c>
      <c r="M559" t="s">
        <v>28</v>
      </c>
      <c r="N559" t="s">
        <v>28</v>
      </c>
      <c r="O559" t="s">
        <v>28</v>
      </c>
      <c r="P559" t="s">
        <v>28</v>
      </c>
      <c r="Q559" t="s">
        <v>49</v>
      </c>
      <c r="R559" t="s">
        <v>163</v>
      </c>
      <c r="S559">
        <v>114</v>
      </c>
      <c r="T559" t="s">
        <v>165</v>
      </c>
      <c r="U559">
        <v>20231208</v>
      </c>
      <c r="V559">
        <v>29</v>
      </c>
      <c r="W559">
        <v>5</v>
      </c>
      <c r="X559" t="s">
        <v>160</v>
      </c>
    </row>
    <row r="560" spans="1:24" x14ac:dyDescent="0.2">
      <c r="A560" t="str">
        <f t="shared" si="24"/>
        <v>sample_miseq-16S-F-G07-L5_SICap-P22-G7-MouseStool-Feces-mouse-20231208-114-Clear-3</v>
      </c>
      <c r="B560" s="1" t="s">
        <v>732</v>
      </c>
      <c r="C560" s="3" t="s">
        <v>1308</v>
      </c>
      <c r="D560" s="3" t="s">
        <v>1327</v>
      </c>
      <c r="E560" t="s">
        <v>20</v>
      </c>
      <c r="F560" t="s">
        <v>161</v>
      </c>
      <c r="G560" t="s">
        <v>123</v>
      </c>
      <c r="H560" t="str">
        <f t="shared" si="25"/>
        <v>07</v>
      </c>
      <c r="I560" t="str">
        <f t="shared" si="26"/>
        <v>G</v>
      </c>
      <c r="J560" t="s">
        <v>162</v>
      </c>
      <c r="K560" t="s">
        <v>28</v>
      </c>
      <c r="L560" t="s">
        <v>28</v>
      </c>
      <c r="M560" t="s">
        <v>28</v>
      </c>
      <c r="N560" t="s">
        <v>28</v>
      </c>
      <c r="O560" t="s">
        <v>28</v>
      </c>
      <c r="P560" t="s">
        <v>28</v>
      </c>
      <c r="Q560" t="s">
        <v>49</v>
      </c>
      <c r="R560" t="s">
        <v>163</v>
      </c>
      <c r="S560">
        <v>114</v>
      </c>
      <c r="T560" t="s">
        <v>166</v>
      </c>
      <c r="U560">
        <v>20231208</v>
      </c>
      <c r="V560">
        <v>29</v>
      </c>
      <c r="W560">
        <v>5</v>
      </c>
      <c r="X560" t="s">
        <v>160</v>
      </c>
    </row>
    <row r="561" spans="1:24" x14ac:dyDescent="0.2">
      <c r="A561" t="str">
        <f t="shared" si="24"/>
        <v>sample_miseq-16S-F-G08-L5_SICap-P22-G8-MouseStool-Feces-mouse-20231208-114-Purple-1</v>
      </c>
      <c r="B561" s="1" t="s">
        <v>733</v>
      </c>
      <c r="C561" s="3" t="s">
        <v>1309</v>
      </c>
      <c r="D561" s="3" t="s">
        <v>1327</v>
      </c>
      <c r="E561" t="s">
        <v>20</v>
      </c>
      <c r="F561" t="s">
        <v>161</v>
      </c>
      <c r="G561" t="s">
        <v>124</v>
      </c>
      <c r="H561" t="str">
        <f t="shared" si="25"/>
        <v>08</v>
      </c>
      <c r="I561" t="str">
        <f t="shared" si="26"/>
        <v>G</v>
      </c>
      <c r="J561" t="s">
        <v>162</v>
      </c>
      <c r="K561" t="s">
        <v>28</v>
      </c>
      <c r="L561" t="s">
        <v>28</v>
      </c>
      <c r="M561" t="s">
        <v>28</v>
      </c>
      <c r="N561" t="s">
        <v>28</v>
      </c>
      <c r="O561" t="s">
        <v>28</v>
      </c>
      <c r="P561" t="s">
        <v>28</v>
      </c>
      <c r="Q561" t="s">
        <v>49</v>
      </c>
      <c r="R561" t="s">
        <v>163</v>
      </c>
      <c r="S561">
        <v>114</v>
      </c>
      <c r="T561" t="s">
        <v>167</v>
      </c>
      <c r="U561">
        <v>20231208</v>
      </c>
      <c r="V561">
        <v>29</v>
      </c>
      <c r="W561">
        <v>5</v>
      </c>
      <c r="X561" t="s">
        <v>160</v>
      </c>
    </row>
    <row r="562" spans="1:24" x14ac:dyDescent="0.2">
      <c r="A562" t="str">
        <f t="shared" si="24"/>
        <v>sample_miseq-16S-F-G09-L5_SICap-P22-G9-MouseStool-Feces-mouse-20231208-114-Yellow-1</v>
      </c>
      <c r="B562" s="1" t="s">
        <v>734</v>
      </c>
      <c r="C562" s="3" t="s">
        <v>1310</v>
      </c>
      <c r="D562" s="3" t="s">
        <v>1327</v>
      </c>
      <c r="E562" t="s">
        <v>20</v>
      </c>
      <c r="F562" t="s">
        <v>161</v>
      </c>
      <c r="G562" t="s">
        <v>125</v>
      </c>
      <c r="H562" t="str">
        <f t="shared" si="25"/>
        <v>09</v>
      </c>
      <c r="I562" t="str">
        <f t="shared" si="26"/>
        <v>G</v>
      </c>
      <c r="J562" t="s">
        <v>162</v>
      </c>
      <c r="K562" t="s">
        <v>28</v>
      </c>
      <c r="L562" t="s">
        <v>28</v>
      </c>
      <c r="M562" t="s">
        <v>28</v>
      </c>
      <c r="N562" t="s">
        <v>28</v>
      </c>
      <c r="O562" t="s">
        <v>28</v>
      </c>
      <c r="P562" t="s">
        <v>28</v>
      </c>
      <c r="Q562" t="s">
        <v>49</v>
      </c>
      <c r="R562" t="s">
        <v>163</v>
      </c>
      <c r="S562">
        <v>114</v>
      </c>
      <c r="T562" t="s">
        <v>168</v>
      </c>
      <c r="U562">
        <v>20231208</v>
      </c>
      <c r="V562">
        <v>29</v>
      </c>
      <c r="W562">
        <v>5</v>
      </c>
      <c r="X562" t="s">
        <v>160</v>
      </c>
    </row>
    <row r="563" spans="1:24" x14ac:dyDescent="0.2">
      <c r="A563" t="str">
        <f t="shared" si="24"/>
        <v>sample_miseq-16S-F-G10-L5_SICap-P22-G10-MouseStool-Feces-mouse-20231208-114-Green-1</v>
      </c>
      <c r="B563" s="1" t="s">
        <v>735</v>
      </c>
      <c r="C563" s="3" t="s">
        <v>1311</v>
      </c>
      <c r="D563" s="3" t="s">
        <v>1327</v>
      </c>
      <c r="E563" t="s">
        <v>20</v>
      </c>
      <c r="F563" t="s">
        <v>161</v>
      </c>
      <c r="G563" t="s">
        <v>126</v>
      </c>
      <c r="H563" t="str">
        <f t="shared" si="25"/>
        <v>10</v>
      </c>
      <c r="I563" t="str">
        <f t="shared" si="26"/>
        <v>G</v>
      </c>
      <c r="J563" t="s">
        <v>162</v>
      </c>
      <c r="K563" t="s">
        <v>28</v>
      </c>
      <c r="L563" t="s">
        <v>28</v>
      </c>
      <c r="M563" t="s">
        <v>28</v>
      </c>
      <c r="N563" t="s">
        <v>28</v>
      </c>
      <c r="O563" t="s">
        <v>28</v>
      </c>
      <c r="P563" t="s">
        <v>28</v>
      </c>
      <c r="Q563" t="s">
        <v>49</v>
      </c>
      <c r="R563" t="s">
        <v>163</v>
      </c>
      <c r="S563">
        <v>114</v>
      </c>
      <c r="T563" t="s">
        <v>169</v>
      </c>
      <c r="U563">
        <v>20231208</v>
      </c>
      <c r="V563">
        <v>29</v>
      </c>
      <c r="W563">
        <v>5</v>
      </c>
      <c r="X563" t="s">
        <v>160</v>
      </c>
    </row>
    <row r="564" spans="1:24" x14ac:dyDescent="0.2">
      <c r="A564" t="str">
        <f t="shared" si="24"/>
        <v>sample_miseq-16S-F-G11-L5_SICap-P22-G11-MouseStool-Feces-mouse-20231208-113-Clear-3</v>
      </c>
      <c r="B564" s="1" t="s">
        <v>736</v>
      </c>
      <c r="C564" s="3" t="s">
        <v>1312</v>
      </c>
      <c r="D564" s="3" t="s">
        <v>1327</v>
      </c>
      <c r="E564" t="s">
        <v>20</v>
      </c>
      <c r="F564" t="s">
        <v>161</v>
      </c>
      <c r="G564" t="s">
        <v>127</v>
      </c>
      <c r="H564" t="str">
        <f t="shared" si="25"/>
        <v>11</v>
      </c>
      <c r="I564" t="str">
        <f t="shared" si="26"/>
        <v>G</v>
      </c>
      <c r="J564" t="s">
        <v>162</v>
      </c>
      <c r="K564" t="s">
        <v>28</v>
      </c>
      <c r="L564" t="s">
        <v>28</v>
      </c>
      <c r="M564" t="s">
        <v>28</v>
      </c>
      <c r="N564" t="s">
        <v>28</v>
      </c>
      <c r="O564" t="s">
        <v>28</v>
      </c>
      <c r="P564" t="s">
        <v>28</v>
      </c>
      <c r="Q564" t="s">
        <v>170</v>
      </c>
      <c r="R564" t="s">
        <v>163</v>
      </c>
      <c r="S564">
        <v>113</v>
      </c>
      <c r="T564" t="s">
        <v>166</v>
      </c>
      <c r="U564">
        <v>20231208</v>
      </c>
      <c r="V564">
        <v>29</v>
      </c>
      <c r="W564">
        <v>5</v>
      </c>
      <c r="X564" t="s">
        <v>160</v>
      </c>
    </row>
    <row r="565" spans="1:24" x14ac:dyDescent="0.2">
      <c r="A565" t="str">
        <f t="shared" si="24"/>
        <v>sample_miseq-16S-F-G12-L5_SICap-P22-G12-MouseStool-Feces-mouse-20231208-113-Purple-1</v>
      </c>
      <c r="B565" s="1" t="s">
        <v>737</v>
      </c>
      <c r="C565" s="3" t="s">
        <v>1313</v>
      </c>
      <c r="D565" s="3" t="s">
        <v>1327</v>
      </c>
      <c r="E565" t="s">
        <v>20</v>
      </c>
      <c r="F565" t="s">
        <v>161</v>
      </c>
      <c r="G565" t="s">
        <v>128</v>
      </c>
      <c r="H565" t="str">
        <f t="shared" si="25"/>
        <v>12</v>
      </c>
      <c r="I565" t="str">
        <f t="shared" si="26"/>
        <v>G</v>
      </c>
      <c r="J565" t="s">
        <v>162</v>
      </c>
      <c r="K565" t="s">
        <v>28</v>
      </c>
      <c r="L565" t="s">
        <v>28</v>
      </c>
      <c r="M565" t="s">
        <v>28</v>
      </c>
      <c r="N565" t="s">
        <v>28</v>
      </c>
      <c r="O565" t="s">
        <v>28</v>
      </c>
      <c r="P565" t="s">
        <v>28</v>
      </c>
      <c r="Q565" t="s">
        <v>170</v>
      </c>
      <c r="R565" t="s">
        <v>163</v>
      </c>
      <c r="S565">
        <v>113</v>
      </c>
      <c r="T565" t="s">
        <v>167</v>
      </c>
      <c r="U565">
        <v>20231208</v>
      </c>
      <c r="V565">
        <v>29</v>
      </c>
      <c r="W565">
        <v>5</v>
      </c>
      <c r="X565" t="s">
        <v>160</v>
      </c>
    </row>
    <row r="566" spans="1:24" x14ac:dyDescent="0.2">
      <c r="A566" t="str">
        <f t="shared" si="24"/>
        <v>sample_miseq-16S-F-H01-L5_SICap-P22-H1-MouseStool-Cecum-mouse-20231208-111-Blue-3</v>
      </c>
      <c r="B566" s="1" t="s">
        <v>738</v>
      </c>
      <c r="C566" s="3" t="s">
        <v>1314</v>
      </c>
      <c r="D566" s="3" t="s">
        <v>1327</v>
      </c>
      <c r="E566" t="s">
        <v>20</v>
      </c>
      <c r="F566" t="s">
        <v>161</v>
      </c>
      <c r="G566" t="s">
        <v>129</v>
      </c>
      <c r="H566" t="str">
        <f t="shared" si="25"/>
        <v>01</v>
      </c>
      <c r="I566" t="str">
        <f t="shared" si="26"/>
        <v>H</v>
      </c>
      <c r="J566" t="s">
        <v>162</v>
      </c>
      <c r="K566" t="s">
        <v>28</v>
      </c>
      <c r="L566" t="s">
        <v>28</v>
      </c>
      <c r="M566" t="s">
        <v>28</v>
      </c>
      <c r="N566" t="s">
        <v>28</v>
      </c>
      <c r="O566" t="s">
        <v>28</v>
      </c>
      <c r="P566" t="s">
        <v>28</v>
      </c>
      <c r="Q566" t="s">
        <v>47</v>
      </c>
      <c r="R566" t="s">
        <v>171</v>
      </c>
      <c r="S566">
        <v>111</v>
      </c>
      <c r="T566" t="s">
        <v>164</v>
      </c>
      <c r="U566">
        <v>20231208</v>
      </c>
      <c r="V566">
        <v>29</v>
      </c>
      <c r="W566">
        <v>5</v>
      </c>
      <c r="X566" t="s">
        <v>160</v>
      </c>
    </row>
    <row r="567" spans="1:24" x14ac:dyDescent="0.2">
      <c r="A567" t="str">
        <f t="shared" si="24"/>
        <v>sample_miseq-16S-F-H02-L5_SICap-P22-H2-MouseStool-Cecum-mouse-20231208-114-Blue-3</v>
      </c>
      <c r="B567" s="1" t="s">
        <v>739</v>
      </c>
      <c r="C567" s="3" t="s">
        <v>1315</v>
      </c>
      <c r="D567" s="3" t="s">
        <v>1327</v>
      </c>
      <c r="E567" t="s">
        <v>20</v>
      </c>
      <c r="F567" t="s">
        <v>161</v>
      </c>
      <c r="G567" t="s">
        <v>131</v>
      </c>
      <c r="H567" t="str">
        <f t="shared" si="25"/>
        <v>02</v>
      </c>
      <c r="I567" t="str">
        <f t="shared" si="26"/>
        <v>H</v>
      </c>
      <c r="J567" t="s">
        <v>162</v>
      </c>
      <c r="K567" t="s">
        <v>28</v>
      </c>
      <c r="L567" t="s">
        <v>28</v>
      </c>
      <c r="M567" t="s">
        <v>28</v>
      </c>
      <c r="N567" t="s">
        <v>28</v>
      </c>
      <c r="O567" t="s">
        <v>28</v>
      </c>
      <c r="P567" t="s">
        <v>28</v>
      </c>
      <c r="Q567" t="s">
        <v>49</v>
      </c>
      <c r="R567" t="s">
        <v>171</v>
      </c>
      <c r="S567">
        <v>114</v>
      </c>
      <c r="T567" t="s">
        <v>164</v>
      </c>
      <c r="U567">
        <v>20231208</v>
      </c>
      <c r="V567">
        <v>29</v>
      </c>
      <c r="W567">
        <v>5</v>
      </c>
      <c r="X567" t="s">
        <v>160</v>
      </c>
    </row>
    <row r="568" spans="1:24" x14ac:dyDescent="0.2">
      <c r="A568" t="str">
        <f t="shared" si="24"/>
        <v>sample_miseq-16S-F-H03-L5_SICap-P22-H3-MouseStool-Cecum-mouse-20231208-114-Orange-3</v>
      </c>
      <c r="B568" s="1" t="s">
        <v>740</v>
      </c>
      <c r="C568" s="3" t="s">
        <v>1316</v>
      </c>
      <c r="D568" s="3" t="s">
        <v>1327</v>
      </c>
      <c r="E568" t="s">
        <v>20</v>
      </c>
      <c r="F568" t="s">
        <v>161</v>
      </c>
      <c r="G568" t="s">
        <v>132</v>
      </c>
      <c r="H568" t="str">
        <f t="shared" si="25"/>
        <v>03</v>
      </c>
      <c r="I568" t="str">
        <f t="shared" si="26"/>
        <v>H</v>
      </c>
      <c r="J568" t="s">
        <v>162</v>
      </c>
      <c r="K568" t="s">
        <v>28</v>
      </c>
      <c r="L568" t="s">
        <v>28</v>
      </c>
      <c r="M568" t="s">
        <v>28</v>
      </c>
      <c r="N568" t="s">
        <v>28</v>
      </c>
      <c r="O568" t="s">
        <v>28</v>
      </c>
      <c r="P568" t="s">
        <v>28</v>
      </c>
      <c r="Q568" t="s">
        <v>49</v>
      </c>
      <c r="R568" t="s">
        <v>171</v>
      </c>
      <c r="S568">
        <v>114</v>
      </c>
      <c r="T568" t="s">
        <v>165</v>
      </c>
      <c r="U568">
        <v>20231208</v>
      </c>
      <c r="V568">
        <v>29</v>
      </c>
      <c r="W568">
        <v>5</v>
      </c>
      <c r="X568" t="s">
        <v>160</v>
      </c>
    </row>
    <row r="569" spans="1:24" x14ac:dyDescent="0.2">
      <c r="A569" t="str">
        <f t="shared" si="24"/>
        <v>sample_miseq-16S-F-H04-L5_SICap-P22-H4-MouseStool-Cecum-mouse-20231208-114-Clear-3</v>
      </c>
      <c r="B569" s="1" t="s">
        <v>741</v>
      </c>
      <c r="C569" s="3" t="s">
        <v>1317</v>
      </c>
      <c r="D569" s="3" t="s">
        <v>1327</v>
      </c>
      <c r="E569" t="s">
        <v>20</v>
      </c>
      <c r="F569" t="s">
        <v>161</v>
      </c>
      <c r="G569" t="s">
        <v>133</v>
      </c>
      <c r="H569" t="str">
        <f t="shared" si="25"/>
        <v>04</v>
      </c>
      <c r="I569" t="str">
        <f t="shared" si="26"/>
        <v>H</v>
      </c>
      <c r="J569" t="s">
        <v>162</v>
      </c>
      <c r="K569" t="s">
        <v>28</v>
      </c>
      <c r="L569" t="s">
        <v>28</v>
      </c>
      <c r="M569" t="s">
        <v>28</v>
      </c>
      <c r="N569" t="s">
        <v>28</v>
      </c>
      <c r="O569" t="s">
        <v>28</v>
      </c>
      <c r="P569" t="s">
        <v>28</v>
      </c>
      <c r="Q569" t="s">
        <v>49</v>
      </c>
      <c r="R569" t="s">
        <v>171</v>
      </c>
      <c r="S569">
        <v>114</v>
      </c>
      <c r="T569" t="s">
        <v>166</v>
      </c>
      <c r="U569">
        <v>20231208</v>
      </c>
      <c r="V569">
        <v>29</v>
      </c>
      <c r="W569">
        <v>5</v>
      </c>
      <c r="X569" t="s">
        <v>160</v>
      </c>
    </row>
    <row r="570" spans="1:24" x14ac:dyDescent="0.2">
      <c r="A570" t="str">
        <f t="shared" si="24"/>
        <v>sample_miseq-16S-F-H05-L5_SICap-P22-H5-MouseStool-Cecum-mouse-20231208-114-Purple-1</v>
      </c>
      <c r="B570" s="1" t="s">
        <v>742</v>
      </c>
      <c r="C570" s="3" t="s">
        <v>1318</v>
      </c>
      <c r="D570" s="3" t="s">
        <v>1327</v>
      </c>
      <c r="E570" t="s">
        <v>20</v>
      </c>
      <c r="F570" t="s">
        <v>161</v>
      </c>
      <c r="G570" t="s">
        <v>134</v>
      </c>
      <c r="H570" t="str">
        <f t="shared" si="25"/>
        <v>05</v>
      </c>
      <c r="I570" t="str">
        <f t="shared" si="26"/>
        <v>H</v>
      </c>
      <c r="J570" t="s">
        <v>162</v>
      </c>
      <c r="K570" t="s">
        <v>28</v>
      </c>
      <c r="L570" t="s">
        <v>28</v>
      </c>
      <c r="M570" t="s">
        <v>28</v>
      </c>
      <c r="N570" t="s">
        <v>28</v>
      </c>
      <c r="O570" t="s">
        <v>28</v>
      </c>
      <c r="P570" t="s">
        <v>28</v>
      </c>
      <c r="Q570" t="s">
        <v>49</v>
      </c>
      <c r="R570" t="s">
        <v>171</v>
      </c>
      <c r="S570">
        <v>114</v>
      </c>
      <c r="T570" t="s">
        <v>167</v>
      </c>
      <c r="U570">
        <v>20231208</v>
      </c>
      <c r="V570">
        <v>29</v>
      </c>
      <c r="W570">
        <v>5</v>
      </c>
      <c r="X570" t="s">
        <v>160</v>
      </c>
    </row>
    <row r="571" spans="1:24" x14ac:dyDescent="0.2">
      <c r="A571" t="str">
        <f t="shared" si="24"/>
        <v>sample_miseq-16S-F-H06-L5_SICap-P22-H6-MouseStool-Cecum-mouse-20231208-114-Yellow-1</v>
      </c>
      <c r="B571" s="1" t="s">
        <v>743</v>
      </c>
      <c r="C571" s="3" t="s">
        <v>1319</v>
      </c>
      <c r="D571" s="3" t="s">
        <v>1327</v>
      </c>
      <c r="E571" t="s">
        <v>20</v>
      </c>
      <c r="F571" t="s">
        <v>161</v>
      </c>
      <c r="G571" t="s">
        <v>135</v>
      </c>
      <c r="H571" t="str">
        <f t="shared" si="25"/>
        <v>06</v>
      </c>
      <c r="I571" t="str">
        <f t="shared" si="26"/>
        <v>H</v>
      </c>
      <c r="J571" t="s">
        <v>162</v>
      </c>
      <c r="K571" t="s">
        <v>28</v>
      </c>
      <c r="L571" t="s">
        <v>28</v>
      </c>
      <c r="M571" t="s">
        <v>28</v>
      </c>
      <c r="N571" t="s">
        <v>28</v>
      </c>
      <c r="O571" t="s">
        <v>28</v>
      </c>
      <c r="P571" t="s">
        <v>28</v>
      </c>
      <c r="Q571" t="s">
        <v>49</v>
      </c>
      <c r="R571" t="s">
        <v>171</v>
      </c>
      <c r="S571">
        <v>114</v>
      </c>
      <c r="T571" t="s">
        <v>168</v>
      </c>
      <c r="U571">
        <v>20231208</v>
      </c>
      <c r="V571">
        <v>29</v>
      </c>
      <c r="W571">
        <v>5</v>
      </c>
      <c r="X571" t="s">
        <v>160</v>
      </c>
    </row>
    <row r="572" spans="1:24" x14ac:dyDescent="0.2">
      <c r="A572" t="str">
        <f t="shared" si="24"/>
        <v>sample_miseq-16S-F-H07-L5_SICap-P22-H7-MouseStool-Cecum-mouse-20231208-114-Green-1</v>
      </c>
      <c r="B572" s="1" t="s">
        <v>744</v>
      </c>
      <c r="C572" s="3" t="s">
        <v>1320</v>
      </c>
      <c r="D572" s="3" t="s">
        <v>1327</v>
      </c>
      <c r="E572" t="s">
        <v>20</v>
      </c>
      <c r="F572" t="s">
        <v>161</v>
      </c>
      <c r="G572" t="s">
        <v>136</v>
      </c>
      <c r="H572" t="str">
        <f t="shared" si="25"/>
        <v>07</v>
      </c>
      <c r="I572" t="str">
        <f t="shared" si="26"/>
        <v>H</v>
      </c>
      <c r="J572" t="s">
        <v>162</v>
      </c>
      <c r="K572" t="s">
        <v>28</v>
      </c>
      <c r="L572" t="s">
        <v>28</v>
      </c>
      <c r="M572" t="s">
        <v>28</v>
      </c>
      <c r="N572" t="s">
        <v>28</v>
      </c>
      <c r="O572" t="s">
        <v>28</v>
      </c>
      <c r="P572" t="s">
        <v>28</v>
      </c>
      <c r="Q572" t="s">
        <v>49</v>
      </c>
      <c r="R572" t="s">
        <v>171</v>
      </c>
      <c r="S572">
        <v>114</v>
      </c>
      <c r="T572" t="s">
        <v>169</v>
      </c>
      <c r="U572">
        <v>20231208</v>
      </c>
      <c r="V572">
        <v>29</v>
      </c>
      <c r="W572">
        <v>5</v>
      </c>
      <c r="X572" t="s">
        <v>160</v>
      </c>
    </row>
    <row r="573" spans="1:24" x14ac:dyDescent="0.2">
      <c r="A573" t="str">
        <f t="shared" si="24"/>
        <v>sample_miseq-16S-F-H08-L5_SICap-P22-H8-MouseStool-Cecum-mouse-20231208-113-Clear-3</v>
      </c>
      <c r="B573" s="1" t="s">
        <v>745</v>
      </c>
      <c r="C573" s="3" t="s">
        <v>1321</v>
      </c>
      <c r="D573" s="3" t="s">
        <v>1327</v>
      </c>
      <c r="E573" t="s">
        <v>20</v>
      </c>
      <c r="F573" t="s">
        <v>161</v>
      </c>
      <c r="G573" t="s">
        <v>137</v>
      </c>
      <c r="H573" t="str">
        <f t="shared" si="25"/>
        <v>08</v>
      </c>
      <c r="I573" t="str">
        <f t="shared" si="26"/>
        <v>H</v>
      </c>
      <c r="J573" t="s">
        <v>162</v>
      </c>
      <c r="K573" t="s">
        <v>28</v>
      </c>
      <c r="L573" t="s">
        <v>28</v>
      </c>
      <c r="M573" t="s">
        <v>28</v>
      </c>
      <c r="N573" t="s">
        <v>28</v>
      </c>
      <c r="O573" t="s">
        <v>28</v>
      </c>
      <c r="P573" t="s">
        <v>28</v>
      </c>
      <c r="Q573" t="s">
        <v>170</v>
      </c>
      <c r="R573" t="s">
        <v>171</v>
      </c>
      <c r="S573">
        <v>113</v>
      </c>
      <c r="T573" t="s">
        <v>166</v>
      </c>
      <c r="U573">
        <v>20231208</v>
      </c>
      <c r="V573">
        <v>29</v>
      </c>
      <c r="W573">
        <v>5</v>
      </c>
      <c r="X573" t="s">
        <v>160</v>
      </c>
    </row>
    <row r="574" spans="1:24" x14ac:dyDescent="0.2">
      <c r="A574" t="str">
        <f t="shared" si="24"/>
        <v>sample_miseq-16S-F-H09-L5_SICap-P22-H9-MouseStool-Cecum-mouse-20231208-113-Purple-1</v>
      </c>
      <c r="B574" s="1" t="s">
        <v>746</v>
      </c>
      <c r="C574" s="3" t="s">
        <v>1322</v>
      </c>
      <c r="D574" s="3" t="s">
        <v>1327</v>
      </c>
      <c r="E574" t="s">
        <v>20</v>
      </c>
      <c r="F574" t="s">
        <v>161</v>
      </c>
      <c r="G574" t="s">
        <v>138</v>
      </c>
      <c r="H574" t="str">
        <f t="shared" si="25"/>
        <v>09</v>
      </c>
      <c r="I574" t="str">
        <f t="shared" si="26"/>
        <v>H</v>
      </c>
      <c r="J574" t="s">
        <v>162</v>
      </c>
      <c r="K574" t="s">
        <v>28</v>
      </c>
      <c r="L574" t="s">
        <v>28</v>
      </c>
      <c r="M574" t="s">
        <v>28</v>
      </c>
      <c r="N574" t="s">
        <v>28</v>
      </c>
      <c r="O574" t="s">
        <v>28</v>
      </c>
      <c r="P574" t="s">
        <v>28</v>
      </c>
      <c r="Q574" t="s">
        <v>170</v>
      </c>
      <c r="R574" t="s">
        <v>171</v>
      </c>
      <c r="S574">
        <v>113</v>
      </c>
      <c r="T574" t="s">
        <v>167</v>
      </c>
      <c r="U574">
        <v>20231208</v>
      </c>
      <c r="V574">
        <v>29</v>
      </c>
      <c r="W574">
        <v>5</v>
      </c>
      <c r="X574" t="s">
        <v>160</v>
      </c>
    </row>
    <row r="575" spans="1:24" x14ac:dyDescent="0.2">
      <c r="A575" t="str">
        <f t="shared" si="24"/>
        <v>sample_miseq-16S-F-H10-L5_SICap-P22-H10-MouseStool-EmptyWell-1</v>
      </c>
      <c r="B575" s="1" t="s">
        <v>747</v>
      </c>
      <c r="C575" s="3" t="s">
        <v>1323</v>
      </c>
      <c r="D575" s="3" t="s">
        <v>1327</v>
      </c>
      <c r="E575" t="s">
        <v>20</v>
      </c>
      <c r="F575" t="s">
        <v>161</v>
      </c>
      <c r="G575" t="s">
        <v>139</v>
      </c>
      <c r="H575" t="str">
        <f t="shared" si="25"/>
        <v>10</v>
      </c>
      <c r="I575" t="str">
        <f t="shared" si="26"/>
        <v>H</v>
      </c>
      <c r="J575" t="s">
        <v>162</v>
      </c>
      <c r="K575" t="s">
        <v>28</v>
      </c>
      <c r="L575" t="s">
        <v>28</v>
      </c>
      <c r="M575" t="s">
        <v>28</v>
      </c>
      <c r="N575" t="s">
        <v>28</v>
      </c>
      <c r="O575" t="s">
        <v>28</v>
      </c>
      <c r="P575" t="s">
        <v>28</v>
      </c>
      <c r="Q575" t="s">
        <v>172</v>
      </c>
      <c r="R575" t="s">
        <v>172</v>
      </c>
      <c r="S575" t="s">
        <v>172</v>
      </c>
      <c r="T575" t="s">
        <v>172</v>
      </c>
      <c r="U575" t="s">
        <v>172</v>
      </c>
      <c r="V575" t="s">
        <v>28</v>
      </c>
      <c r="W575">
        <v>5</v>
      </c>
      <c r="X575" t="s">
        <v>160</v>
      </c>
    </row>
    <row r="576" spans="1:24" x14ac:dyDescent="0.2">
      <c r="A576" t="str">
        <f t="shared" si="24"/>
        <v>sample_miseq-16S-F-H11-L5_SICap-P22-H11-MouseStool-EmptyWell-2</v>
      </c>
      <c r="B576" s="1" t="s">
        <v>748</v>
      </c>
      <c r="C576" s="3" t="s">
        <v>1324</v>
      </c>
      <c r="D576" s="3" t="s">
        <v>1327</v>
      </c>
      <c r="E576" t="s">
        <v>20</v>
      </c>
      <c r="F576" t="s">
        <v>161</v>
      </c>
      <c r="G576" t="s">
        <v>140</v>
      </c>
      <c r="H576" t="str">
        <f t="shared" si="25"/>
        <v>11</v>
      </c>
      <c r="I576" t="str">
        <f t="shared" si="26"/>
        <v>H</v>
      </c>
      <c r="J576" t="s">
        <v>162</v>
      </c>
      <c r="K576" t="s">
        <v>28</v>
      </c>
      <c r="L576" t="s">
        <v>28</v>
      </c>
      <c r="M576" t="s">
        <v>28</v>
      </c>
      <c r="N576" t="s">
        <v>28</v>
      </c>
      <c r="O576" t="s">
        <v>28</v>
      </c>
      <c r="P576" t="s">
        <v>28</v>
      </c>
      <c r="Q576" t="s">
        <v>172</v>
      </c>
      <c r="R576" t="s">
        <v>172</v>
      </c>
      <c r="S576" t="s">
        <v>172</v>
      </c>
      <c r="T576" t="s">
        <v>172</v>
      </c>
      <c r="U576" t="s">
        <v>172</v>
      </c>
      <c r="V576" t="s">
        <v>28</v>
      </c>
      <c r="W576">
        <v>5</v>
      </c>
      <c r="X576" t="s">
        <v>160</v>
      </c>
    </row>
    <row r="577" spans="1:24" x14ac:dyDescent="0.2">
      <c r="A577" t="str">
        <f t="shared" si="24"/>
        <v>sample_miseq-16S-F-H12-L5_SICap-P22-H12-MouseStool-EmptyWell-3</v>
      </c>
      <c r="B577" s="1" t="s">
        <v>749</v>
      </c>
      <c r="C577" s="3" t="s">
        <v>1325</v>
      </c>
      <c r="D577" s="3" t="s">
        <v>1327</v>
      </c>
      <c r="E577" t="s">
        <v>20</v>
      </c>
      <c r="F577" t="s">
        <v>161</v>
      </c>
      <c r="G577" t="s">
        <v>141</v>
      </c>
      <c r="H577" t="str">
        <f t="shared" si="25"/>
        <v>12</v>
      </c>
      <c r="I577" t="str">
        <f t="shared" si="26"/>
        <v>H</v>
      </c>
      <c r="J577" t="s">
        <v>162</v>
      </c>
      <c r="K577" t="s">
        <v>28</v>
      </c>
      <c r="L577" t="s">
        <v>28</v>
      </c>
      <c r="M577" t="s">
        <v>28</v>
      </c>
      <c r="N577" t="s">
        <v>28</v>
      </c>
      <c r="O577" t="s">
        <v>28</v>
      </c>
      <c r="P577" t="s">
        <v>28</v>
      </c>
      <c r="Q577" t="s">
        <v>172</v>
      </c>
      <c r="R577" t="s">
        <v>172</v>
      </c>
      <c r="S577" t="s">
        <v>172</v>
      </c>
      <c r="T577" t="s">
        <v>172</v>
      </c>
      <c r="U577" t="s">
        <v>172</v>
      </c>
      <c r="V577" t="s">
        <v>28</v>
      </c>
      <c r="W577">
        <v>5</v>
      </c>
      <c r="X577" t="s">
        <v>160</v>
      </c>
    </row>
    <row r="578" spans="1:24" ht="15" customHeight="1" x14ac:dyDescent="0.2">
      <c r="A578" t="str">
        <f>_xlfn.CONCAT("sample_novaseq-",C578)</f>
        <v>sample_novaseq-16S-A-A01-L0_SICap-P1-A1-P1D2-M9-C1R1-noBile-rep1-day2</v>
      </c>
      <c r="B578" s="1" t="s">
        <v>174</v>
      </c>
      <c r="C578" s="3" t="s">
        <v>750</v>
      </c>
      <c r="D578" s="3" t="s">
        <v>1328</v>
      </c>
      <c r="E578" t="s">
        <v>20</v>
      </c>
      <c r="F578" t="s">
        <v>21</v>
      </c>
      <c r="G578" t="s">
        <v>22</v>
      </c>
      <c r="H578" t="str">
        <f t="shared" si="25"/>
        <v>01</v>
      </c>
      <c r="I578" t="str">
        <f t="shared" si="26"/>
        <v>A</v>
      </c>
      <c r="J578" t="s">
        <v>23</v>
      </c>
      <c r="K578" t="s">
        <v>24</v>
      </c>
      <c r="L578" t="s">
        <v>25</v>
      </c>
      <c r="M578" t="s">
        <v>26</v>
      </c>
      <c r="N578">
        <v>1</v>
      </c>
      <c r="O578">
        <v>2</v>
      </c>
      <c r="P578" t="s">
        <v>27</v>
      </c>
      <c r="Q578" t="s">
        <v>28</v>
      </c>
      <c r="R578" t="s">
        <v>28</v>
      </c>
      <c r="S578" t="s">
        <v>28</v>
      </c>
      <c r="T578" t="s">
        <v>28</v>
      </c>
      <c r="U578" t="s">
        <v>28</v>
      </c>
      <c r="V578" t="s">
        <v>28</v>
      </c>
      <c r="W578">
        <v>0</v>
      </c>
      <c r="X578" t="s">
        <v>29</v>
      </c>
    </row>
    <row r="579" spans="1:24" x14ac:dyDescent="0.2">
      <c r="A579" t="str">
        <f t="shared" ref="A579:A642" si="27">_xlfn.CONCAT("sample_novaseq-",C579)</f>
        <v>sample_novaseq-16S-A-A02-L0_SICap-P1-A2-P1D2-M9-C1R2-noBile-rep1-day2</v>
      </c>
      <c r="B579" s="1" t="s">
        <v>175</v>
      </c>
      <c r="C579" s="3" t="s">
        <v>751</v>
      </c>
      <c r="D579" s="3" t="s">
        <v>1328</v>
      </c>
      <c r="E579" t="s">
        <v>20</v>
      </c>
      <c r="F579" t="s">
        <v>21</v>
      </c>
      <c r="G579" t="s">
        <v>30</v>
      </c>
      <c r="H579" t="str">
        <f t="shared" ref="H579:H642" si="28">RIGHT(G579,2)</f>
        <v>02</v>
      </c>
      <c r="I579" t="str">
        <f t="shared" ref="I579:I642" si="29">LEFT(G579)</f>
        <v>A</v>
      </c>
      <c r="J579" t="s">
        <v>23</v>
      </c>
      <c r="K579" t="s">
        <v>24</v>
      </c>
      <c r="L579" t="s">
        <v>25</v>
      </c>
      <c r="M579" t="s">
        <v>31</v>
      </c>
      <c r="N579">
        <v>1</v>
      </c>
      <c r="O579">
        <v>2</v>
      </c>
      <c r="P579" t="s">
        <v>27</v>
      </c>
      <c r="Q579" t="s">
        <v>28</v>
      </c>
      <c r="R579" t="s">
        <v>28</v>
      </c>
      <c r="S579" t="s">
        <v>28</v>
      </c>
      <c r="T579" t="s">
        <v>28</v>
      </c>
      <c r="U579" t="s">
        <v>28</v>
      </c>
      <c r="V579" t="s">
        <v>28</v>
      </c>
      <c r="W579">
        <v>0</v>
      </c>
      <c r="X579" t="s">
        <v>29</v>
      </c>
    </row>
    <row r="580" spans="1:24" x14ac:dyDescent="0.2">
      <c r="A580" t="str">
        <f t="shared" si="27"/>
        <v>sample_novaseq-16S-A-A03-L0_SICap-P1-A3-P1D2-M9-C2R1-noBile-rep1-day2</v>
      </c>
      <c r="B580" s="1" t="s">
        <v>176</v>
      </c>
      <c r="C580" s="3" t="s">
        <v>752</v>
      </c>
      <c r="D580" s="3" t="s">
        <v>1328</v>
      </c>
      <c r="E580" t="s">
        <v>20</v>
      </c>
      <c r="F580" t="s">
        <v>21</v>
      </c>
      <c r="G580" t="s">
        <v>32</v>
      </c>
      <c r="H580" t="str">
        <f t="shared" si="28"/>
        <v>03</v>
      </c>
      <c r="I580" t="str">
        <f t="shared" si="29"/>
        <v>A</v>
      </c>
      <c r="J580" t="s">
        <v>23</v>
      </c>
      <c r="K580" t="s">
        <v>24</v>
      </c>
      <c r="L580" t="s">
        <v>25</v>
      </c>
      <c r="M580" t="s">
        <v>33</v>
      </c>
      <c r="N580">
        <v>1</v>
      </c>
      <c r="O580">
        <v>2</v>
      </c>
      <c r="P580" t="s">
        <v>27</v>
      </c>
      <c r="Q580" t="s">
        <v>28</v>
      </c>
      <c r="R580" t="s">
        <v>28</v>
      </c>
      <c r="S580" t="s">
        <v>28</v>
      </c>
      <c r="T580" t="s">
        <v>28</v>
      </c>
      <c r="U580" t="s">
        <v>28</v>
      </c>
      <c r="V580" t="s">
        <v>28</v>
      </c>
      <c r="W580">
        <v>0</v>
      </c>
      <c r="X580" t="s">
        <v>29</v>
      </c>
    </row>
    <row r="581" spans="1:24" x14ac:dyDescent="0.2">
      <c r="A581" t="str">
        <f t="shared" si="27"/>
        <v>sample_novaseq-16S-A-A04-L0_SICap-P1-A4-P1D2-M9-C2R2-noBile-rep1-day2</v>
      </c>
      <c r="B581" s="1" t="s">
        <v>177</v>
      </c>
      <c r="C581" s="3" t="s">
        <v>753</v>
      </c>
      <c r="D581" s="3" t="s">
        <v>1328</v>
      </c>
      <c r="E581" t="s">
        <v>20</v>
      </c>
      <c r="F581" t="s">
        <v>21</v>
      </c>
      <c r="G581" t="s">
        <v>34</v>
      </c>
      <c r="H581" t="str">
        <f t="shared" si="28"/>
        <v>04</v>
      </c>
      <c r="I581" t="str">
        <f t="shared" si="29"/>
        <v>A</v>
      </c>
      <c r="J581" t="s">
        <v>23</v>
      </c>
      <c r="K581" t="s">
        <v>24</v>
      </c>
      <c r="L581" t="s">
        <v>25</v>
      </c>
      <c r="M581" t="s">
        <v>35</v>
      </c>
      <c r="N581">
        <v>1</v>
      </c>
      <c r="O581">
        <v>2</v>
      </c>
      <c r="P581" t="s">
        <v>27</v>
      </c>
      <c r="Q581" t="s">
        <v>28</v>
      </c>
      <c r="R581" t="s">
        <v>28</v>
      </c>
      <c r="S581" t="s">
        <v>28</v>
      </c>
      <c r="T581" t="s">
        <v>28</v>
      </c>
      <c r="U581" t="s">
        <v>28</v>
      </c>
      <c r="V581" t="s">
        <v>28</v>
      </c>
      <c r="W581">
        <v>0</v>
      </c>
      <c r="X581" t="s">
        <v>29</v>
      </c>
    </row>
    <row r="582" spans="1:24" x14ac:dyDescent="0.2">
      <c r="A582" t="str">
        <f t="shared" si="27"/>
        <v>sample_novaseq-16S-A-A05-L0_SICap-P1-A5-P1D2-M9-C3R1-noBile-rep1-day2</v>
      </c>
      <c r="B582" s="1" t="s">
        <v>178</v>
      </c>
      <c r="C582" s="3" t="s">
        <v>754</v>
      </c>
      <c r="D582" s="3" t="s">
        <v>1328</v>
      </c>
      <c r="E582" t="s">
        <v>20</v>
      </c>
      <c r="F582" t="s">
        <v>21</v>
      </c>
      <c r="G582" t="s">
        <v>36</v>
      </c>
      <c r="H582" t="str">
        <f t="shared" si="28"/>
        <v>05</v>
      </c>
      <c r="I582" t="str">
        <f t="shared" si="29"/>
        <v>A</v>
      </c>
      <c r="J582" t="s">
        <v>23</v>
      </c>
      <c r="K582" t="s">
        <v>24</v>
      </c>
      <c r="L582" t="s">
        <v>25</v>
      </c>
      <c r="M582" t="s">
        <v>37</v>
      </c>
      <c r="N582">
        <v>1</v>
      </c>
      <c r="O582">
        <v>2</v>
      </c>
      <c r="P582" t="s">
        <v>27</v>
      </c>
      <c r="Q582" t="s">
        <v>28</v>
      </c>
      <c r="R582" t="s">
        <v>28</v>
      </c>
      <c r="S582" t="s">
        <v>28</v>
      </c>
      <c r="T582" t="s">
        <v>28</v>
      </c>
      <c r="U582" t="s">
        <v>28</v>
      </c>
      <c r="V582" t="s">
        <v>28</v>
      </c>
      <c r="W582">
        <v>0</v>
      </c>
      <c r="X582" t="s">
        <v>29</v>
      </c>
    </row>
    <row r="583" spans="1:24" x14ac:dyDescent="0.2">
      <c r="A583" t="str">
        <f t="shared" si="27"/>
        <v>sample_novaseq-16S-A-A06-L0_SICap-P1-A6-P1D2-M9-C3R2-noBile-rep1-day2</v>
      </c>
      <c r="B583" s="1" t="s">
        <v>179</v>
      </c>
      <c r="C583" s="3" t="s">
        <v>755</v>
      </c>
      <c r="D583" s="3" t="s">
        <v>1328</v>
      </c>
      <c r="E583" t="s">
        <v>20</v>
      </c>
      <c r="F583" t="s">
        <v>21</v>
      </c>
      <c r="G583" t="s">
        <v>38</v>
      </c>
      <c r="H583" t="str">
        <f t="shared" si="28"/>
        <v>06</v>
      </c>
      <c r="I583" t="str">
        <f t="shared" si="29"/>
        <v>A</v>
      </c>
      <c r="J583" t="s">
        <v>23</v>
      </c>
      <c r="K583" t="s">
        <v>24</v>
      </c>
      <c r="L583" t="s">
        <v>25</v>
      </c>
      <c r="M583" t="s">
        <v>39</v>
      </c>
      <c r="N583">
        <v>1</v>
      </c>
      <c r="O583">
        <v>2</v>
      </c>
      <c r="P583" t="s">
        <v>27</v>
      </c>
      <c r="Q583" t="s">
        <v>28</v>
      </c>
      <c r="R583" t="s">
        <v>28</v>
      </c>
      <c r="S583" t="s">
        <v>28</v>
      </c>
      <c r="T583" t="s">
        <v>28</v>
      </c>
      <c r="U583" t="s">
        <v>28</v>
      </c>
      <c r="V583" t="s">
        <v>28</v>
      </c>
      <c r="W583">
        <v>0</v>
      </c>
      <c r="X583" t="s">
        <v>29</v>
      </c>
    </row>
    <row r="584" spans="1:24" x14ac:dyDescent="0.2">
      <c r="A584" t="str">
        <f t="shared" si="27"/>
        <v>sample_novaseq-16S-A-A07-L0_SICap-P1-A7-P1D2-M9-C4R1-noBile-rep1-day2</v>
      </c>
      <c r="B584" s="1" t="s">
        <v>180</v>
      </c>
      <c r="C584" s="3" t="s">
        <v>756</v>
      </c>
      <c r="D584" s="3" t="s">
        <v>1328</v>
      </c>
      <c r="E584" t="s">
        <v>20</v>
      </c>
      <c r="F584" t="s">
        <v>21</v>
      </c>
      <c r="G584" t="s">
        <v>40</v>
      </c>
      <c r="H584" t="str">
        <f t="shared" si="28"/>
        <v>07</v>
      </c>
      <c r="I584" t="str">
        <f t="shared" si="29"/>
        <v>A</v>
      </c>
      <c r="J584" t="s">
        <v>23</v>
      </c>
      <c r="K584" t="s">
        <v>24</v>
      </c>
      <c r="L584" t="s">
        <v>25</v>
      </c>
      <c r="M584" t="s">
        <v>41</v>
      </c>
      <c r="N584">
        <v>1</v>
      </c>
      <c r="O584">
        <v>2</v>
      </c>
      <c r="P584" t="s">
        <v>27</v>
      </c>
      <c r="Q584" t="s">
        <v>28</v>
      </c>
      <c r="R584" t="s">
        <v>28</v>
      </c>
      <c r="S584" t="s">
        <v>28</v>
      </c>
      <c r="T584" t="s">
        <v>28</v>
      </c>
      <c r="U584" t="s">
        <v>28</v>
      </c>
      <c r="V584" t="s">
        <v>28</v>
      </c>
      <c r="W584">
        <v>0</v>
      </c>
      <c r="X584" t="s">
        <v>29</v>
      </c>
    </row>
    <row r="585" spans="1:24" x14ac:dyDescent="0.2">
      <c r="A585" t="str">
        <f t="shared" si="27"/>
        <v>sample_novaseq-16S-A-A08-L0_SICap-P1-A8-P1D2-M9-C4R2-noBile-rep1-day2</v>
      </c>
      <c r="B585" s="1" t="s">
        <v>181</v>
      </c>
      <c r="C585" s="3" t="s">
        <v>757</v>
      </c>
      <c r="D585" s="3" t="s">
        <v>1328</v>
      </c>
      <c r="E585" t="s">
        <v>20</v>
      </c>
      <c r="F585" t="s">
        <v>21</v>
      </c>
      <c r="G585" t="s">
        <v>42</v>
      </c>
      <c r="H585" t="str">
        <f t="shared" si="28"/>
        <v>08</v>
      </c>
      <c r="I585" t="str">
        <f t="shared" si="29"/>
        <v>A</v>
      </c>
      <c r="J585" t="s">
        <v>23</v>
      </c>
      <c r="K585" t="s">
        <v>24</v>
      </c>
      <c r="L585" t="s">
        <v>25</v>
      </c>
      <c r="M585" t="s">
        <v>43</v>
      </c>
      <c r="N585">
        <v>1</v>
      </c>
      <c r="O585">
        <v>2</v>
      </c>
      <c r="P585" t="s">
        <v>27</v>
      </c>
      <c r="Q585" t="s">
        <v>28</v>
      </c>
      <c r="R585" t="s">
        <v>28</v>
      </c>
      <c r="S585" t="s">
        <v>28</v>
      </c>
      <c r="T585" t="s">
        <v>28</v>
      </c>
      <c r="U585" t="s">
        <v>28</v>
      </c>
      <c r="V585" t="s">
        <v>28</v>
      </c>
      <c r="W585">
        <v>0</v>
      </c>
      <c r="X585" t="s">
        <v>29</v>
      </c>
    </row>
    <row r="586" spans="1:24" x14ac:dyDescent="0.2">
      <c r="A586" t="str">
        <f t="shared" si="27"/>
        <v>sample_novaseq-16S-A-A09-L0_SICap-P1-A9-P1D2-M9-S1R2-noBile-rep1-day2</v>
      </c>
      <c r="B586" s="1" t="s">
        <v>182</v>
      </c>
      <c r="C586" s="3" t="s">
        <v>758</v>
      </c>
      <c r="D586" s="3" t="s">
        <v>1328</v>
      </c>
      <c r="E586" t="s">
        <v>20</v>
      </c>
      <c r="F586" t="s">
        <v>21</v>
      </c>
      <c r="G586" t="s">
        <v>44</v>
      </c>
      <c r="H586" t="str">
        <f t="shared" si="28"/>
        <v>09</v>
      </c>
      <c r="I586" t="str">
        <f t="shared" si="29"/>
        <v>A</v>
      </c>
      <c r="J586" t="s">
        <v>23</v>
      </c>
      <c r="K586" t="s">
        <v>24</v>
      </c>
      <c r="L586" t="s">
        <v>25</v>
      </c>
      <c r="M586" t="s">
        <v>45</v>
      </c>
      <c r="N586">
        <v>1</v>
      </c>
      <c r="O586">
        <v>2</v>
      </c>
      <c r="P586" t="s">
        <v>27</v>
      </c>
      <c r="Q586" t="s">
        <v>28</v>
      </c>
      <c r="R586" t="s">
        <v>28</v>
      </c>
      <c r="S586" t="s">
        <v>28</v>
      </c>
      <c r="T586" t="s">
        <v>28</v>
      </c>
      <c r="U586" t="s">
        <v>28</v>
      </c>
      <c r="V586" t="s">
        <v>28</v>
      </c>
      <c r="W586">
        <v>0</v>
      </c>
      <c r="X586" t="s">
        <v>29</v>
      </c>
    </row>
    <row r="587" spans="1:24" x14ac:dyDescent="0.2">
      <c r="A587" t="str">
        <f t="shared" si="27"/>
        <v>sample_novaseq-16S-A-A10-L0_SICap-P1-A10-P1D2-M9-StoolPool-noBile-rep1-day2</v>
      </c>
      <c r="B587" s="1" t="s">
        <v>183</v>
      </c>
      <c r="C587" s="3" t="s">
        <v>759</v>
      </c>
      <c r="D587" s="3" t="s">
        <v>1328</v>
      </c>
      <c r="E587" t="s">
        <v>20</v>
      </c>
      <c r="F587" t="s">
        <v>21</v>
      </c>
      <c r="G587" t="s">
        <v>46</v>
      </c>
      <c r="H587" t="str">
        <f t="shared" si="28"/>
        <v>10</v>
      </c>
      <c r="I587" t="str">
        <f t="shared" si="29"/>
        <v>A</v>
      </c>
      <c r="J587" t="s">
        <v>23</v>
      </c>
      <c r="K587" t="s">
        <v>24</v>
      </c>
      <c r="L587" t="s">
        <v>25</v>
      </c>
      <c r="M587" t="s">
        <v>47</v>
      </c>
      <c r="N587">
        <v>1</v>
      </c>
      <c r="O587">
        <v>2</v>
      </c>
      <c r="P587" t="s">
        <v>27</v>
      </c>
      <c r="Q587" t="s">
        <v>28</v>
      </c>
      <c r="R587" t="s">
        <v>28</v>
      </c>
      <c r="S587" t="s">
        <v>28</v>
      </c>
      <c r="T587" t="s">
        <v>28</v>
      </c>
      <c r="U587" t="s">
        <v>28</v>
      </c>
      <c r="V587" t="s">
        <v>28</v>
      </c>
      <c r="W587">
        <v>0</v>
      </c>
      <c r="X587" t="s">
        <v>29</v>
      </c>
    </row>
    <row r="588" spans="1:24" x14ac:dyDescent="0.2">
      <c r="A588" t="str">
        <f t="shared" si="27"/>
        <v>sample_novaseq-16S-A-A11-L0_SICap-P1-A11-P1D2-M9-SIPool-noBile-rep1-day2</v>
      </c>
      <c r="B588" s="1" t="s">
        <v>184</v>
      </c>
      <c r="C588" s="3" t="s">
        <v>760</v>
      </c>
      <c r="D588" s="3" t="s">
        <v>1328</v>
      </c>
      <c r="E588" t="s">
        <v>20</v>
      </c>
      <c r="F588" t="s">
        <v>21</v>
      </c>
      <c r="G588" t="s">
        <v>48</v>
      </c>
      <c r="H588" t="str">
        <f t="shared" si="28"/>
        <v>11</v>
      </c>
      <c r="I588" t="str">
        <f t="shared" si="29"/>
        <v>A</v>
      </c>
      <c r="J588" t="s">
        <v>23</v>
      </c>
      <c r="K588" t="s">
        <v>24</v>
      </c>
      <c r="L588" t="s">
        <v>25</v>
      </c>
      <c r="M588" t="s">
        <v>49</v>
      </c>
      <c r="N588">
        <v>1</v>
      </c>
      <c r="O588">
        <v>2</v>
      </c>
      <c r="P588" t="s">
        <v>27</v>
      </c>
      <c r="Q588" t="s">
        <v>28</v>
      </c>
      <c r="R588" t="s">
        <v>28</v>
      </c>
      <c r="S588" t="s">
        <v>28</v>
      </c>
      <c r="T588" t="s">
        <v>28</v>
      </c>
      <c r="U588" t="s">
        <v>28</v>
      </c>
      <c r="V588" t="s">
        <v>28</v>
      </c>
      <c r="W588">
        <v>0</v>
      </c>
      <c r="X588" t="s">
        <v>29</v>
      </c>
    </row>
    <row r="589" spans="1:24" x14ac:dyDescent="0.2">
      <c r="A589" t="str">
        <f t="shared" si="27"/>
        <v>sample_novaseq-16S-A-A12-L0_SICap-P1-A12-P1D2-M9-Media-noBile-rep1-day2</v>
      </c>
      <c r="B589" s="1" t="s">
        <v>185</v>
      </c>
      <c r="C589" s="3" t="s">
        <v>761</v>
      </c>
      <c r="D589" s="3" t="s">
        <v>1328</v>
      </c>
      <c r="E589" t="s">
        <v>20</v>
      </c>
      <c r="F589" t="s">
        <v>21</v>
      </c>
      <c r="G589" t="s">
        <v>50</v>
      </c>
      <c r="H589" t="str">
        <f t="shared" si="28"/>
        <v>12</v>
      </c>
      <c r="I589" t="str">
        <f t="shared" si="29"/>
        <v>A</v>
      </c>
      <c r="J589" t="s">
        <v>23</v>
      </c>
      <c r="K589" t="s">
        <v>24</v>
      </c>
      <c r="L589" t="s">
        <v>25</v>
      </c>
      <c r="M589" t="s">
        <v>6</v>
      </c>
      <c r="N589">
        <v>1</v>
      </c>
      <c r="O589">
        <v>2</v>
      </c>
      <c r="P589" t="s">
        <v>27</v>
      </c>
      <c r="Q589" t="s">
        <v>28</v>
      </c>
      <c r="R589" t="s">
        <v>28</v>
      </c>
      <c r="S589" t="s">
        <v>28</v>
      </c>
      <c r="T589" t="s">
        <v>28</v>
      </c>
      <c r="U589" t="s">
        <v>28</v>
      </c>
      <c r="V589" t="s">
        <v>28</v>
      </c>
      <c r="W589">
        <v>0</v>
      </c>
      <c r="X589" t="s">
        <v>29</v>
      </c>
    </row>
    <row r="590" spans="1:24" x14ac:dyDescent="0.2">
      <c r="A590" t="str">
        <f t="shared" si="27"/>
        <v>sample_novaseq-16S-A-B01-L0_SICap-P1-B1-P1D2-EZ-RDM-C1R1-noBile-rep1-day2</v>
      </c>
      <c r="B590" s="1" t="s">
        <v>186</v>
      </c>
      <c r="C590" s="3" t="s">
        <v>762</v>
      </c>
      <c r="D590" s="3" t="s">
        <v>1328</v>
      </c>
      <c r="E590" t="s">
        <v>20</v>
      </c>
      <c r="F590" t="s">
        <v>21</v>
      </c>
      <c r="G590" t="s">
        <v>51</v>
      </c>
      <c r="H590" t="str">
        <f t="shared" si="28"/>
        <v>01</v>
      </c>
      <c r="I590" t="str">
        <f t="shared" si="29"/>
        <v>B</v>
      </c>
      <c r="J590" t="s">
        <v>23</v>
      </c>
      <c r="K590" t="s">
        <v>52</v>
      </c>
      <c r="L590" t="s">
        <v>25</v>
      </c>
      <c r="M590" t="s">
        <v>26</v>
      </c>
      <c r="N590">
        <v>1</v>
      </c>
      <c r="O590">
        <v>2</v>
      </c>
      <c r="P590" t="s">
        <v>27</v>
      </c>
      <c r="Q590" t="s">
        <v>28</v>
      </c>
      <c r="R590" t="s">
        <v>28</v>
      </c>
      <c r="S590" t="s">
        <v>28</v>
      </c>
      <c r="T590" t="s">
        <v>28</v>
      </c>
      <c r="U590" t="s">
        <v>28</v>
      </c>
      <c r="V590" t="s">
        <v>28</v>
      </c>
      <c r="W590">
        <v>0</v>
      </c>
      <c r="X590" t="s">
        <v>29</v>
      </c>
    </row>
    <row r="591" spans="1:24" x14ac:dyDescent="0.2">
      <c r="A591" t="str">
        <f t="shared" si="27"/>
        <v>sample_novaseq-16S-A-B02-L0_SICap-P1-B2-P1D2-EZ-RDM-C1R2-noBile-rep1-day2</v>
      </c>
      <c r="B591" s="1" t="s">
        <v>187</v>
      </c>
      <c r="C591" s="3" t="s">
        <v>763</v>
      </c>
      <c r="D591" s="3" t="s">
        <v>1328</v>
      </c>
      <c r="E591" t="s">
        <v>20</v>
      </c>
      <c r="F591" t="s">
        <v>21</v>
      </c>
      <c r="G591" t="s">
        <v>53</v>
      </c>
      <c r="H591" t="str">
        <f t="shared" si="28"/>
        <v>02</v>
      </c>
      <c r="I591" t="str">
        <f t="shared" si="29"/>
        <v>B</v>
      </c>
      <c r="J591" t="s">
        <v>23</v>
      </c>
      <c r="K591" t="s">
        <v>52</v>
      </c>
      <c r="L591" t="s">
        <v>25</v>
      </c>
      <c r="M591" t="s">
        <v>31</v>
      </c>
      <c r="N591">
        <v>1</v>
      </c>
      <c r="O591">
        <v>2</v>
      </c>
      <c r="P591" t="s">
        <v>27</v>
      </c>
      <c r="Q591" t="s">
        <v>28</v>
      </c>
      <c r="R591" t="s">
        <v>28</v>
      </c>
      <c r="S591" t="s">
        <v>28</v>
      </c>
      <c r="T591" t="s">
        <v>28</v>
      </c>
      <c r="U591" t="s">
        <v>28</v>
      </c>
      <c r="V591" t="s">
        <v>28</v>
      </c>
      <c r="W591">
        <v>0</v>
      </c>
      <c r="X591" t="s">
        <v>29</v>
      </c>
    </row>
    <row r="592" spans="1:24" x14ac:dyDescent="0.2">
      <c r="A592" t="str">
        <f t="shared" si="27"/>
        <v>sample_novaseq-16S-A-B03-L0_SICap-P1-B3-P1D2-EZ-RDM-C2R1-noBile-rep1-day2</v>
      </c>
      <c r="B592" s="1" t="s">
        <v>188</v>
      </c>
      <c r="C592" s="3" t="s">
        <v>764</v>
      </c>
      <c r="D592" s="3" t="s">
        <v>1328</v>
      </c>
      <c r="E592" t="s">
        <v>20</v>
      </c>
      <c r="F592" t="s">
        <v>21</v>
      </c>
      <c r="G592" t="s">
        <v>54</v>
      </c>
      <c r="H592" t="str">
        <f t="shared" si="28"/>
        <v>03</v>
      </c>
      <c r="I592" t="str">
        <f t="shared" si="29"/>
        <v>B</v>
      </c>
      <c r="J592" t="s">
        <v>23</v>
      </c>
      <c r="K592" t="s">
        <v>52</v>
      </c>
      <c r="L592" t="s">
        <v>25</v>
      </c>
      <c r="M592" t="s">
        <v>33</v>
      </c>
      <c r="N592">
        <v>1</v>
      </c>
      <c r="O592">
        <v>2</v>
      </c>
      <c r="P592" t="s">
        <v>27</v>
      </c>
      <c r="Q592" t="s">
        <v>28</v>
      </c>
      <c r="R592" t="s">
        <v>28</v>
      </c>
      <c r="S592" t="s">
        <v>28</v>
      </c>
      <c r="T592" t="s">
        <v>28</v>
      </c>
      <c r="U592" t="s">
        <v>28</v>
      </c>
      <c r="V592" t="s">
        <v>28</v>
      </c>
      <c r="W592">
        <v>0</v>
      </c>
      <c r="X592" t="s">
        <v>29</v>
      </c>
    </row>
    <row r="593" spans="1:24" x14ac:dyDescent="0.2">
      <c r="A593" t="str">
        <f t="shared" si="27"/>
        <v>sample_novaseq-16S-A-B04-L0_SICap-P1-B4-P1D2-EZ-RDM-C2R2-noBile-rep1-day2</v>
      </c>
      <c r="B593" s="1" t="s">
        <v>189</v>
      </c>
      <c r="C593" s="3" t="s">
        <v>765</v>
      </c>
      <c r="D593" s="3" t="s">
        <v>1328</v>
      </c>
      <c r="E593" t="s">
        <v>20</v>
      </c>
      <c r="F593" t="s">
        <v>21</v>
      </c>
      <c r="G593" t="s">
        <v>55</v>
      </c>
      <c r="H593" t="str">
        <f t="shared" si="28"/>
        <v>04</v>
      </c>
      <c r="I593" t="str">
        <f t="shared" si="29"/>
        <v>B</v>
      </c>
      <c r="J593" t="s">
        <v>23</v>
      </c>
      <c r="K593" t="s">
        <v>52</v>
      </c>
      <c r="L593" t="s">
        <v>25</v>
      </c>
      <c r="M593" t="s">
        <v>35</v>
      </c>
      <c r="N593">
        <v>1</v>
      </c>
      <c r="O593">
        <v>2</v>
      </c>
      <c r="P593" t="s">
        <v>27</v>
      </c>
      <c r="Q593" t="s">
        <v>28</v>
      </c>
      <c r="R593" t="s">
        <v>28</v>
      </c>
      <c r="S593" t="s">
        <v>28</v>
      </c>
      <c r="T593" t="s">
        <v>28</v>
      </c>
      <c r="U593" t="s">
        <v>28</v>
      </c>
      <c r="V593" t="s">
        <v>28</v>
      </c>
      <c r="W593">
        <v>0</v>
      </c>
      <c r="X593" t="s">
        <v>29</v>
      </c>
    </row>
    <row r="594" spans="1:24" x14ac:dyDescent="0.2">
      <c r="A594" t="str">
        <f t="shared" si="27"/>
        <v>sample_novaseq-16S-A-B05-L0_SICap-P1-B5-P1D2-EZ-RDM-C3R1-noBile-rep1-day2</v>
      </c>
      <c r="B594" s="1" t="s">
        <v>190</v>
      </c>
      <c r="C594" s="3" t="s">
        <v>766</v>
      </c>
      <c r="D594" s="3" t="s">
        <v>1328</v>
      </c>
      <c r="E594" t="s">
        <v>20</v>
      </c>
      <c r="F594" t="s">
        <v>21</v>
      </c>
      <c r="G594" t="s">
        <v>56</v>
      </c>
      <c r="H594" t="str">
        <f t="shared" si="28"/>
        <v>05</v>
      </c>
      <c r="I594" t="str">
        <f t="shared" si="29"/>
        <v>B</v>
      </c>
      <c r="J594" t="s">
        <v>23</v>
      </c>
      <c r="K594" t="s">
        <v>52</v>
      </c>
      <c r="L594" t="s">
        <v>25</v>
      </c>
      <c r="M594" t="s">
        <v>37</v>
      </c>
      <c r="N594">
        <v>1</v>
      </c>
      <c r="O594">
        <v>2</v>
      </c>
      <c r="P594" t="s">
        <v>27</v>
      </c>
      <c r="Q594" t="s">
        <v>28</v>
      </c>
      <c r="R594" t="s">
        <v>28</v>
      </c>
      <c r="S594" t="s">
        <v>28</v>
      </c>
      <c r="T594" t="s">
        <v>28</v>
      </c>
      <c r="U594" t="s">
        <v>28</v>
      </c>
      <c r="V594" t="s">
        <v>28</v>
      </c>
      <c r="W594">
        <v>0</v>
      </c>
      <c r="X594" t="s">
        <v>29</v>
      </c>
    </row>
    <row r="595" spans="1:24" x14ac:dyDescent="0.2">
      <c r="A595" t="str">
        <f t="shared" si="27"/>
        <v>sample_novaseq-16S-A-B06-L0_SICap-P1-B6-P1D2-EZ-RDM-C3R2-noBile-rep1-day2</v>
      </c>
      <c r="B595" s="1" t="s">
        <v>191</v>
      </c>
      <c r="C595" s="3" t="s">
        <v>767</v>
      </c>
      <c r="D595" s="3" t="s">
        <v>1328</v>
      </c>
      <c r="E595" t="s">
        <v>20</v>
      </c>
      <c r="F595" t="s">
        <v>21</v>
      </c>
      <c r="G595" t="s">
        <v>57</v>
      </c>
      <c r="H595" t="str">
        <f t="shared" si="28"/>
        <v>06</v>
      </c>
      <c r="I595" t="str">
        <f t="shared" si="29"/>
        <v>B</v>
      </c>
      <c r="J595" t="s">
        <v>23</v>
      </c>
      <c r="K595" t="s">
        <v>52</v>
      </c>
      <c r="L595" t="s">
        <v>25</v>
      </c>
      <c r="M595" t="s">
        <v>39</v>
      </c>
      <c r="N595">
        <v>1</v>
      </c>
      <c r="O595">
        <v>2</v>
      </c>
      <c r="P595" t="s">
        <v>27</v>
      </c>
      <c r="Q595" t="s">
        <v>28</v>
      </c>
      <c r="R595" t="s">
        <v>28</v>
      </c>
      <c r="S595" t="s">
        <v>28</v>
      </c>
      <c r="T595" t="s">
        <v>28</v>
      </c>
      <c r="U595" t="s">
        <v>28</v>
      </c>
      <c r="V595" t="s">
        <v>28</v>
      </c>
      <c r="W595">
        <v>0</v>
      </c>
      <c r="X595" t="s">
        <v>29</v>
      </c>
    </row>
    <row r="596" spans="1:24" x14ac:dyDescent="0.2">
      <c r="A596" t="str">
        <f t="shared" si="27"/>
        <v>sample_novaseq-16S-A-B07-L0_SICap-P1-B7-P1D2-EZ-RDM-C4R1-noBile-rep1-day2</v>
      </c>
      <c r="B596" s="1" t="s">
        <v>192</v>
      </c>
      <c r="C596" s="3" t="s">
        <v>768</v>
      </c>
      <c r="D596" s="3" t="s">
        <v>1328</v>
      </c>
      <c r="E596" t="s">
        <v>20</v>
      </c>
      <c r="F596" t="s">
        <v>21</v>
      </c>
      <c r="G596" t="s">
        <v>58</v>
      </c>
      <c r="H596" t="str">
        <f t="shared" si="28"/>
        <v>07</v>
      </c>
      <c r="I596" t="str">
        <f t="shared" si="29"/>
        <v>B</v>
      </c>
      <c r="J596" t="s">
        <v>23</v>
      </c>
      <c r="K596" t="s">
        <v>52</v>
      </c>
      <c r="L596" t="s">
        <v>25</v>
      </c>
      <c r="M596" t="s">
        <v>41</v>
      </c>
      <c r="N596">
        <v>1</v>
      </c>
      <c r="O596">
        <v>2</v>
      </c>
      <c r="P596" t="s">
        <v>27</v>
      </c>
      <c r="Q596" t="s">
        <v>28</v>
      </c>
      <c r="R596" t="s">
        <v>28</v>
      </c>
      <c r="S596" t="s">
        <v>28</v>
      </c>
      <c r="T596" t="s">
        <v>28</v>
      </c>
      <c r="U596" t="s">
        <v>28</v>
      </c>
      <c r="V596" t="s">
        <v>28</v>
      </c>
      <c r="W596">
        <v>0</v>
      </c>
      <c r="X596" t="s">
        <v>29</v>
      </c>
    </row>
    <row r="597" spans="1:24" x14ac:dyDescent="0.2">
      <c r="A597" t="str">
        <f t="shared" si="27"/>
        <v>sample_novaseq-16S-A-B08-L0_SICap-P1-B8-P1D2-EZ-RDM-C4R2-noBile-rep1-day2</v>
      </c>
      <c r="B597" s="1" t="s">
        <v>193</v>
      </c>
      <c r="C597" s="3" t="s">
        <v>769</v>
      </c>
      <c r="D597" s="3" t="s">
        <v>1328</v>
      </c>
      <c r="E597" t="s">
        <v>20</v>
      </c>
      <c r="F597" t="s">
        <v>21</v>
      </c>
      <c r="G597" t="s">
        <v>59</v>
      </c>
      <c r="H597" t="str">
        <f t="shared" si="28"/>
        <v>08</v>
      </c>
      <c r="I597" t="str">
        <f t="shared" si="29"/>
        <v>B</v>
      </c>
      <c r="J597" t="s">
        <v>23</v>
      </c>
      <c r="K597" t="s">
        <v>52</v>
      </c>
      <c r="L597" t="s">
        <v>25</v>
      </c>
      <c r="M597" t="s">
        <v>43</v>
      </c>
      <c r="N597">
        <v>1</v>
      </c>
      <c r="O597">
        <v>2</v>
      </c>
      <c r="P597" t="s">
        <v>27</v>
      </c>
      <c r="Q597" t="s">
        <v>28</v>
      </c>
      <c r="R597" t="s">
        <v>28</v>
      </c>
      <c r="S597" t="s">
        <v>28</v>
      </c>
      <c r="T597" t="s">
        <v>28</v>
      </c>
      <c r="U597" t="s">
        <v>28</v>
      </c>
      <c r="V597" t="s">
        <v>28</v>
      </c>
      <c r="W597">
        <v>0</v>
      </c>
      <c r="X597" t="s">
        <v>29</v>
      </c>
    </row>
    <row r="598" spans="1:24" x14ac:dyDescent="0.2">
      <c r="A598" t="str">
        <f t="shared" si="27"/>
        <v>sample_novaseq-16S-A-B09-L0_SICap-P1-B9-P1D2-EZ-RDM-S1R2-noBile-rep1-day2</v>
      </c>
      <c r="B598" s="1" t="s">
        <v>194</v>
      </c>
      <c r="C598" s="3" t="s">
        <v>770</v>
      </c>
      <c r="D598" s="3" t="s">
        <v>1328</v>
      </c>
      <c r="E598" t="s">
        <v>20</v>
      </c>
      <c r="F598" t="s">
        <v>21</v>
      </c>
      <c r="G598" t="s">
        <v>60</v>
      </c>
      <c r="H598" t="str">
        <f t="shared" si="28"/>
        <v>09</v>
      </c>
      <c r="I598" t="str">
        <f t="shared" si="29"/>
        <v>B</v>
      </c>
      <c r="J598" t="s">
        <v>23</v>
      </c>
      <c r="K598" t="s">
        <v>52</v>
      </c>
      <c r="L598" t="s">
        <v>25</v>
      </c>
      <c r="M598" t="s">
        <v>45</v>
      </c>
      <c r="N598">
        <v>1</v>
      </c>
      <c r="O598">
        <v>2</v>
      </c>
      <c r="P598" t="s">
        <v>27</v>
      </c>
      <c r="Q598" t="s">
        <v>28</v>
      </c>
      <c r="R598" t="s">
        <v>28</v>
      </c>
      <c r="S598" t="s">
        <v>28</v>
      </c>
      <c r="T598" t="s">
        <v>28</v>
      </c>
      <c r="U598" t="s">
        <v>28</v>
      </c>
      <c r="V598" t="s">
        <v>28</v>
      </c>
      <c r="W598">
        <v>0</v>
      </c>
      <c r="X598" t="s">
        <v>29</v>
      </c>
    </row>
    <row r="599" spans="1:24" x14ac:dyDescent="0.2">
      <c r="A599" t="str">
        <f t="shared" si="27"/>
        <v>sample_novaseq-16S-A-B10-L0_SICap-P1-B10-P1D2-EZ-RDM-StoolPool-noBile-rep1-day2</v>
      </c>
      <c r="B599" s="1" t="s">
        <v>195</v>
      </c>
      <c r="C599" s="3" t="s">
        <v>771</v>
      </c>
      <c r="D599" s="3" t="s">
        <v>1328</v>
      </c>
      <c r="E599" t="s">
        <v>20</v>
      </c>
      <c r="F599" t="s">
        <v>21</v>
      </c>
      <c r="G599" t="s">
        <v>61</v>
      </c>
      <c r="H599" t="str">
        <f t="shared" si="28"/>
        <v>10</v>
      </c>
      <c r="I599" t="str">
        <f t="shared" si="29"/>
        <v>B</v>
      </c>
      <c r="J599" t="s">
        <v>23</v>
      </c>
      <c r="K599" t="s">
        <v>52</v>
      </c>
      <c r="L599" t="s">
        <v>25</v>
      </c>
      <c r="M599" t="s">
        <v>47</v>
      </c>
      <c r="N599">
        <v>1</v>
      </c>
      <c r="O599">
        <v>2</v>
      </c>
      <c r="P599" t="s">
        <v>27</v>
      </c>
      <c r="Q599" t="s">
        <v>28</v>
      </c>
      <c r="R599" t="s">
        <v>28</v>
      </c>
      <c r="S599" t="s">
        <v>28</v>
      </c>
      <c r="T599" t="s">
        <v>28</v>
      </c>
      <c r="U599" t="s">
        <v>28</v>
      </c>
      <c r="V599" t="s">
        <v>28</v>
      </c>
      <c r="W599">
        <v>0</v>
      </c>
      <c r="X599" t="s">
        <v>29</v>
      </c>
    </row>
    <row r="600" spans="1:24" x14ac:dyDescent="0.2">
      <c r="A600" t="str">
        <f t="shared" si="27"/>
        <v>sample_novaseq-16S-A-B11-L0_SICap-P1-B11-P1D2-EZ-RDM-SIPool-noBile-rep1-day2</v>
      </c>
      <c r="B600" s="1" t="s">
        <v>196</v>
      </c>
      <c r="C600" s="3" t="s">
        <v>772</v>
      </c>
      <c r="D600" s="3" t="s">
        <v>1328</v>
      </c>
      <c r="E600" t="s">
        <v>20</v>
      </c>
      <c r="F600" t="s">
        <v>21</v>
      </c>
      <c r="G600" t="s">
        <v>62</v>
      </c>
      <c r="H600" t="str">
        <f t="shared" si="28"/>
        <v>11</v>
      </c>
      <c r="I600" t="str">
        <f t="shared" si="29"/>
        <v>B</v>
      </c>
      <c r="J600" t="s">
        <v>23</v>
      </c>
      <c r="K600" t="s">
        <v>52</v>
      </c>
      <c r="L600" t="s">
        <v>25</v>
      </c>
      <c r="M600" t="s">
        <v>49</v>
      </c>
      <c r="N600">
        <v>1</v>
      </c>
      <c r="O600">
        <v>2</v>
      </c>
      <c r="P600" t="s">
        <v>27</v>
      </c>
      <c r="Q600" t="s">
        <v>28</v>
      </c>
      <c r="R600" t="s">
        <v>28</v>
      </c>
      <c r="S600" t="s">
        <v>28</v>
      </c>
      <c r="T600" t="s">
        <v>28</v>
      </c>
      <c r="U600" t="s">
        <v>28</v>
      </c>
      <c r="V600" t="s">
        <v>28</v>
      </c>
      <c r="W600">
        <v>0</v>
      </c>
      <c r="X600" t="s">
        <v>29</v>
      </c>
    </row>
    <row r="601" spans="1:24" x14ac:dyDescent="0.2">
      <c r="A601" t="str">
        <f t="shared" si="27"/>
        <v>sample_novaseq-16S-A-B12-L0_SICap-P1-B12-P1D2-EZ-RDM-Media-noBile-rep1-day2</v>
      </c>
      <c r="B601" s="1" t="s">
        <v>197</v>
      </c>
      <c r="C601" s="3" t="s">
        <v>773</v>
      </c>
      <c r="D601" s="3" t="s">
        <v>1328</v>
      </c>
      <c r="E601" t="s">
        <v>20</v>
      </c>
      <c r="F601" t="s">
        <v>21</v>
      </c>
      <c r="G601" t="s">
        <v>63</v>
      </c>
      <c r="H601" t="str">
        <f t="shared" si="28"/>
        <v>12</v>
      </c>
      <c r="I601" t="str">
        <f t="shared" si="29"/>
        <v>B</v>
      </c>
      <c r="J601" t="s">
        <v>23</v>
      </c>
      <c r="K601" t="s">
        <v>52</v>
      </c>
      <c r="L601" t="s">
        <v>25</v>
      </c>
      <c r="M601" t="s">
        <v>6</v>
      </c>
      <c r="N601">
        <v>1</v>
      </c>
      <c r="O601">
        <v>2</v>
      </c>
      <c r="P601" t="s">
        <v>27</v>
      </c>
      <c r="Q601" t="s">
        <v>28</v>
      </c>
      <c r="R601" t="s">
        <v>28</v>
      </c>
      <c r="S601" t="s">
        <v>28</v>
      </c>
      <c r="T601" t="s">
        <v>28</v>
      </c>
      <c r="U601" t="s">
        <v>28</v>
      </c>
      <c r="V601" t="s">
        <v>28</v>
      </c>
      <c r="W601">
        <v>0</v>
      </c>
      <c r="X601" t="s">
        <v>29</v>
      </c>
    </row>
    <row r="602" spans="1:24" x14ac:dyDescent="0.2">
      <c r="A602" t="str">
        <f t="shared" si="27"/>
        <v>sample_novaseq-16S-A-C01-L0_SICap-P1-C1-P1D2-BHI-C1R1-noBile-rep1-day2</v>
      </c>
      <c r="B602" s="1" t="s">
        <v>198</v>
      </c>
      <c r="C602" s="3" t="s">
        <v>774</v>
      </c>
      <c r="D602" s="3" t="s">
        <v>1328</v>
      </c>
      <c r="E602" t="s">
        <v>20</v>
      </c>
      <c r="F602" t="s">
        <v>21</v>
      </c>
      <c r="G602" t="s">
        <v>64</v>
      </c>
      <c r="H602" t="str">
        <f t="shared" si="28"/>
        <v>01</v>
      </c>
      <c r="I602" t="str">
        <f t="shared" si="29"/>
        <v>C</v>
      </c>
      <c r="J602" t="s">
        <v>23</v>
      </c>
      <c r="K602" t="s">
        <v>65</v>
      </c>
      <c r="L602" t="s">
        <v>25</v>
      </c>
      <c r="M602" t="s">
        <v>26</v>
      </c>
      <c r="N602">
        <v>1</v>
      </c>
      <c r="O602">
        <v>2</v>
      </c>
      <c r="P602" t="s">
        <v>27</v>
      </c>
      <c r="Q602" t="s">
        <v>28</v>
      </c>
      <c r="R602" t="s">
        <v>28</v>
      </c>
      <c r="S602" t="s">
        <v>28</v>
      </c>
      <c r="T602" t="s">
        <v>28</v>
      </c>
      <c r="U602" t="s">
        <v>28</v>
      </c>
      <c r="V602" t="s">
        <v>28</v>
      </c>
      <c r="W602">
        <v>0</v>
      </c>
      <c r="X602" t="s">
        <v>29</v>
      </c>
    </row>
    <row r="603" spans="1:24" x14ac:dyDescent="0.2">
      <c r="A603" t="str">
        <f t="shared" si="27"/>
        <v>sample_novaseq-16S-A-C02-L0_SICap-P1-C2-P1D2-BHI-C1R2-noBile-rep1-day2</v>
      </c>
      <c r="B603" s="1" t="s">
        <v>199</v>
      </c>
      <c r="C603" s="3" t="s">
        <v>775</v>
      </c>
      <c r="D603" s="3" t="s">
        <v>1328</v>
      </c>
      <c r="E603" t="s">
        <v>20</v>
      </c>
      <c r="F603" t="s">
        <v>21</v>
      </c>
      <c r="G603" t="s">
        <v>66</v>
      </c>
      <c r="H603" t="str">
        <f t="shared" si="28"/>
        <v>02</v>
      </c>
      <c r="I603" t="str">
        <f t="shared" si="29"/>
        <v>C</v>
      </c>
      <c r="J603" t="s">
        <v>23</v>
      </c>
      <c r="K603" t="s">
        <v>65</v>
      </c>
      <c r="L603" t="s">
        <v>25</v>
      </c>
      <c r="M603" t="s">
        <v>31</v>
      </c>
      <c r="N603">
        <v>1</v>
      </c>
      <c r="O603">
        <v>2</v>
      </c>
      <c r="P603" t="s">
        <v>27</v>
      </c>
      <c r="Q603" t="s">
        <v>28</v>
      </c>
      <c r="R603" t="s">
        <v>28</v>
      </c>
      <c r="S603" t="s">
        <v>28</v>
      </c>
      <c r="T603" t="s">
        <v>28</v>
      </c>
      <c r="U603" t="s">
        <v>28</v>
      </c>
      <c r="V603" t="s">
        <v>28</v>
      </c>
      <c r="W603">
        <v>0</v>
      </c>
      <c r="X603" t="s">
        <v>29</v>
      </c>
    </row>
    <row r="604" spans="1:24" x14ac:dyDescent="0.2">
      <c r="A604" t="str">
        <f t="shared" si="27"/>
        <v>sample_novaseq-16S-A-C03-L0_SICap-P1-C3-P1D2-BHI-C2R1-noBile-rep1-day2</v>
      </c>
      <c r="B604" s="1" t="s">
        <v>200</v>
      </c>
      <c r="C604" s="3" t="s">
        <v>776</v>
      </c>
      <c r="D604" s="3" t="s">
        <v>1328</v>
      </c>
      <c r="E604" t="s">
        <v>20</v>
      </c>
      <c r="F604" t="s">
        <v>21</v>
      </c>
      <c r="G604" t="s">
        <v>67</v>
      </c>
      <c r="H604" t="str">
        <f t="shared" si="28"/>
        <v>03</v>
      </c>
      <c r="I604" t="str">
        <f t="shared" si="29"/>
        <v>C</v>
      </c>
      <c r="J604" t="s">
        <v>23</v>
      </c>
      <c r="K604" t="s">
        <v>65</v>
      </c>
      <c r="L604" t="s">
        <v>25</v>
      </c>
      <c r="M604" t="s">
        <v>33</v>
      </c>
      <c r="N604">
        <v>1</v>
      </c>
      <c r="O604">
        <v>2</v>
      </c>
      <c r="P604" t="s">
        <v>27</v>
      </c>
      <c r="Q604" t="s">
        <v>28</v>
      </c>
      <c r="R604" t="s">
        <v>28</v>
      </c>
      <c r="S604" t="s">
        <v>28</v>
      </c>
      <c r="T604" t="s">
        <v>28</v>
      </c>
      <c r="U604" t="s">
        <v>28</v>
      </c>
      <c r="V604" t="s">
        <v>28</v>
      </c>
      <c r="W604">
        <v>0</v>
      </c>
      <c r="X604" t="s">
        <v>29</v>
      </c>
    </row>
    <row r="605" spans="1:24" x14ac:dyDescent="0.2">
      <c r="A605" t="str">
        <f t="shared" si="27"/>
        <v>sample_novaseq-16S-A-C04-L0_SICap-P1-C4-P1D2-BHI-C2R2-noBile-rep1-day2</v>
      </c>
      <c r="B605" s="1" t="s">
        <v>201</v>
      </c>
      <c r="C605" s="3" t="s">
        <v>777</v>
      </c>
      <c r="D605" s="3" t="s">
        <v>1328</v>
      </c>
      <c r="E605" t="s">
        <v>20</v>
      </c>
      <c r="F605" t="s">
        <v>21</v>
      </c>
      <c r="G605" t="s">
        <v>68</v>
      </c>
      <c r="H605" t="str">
        <f t="shared" si="28"/>
        <v>04</v>
      </c>
      <c r="I605" t="str">
        <f t="shared" si="29"/>
        <v>C</v>
      </c>
      <c r="J605" t="s">
        <v>23</v>
      </c>
      <c r="K605" t="s">
        <v>65</v>
      </c>
      <c r="L605" t="s">
        <v>25</v>
      </c>
      <c r="M605" t="s">
        <v>35</v>
      </c>
      <c r="N605">
        <v>1</v>
      </c>
      <c r="O605">
        <v>2</v>
      </c>
      <c r="P605" t="s">
        <v>27</v>
      </c>
      <c r="Q605" t="s">
        <v>28</v>
      </c>
      <c r="R605" t="s">
        <v>28</v>
      </c>
      <c r="S605" t="s">
        <v>28</v>
      </c>
      <c r="T605" t="s">
        <v>28</v>
      </c>
      <c r="U605" t="s">
        <v>28</v>
      </c>
      <c r="V605" t="s">
        <v>28</v>
      </c>
      <c r="W605">
        <v>0</v>
      </c>
      <c r="X605" t="s">
        <v>29</v>
      </c>
    </row>
    <row r="606" spans="1:24" x14ac:dyDescent="0.2">
      <c r="A606" t="str">
        <f t="shared" si="27"/>
        <v>sample_novaseq-16S-A-C05-L0_SICap-P1-C5-P1D2-BHI-C3R1-noBile-rep1-day2</v>
      </c>
      <c r="B606" s="1" t="s">
        <v>202</v>
      </c>
      <c r="C606" s="3" t="s">
        <v>778</v>
      </c>
      <c r="D606" s="3" t="s">
        <v>1328</v>
      </c>
      <c r="E606" t="s">
        <v>20</v>
      </c>
      <c r="F606" t="s">
        <v>21</v>
      </c>
      <c r="G606" t="s">
        <v>69</v>
      </c>
      <c r="H606" t="str">
        <f t="shared" si="28"/>
        <v>05</v>
      </c>
      <c r="I606" t="str">
        <f t="shared" si="29"/>
        <v>C</v>
      </c>
      <c r="J606" t="s">
        <v>23</v>
      </c>
      <c r="K606" t="s">
        <v>65</v>
      </c>
      <c r="L606" t="s">
        <v>25</v>
      </c>
      <c r="M606" t="s">
        <v>37</v>
      </c>
      <c r="N606">
        <v>1</v>
      </c>
      <c r="O606">
        <v>2</v>
      </c>
      <c r="P606" t="s">
        <v>27</v>
      </c>
      <c r="Q606" t="s">
        <v>28</v>
      </c>
      <c r="R606" t="s">
        <v>28</v>
      </c>
      <c r="S606" t="s">
        <v>28</v>
      </c>
      <c r="T606" t="s">
        <v>28</v>
      </c>
      <c r="U606" t="s">
        <v>28</v>
      </c>
      <c r="V606" t="s">
        <v>28</v>
      </c>
      <c r="W606">
        <v>0</v>
      </c>
      <c r="X606" t="s">
        <v>29</v>
      </c>
    </row>
    <row r="607" spans="1:24" x14ac:dyDescent="0.2">
      <c r="A607" t="str">
        <f t="shared" si="27"/>
        <v>sample_novaseq-16S-A-C06-L0_SICap-P1-C6-P1D2-BHI-C3R2-noBile-rep1-day2</v>
      </c>
      <c r="B607" s="1" t="s">
        <v>203</v>
      </c>
      <c r="C607" s="3" t="s">
        <v>779</v>
      </c>
      <c r="D607" s="3" t="s">
        <v>1328</v>
      </c>
      <c r="E607" t="s">
        <v>20</v>
      </c>
      <c r="F607" t="s">
        <v>21</v>
      </c>
      <c r="G607" t="s">
        <v>70</v>
      </c>
      <c r="H607" t="str">
        <f t="shared" si="28"/>
        <v>06</v>
      </c>
      <c r="I607" t="str">
        <f t="shared" si="29"/>
        <v>C</v>
      </c>
      <c r="J607" t="s">
        <v>23</v>
      </c>
      <c r="K607" t="s">
        <v>65</v>
      </c>
      <c r="L607" t="s">
        <v>25</v>
      </c>
      <c r="M607" t="s">
        <v>39</v>
      </c>
      <c r="N607">
        <v>1</v>
      </c>
      <c r="O607">
        <v>2</v>
      </c>
      <c r="P607" t="s">
        <v>27</v>
      </c>
      <c r="Q607" t="s">
        <v>28</v>
      </c>
      <c r="R607" t="s">
        <v>28</v>
      </c>
      <c r="S607" t="s">
        <v>28</v>
      </c>
      <c r="T607" t="s">
        <v>28</v>
      </c>
      <c r="U607" t="s">
        <v>28</v>
      </c>
      <c r="V607" t="s">
        <v>28</v>
      </c>
      <c r="W607">
        <v>0</v>
      </c>
      <c r="X607" t="s">
        <v>29</v>
      </c>
    </row>
    <row r="608" spans="1:24" x14ac:dyDescent="0.2">
      <c r="A608" t="str">
        <f t="shared" si="27"/>
        <v>sample_novaseq-16S-A-C07-L0_SICap-P1-C7-P1D2-BHI-C4R1-noBile-rep1-day2</v>
      </c>
      <c r="B608" s="1" t="s">
        <v>204</v>
      </c>
      <c r="C608" s="3" t="s">
        <v>780</v>
      </c>
      <c r="D608" s="3" t="s">
        <v>1328</v>
      </c>
      <c r="E608" t="s">
        <v>20</v>
      </c>
      <c r="F608" t="s">
        <v>21</v>
      </c>
      <c r="G608" t="s">
        <v>71</v>
      </c>
      <c r="H608" t="str">
        <f t="shared" si="28"/>
        <v>07</v>
      </c>
      <c r="I608" t="str">
        <f t="shared" si="29"/>
        <v>C</v>
      </c>
      <c r="J608" t="s">
        <v>23</v>
      </c>
      <c r="K608" t="s">
        <v>65</v>
      </c>
      <c r="L608" t="s">
        <v>25</v>
      </c>
      <c r="M608" t="s">
        <v>41</v>
      </c>
      <c r="N608">
        <v>1</v>
      </c>
      <c r="O608">
        <v>2</v>
      </c>
      <c r="P608" t="s">
        <v>27</v>
      </c>
      <c r="Q608" t="s">
        <v>28</v>
      </c>
      <c r="R608" t="s">
        <v>28</v>
      </c>
      <c r="S608" t="s">
        <v>28</v>
      </c>
      <c r="T608" t="s">
        <v>28</v>
      </c>
      <c r="U608" t="s">
        <v>28</v>
      </c>
      <c r="V608" t="s">
        <v>28</v>
      </c>
      <c r="W608">
        <v>0</v>
      </c>
      <c r="X608" t="s">
        <v>29</v>
      </c>
    </row>
    <row r="609" spans="1:24" x14ac:dyDescent="0.2">
      <c r="A609" t="str">
        <f t="shared" si="27"/>
        <v>sample_novaseq-16S-A-C08-L0_SICap-P1-C8-P1D2-BHI-C4R2-noBile-rep1-day2</v>
      </c>
      <c r="B609" s="1" t="s">
        <v>205</v>
      </c>
      <c r="C609" s="3" t="s">
        <v>781</v>
      </c>
      <c r="D609" s="3" t="s">
        <v>1328</v>
      </c>
      <c r="E609" t="s">
        <v>20</v>
      </c>
      <c r="F609" t="s">
        <v>21</v>
      </c>
      <c r="G609" t="s">
        <v>72</v>
      </c>
      <c r="H609" t="str">
        <f t="shared" si="28"/>
        <v>08</v>
      </c>
      <c r="I609" t="str">
        <f t="shared" si="29"/>
        <v>C</v>
      </c>
      <c r="J609" t="s">
        <v>23</v>
      </c>
      <c r="K609" t="s">
        <v>65</v>
      </c>
      <c r="L609" t="s">
        <v>25</v>
      </c>
      <c r="M609" t="s">
        <v>43</v>
      </c>
      <c r="N609">
        <v>1</v>
      </c>
      <c r="O609">
        <v>2</v>
      </c>
      <c r="P609" t="s">
        <v>27</v>
      </c>
      <c r="Q609" t="s">
        <v>28</v>
      </c>
      <c r="R609" t="s">
        <v>28</v>
      </c>
      <c r="S609" t="s">
        <v>28</v>
      </c>
      <c r="T609" t="s">
        <v>28</v>
      </c>
      <c r="U609" t="s">
        <v>28</v>
      </c>
      <c r="V609" t="s">
        <v>28</v>
      </c>
      <c r="W609">
        <v>0</v>
      </c>
      <c r="X609" t="s">
        <v>29</v>
      </c>
    </row>
    <row r="610" spans="1:24" x14ac:dyDescent="0.2">
      <c r="A610" t="str">
        <f t="shared" si="27"/>
        <v>sample_novaseq-16S-A-C09-L0_SICap-P1-C9-P1D2-BHI-S1R2-noBile-rep1-day2</v>
      </c>
      <c r="B610" s="1" t="s">
        <v>206</v>
      </c>
      <c r="C610" s="3" t="s">
        <v>782</v>
      </c>
      <c r="D610" s="3" t="s">
        <v>1328</v>
      </c>
      <c r="E610" t="s">
        <v>20</v>
      </c>
      <c r="F610" t="s">
        <v>21</v>
      </c>
      <c r="G610" t="s">
        <v>73</v>
      </c>
      <c r="H610" t="str">
        <f t="shared" si="28"/>
        <v>09</v>
      </c>
      <c r="I610" t="str">
        <f t="shared" si="29"/>
        <v>C</v>
      </c>
      <c r="J610" t="s">
        <v>23</v>
      </c>
      <c r="K610" t="s">
        <v>65</v>
      </c>
      <c r="L610" t="s">
        <v>25</v>
      </c>
      <c r="M610" t="s">
        <v>45</v>
      </c>
      <c r="N610">
        <v>1</v>
      </c>
      <c r="O610">
        <v>2</v>
      </c>
      <c r="P610" t="s">
        <v>27</v>
      </c>
      <c r="Q610" t="s">
        <v>28</v>
      </c>
      <c r="R610" t="s">
        <v>28</v>
      </c>
      <c r="S610" t="s">
        <v>28</v>
      </c>
      <c r="T610" t="s">
        <v>28</v>
      </c>
      <c r="U610" t="s">
        <v>28</v>
      </c>
      <c r="V610" t="s">
        <v>28</v>
      </c>
      <c r="W610">
        <v>0</v>
      </c>
      <c r="X610" t="s">
        <v>29</v>
      </c>
    </row>
    <row r="611" spans="1:24" x14ac:dyDescent="0.2">
      <c r="A611" t="str">
        <f t="shared" si="27"/>
        <v>sample_novaseq-16S-A-C10-L0_SICap-P1-C10-P1D2-BHI-StoolPool-noBile-rep1-day2</v>
      </c>
      <c r="B611" s="1" t="s">
        <v>207</v>
      </c>
      <c r="C611" s="3" t="s">
        <v>783</v>
      </c>
      <c r="D611" s="3" t="s">
        <v>1328</v>
      </c>
      <c r="E611" t="s">
        <v>20</v>
      </c>
      <c r="F611" t="s">
        <v>21</v>
      </c>
      <c r="G611" t="s">
        <v>74</v>
      </c>
      <c r="H611" t="str">
        <f t="shared" si="28"/>
        <v>10</v>
      </c>
      <c r="I611" t="str">
        <f t="shared" si="29"/>
        <v>C</v>
      </c>
      <c r="J611" t="s">
        <v>23</v>
      </c>
      <c r="K611" t="s">
        <v>65</v>
      </c>
      <c r="L611" t="s">
        <v>25</v>
      </c>
      <c r="M611" t="s">
        <v>47</v>
      </c>
      <c r="N611">
        <v>1</v>
      </c>
      <c r="O611">
        <v>2</v>
      </c>
      <c r="P611" t="s">
        <v>27</v>
      </c>
      <c r="Q611" t="s">
        <v>28</v>
      </c>
      <c r="R611" t="s">
        <v>28</v>
      </c>
      <c r="S611" t="s">
        <v>28</v>
      </c>
      <c r="T611" t="s">
        <v>28</v>
      </c>
      <c r="U611" t="s">
        <v>28</v>
      </c>
      <c r="V611" t="s">
        <v>28</v>
      </c>
      <c r="W611">
        <v>0</v>
      </c>
      <c r="X611" t="s">
        <v>29</v>
      </c>
    </row>
    <row r="612" spans="1:24" x14ac:dyDescent="0.2">
      <c r="A612" t="str">
        <f t="shared" si="27"/>
        <v>sample_novaseq-16S-A-C11-L0_SICap-P1-C11-P1D2-BHI-SIPool-noBile-rep1-day2</v>
      </c>
      <c r="B612" s="1" t="s">
        <v>208</v>
      </c>
      <c r="C612" s="3" t="s">
        <v>784</v>
      </c>
      <c r="D612" s="3" t="s">
        <v>1328</v>
      </c>
      <c r="E612" t="s">
        <v>20</v>
      </c>
      <c r="F612" t="s">
        <v>21</v>
      </c>
      <c r="G612" t="s">
        <v>75</v>
      </c>
      <c r="H612" t="str">
        <f t="shared" si="28"/>
        <v>11</v>
      </c>
      <c r="I612" t="str">
        <f t="shared" si="29"/>
        <v>C</v>
      </c>
      <c r="J612" t="s">
        <v>23</v>
      </c>
      <c r="K612" t="s">
        <v>65</v>
      </c>
      <c r="L612" t="s">
        <v>25</v>
      </c>
      <c r="M612" t="s">
        <v>49</v>
      </c>
      <c r="N612">
        <v>1</v>
      </c>
      <c r="O612">
        <v>2</v>
      </c>
      <c r="P612" t="s">
        <v>27</v>
      </c>
      <c r="Q612" t="s">
        <v>28</v>
      </c>
      <c r="R612" t="s">
        <v>28</v>
      </c>
      <c r="S612" t="s">
        <v>28</v>
      </c>
      <c r="T612" t="s">
        <v>28</v>
      </c>
      <c r="U612" t="s">
        <v>28</v>
      </c>
      <c r="V612" t="s">
        <v>28</v>
      </c>
      <c r="W612">
        <v>0</v>
      </c>
      <c r="X612" t="s">
        <v>29</v>
      </c>
    </row>
    <row r="613" spans="1:24" x14ac:dyDescent="0.2">
      <c r="A613" t="str">
        <f t="shared" si="27"/>
        <v>sample_novaseq-16S-A-C12-L0_SICap-P1-C12-P1D2-BHI-Media-noBile-rep1-day2</v>
      </c>
      <c r="B613" s="1" t="s">
        <v>209</v>
      </c>
      <c r="C613" s="3" t="s">
        <v>785</v>
      </c>
      <c r="D613" s="3" t="s">
        <v>1328</v>
      </c>
      <c r="E613" t="s">
        <v>20</v>
      </c>
      <c r="F613" t="s">
        <v>21</v>
      </c>
      <c r="G613" t="s">
        <v>76</v>
      </c>
      <c r="H613" t="str">
        <f t="shared" si="28"/>
        <v>12</v>
      </c>
      <c r="I613" t="str">
        <f t="shared" si="29"/>
        <v>C</v>
      </c>
      <c r="J613" t="s">
        <v>23</v>
      </c>
      <c r="K613" t="s">
        <v>65</v>
      </c>
      <c r="L613" t="s">
        <v>25</v>
      </c>
      <c r="M613" t="s">
        <v>6</v>
      </c>
      <c r="N613">
        <v>1</v>
      </c>
      <c r="O613">
        <v>2</v>
      </c>
      <c r="P613" t="s">
        <v>27</v>
      </c>
      <c r="Q613" t="s">
        <v>28</v>
      </c>
      <c r="R613" t="s">
        <v>28</v>
      </c>
      <c r="S613" t="s">
        <v>28</v>
      </c>
      <c r="T613" t="s">
        <v>28</v>
      </c>
      <c r="U613" t="s">
        <v>28</v>
      </c>
      <c r="V613" t="s">
        <v>28</v>
      </c>
      <c r="W613">
        <v>0</v>
      </c>
      <c r="X613" t="s">
        <v>29</v>
      </c>
    </row>
    <row r="614" spans="1:24" x14ac:dyDescent="0.2">
      <c r="A614" t="str">
        <f t="shared" si="27"/>
        <v>sample_novaseq-16S-A-D01-L0_SICap-P1-D1-P1D2-GAM-C1R1-noBile-rep1-day2</v>
      </c>
      <c r="B614" s="1" t="s">
        <v>210</v>
      </c>
      <c r="C614" s="3" t="s">
        <v>786</v>
      </c>
      <c r="D614" s="3" t="s">
        <v>1328</v>
      </c>
      <c r="E614" t="s">
        <v>20</v>
      </c>
      <c r="F614" t="s">
        <v>21</v>
      </c>
      <c r="G614" t="s">
        <v>77</v>
      </c>
      <c r="H614" t="str">
        <f t="shared" si="28"/>
        <v>01</v>
      </c>
      <c r="I614" t="str">
        <f t="shared" si="29"/>
        <v>D</v>
      </c>
      <c r="J614" t="s">
        <v>23</v>
      </c>
      <c r="K614" t="s">
        <v>78</v>
      </c>
      <c r="L614" t="s">
        <v>25</v>
      </c>
      <c r="M614" t="s">
        <v>26</v>
      </c>
      <c r="N614">
        <v>1</v>
      </c>
      <c r="O614">
        <v>2</v>
      </c>
      <c r="P614" t="s">
        <v>27</v>
      </c>
      <c r="Q614" t="s">
        <v>28</v>
      </c>
      <c r="R614" t="s">
        <v>28</v>
      </c>
      <c r="S614" t="s">
        <v>28</v>
      </c>
      <c r="T614" t="s">
        <v>28</v>
      </c>
      <c r="U614" t="s">
        <v>28</v>
      </c>
      <c r="V614" t="s">
        <v>28</v>
      </c>
      <c r="W614">
        <v>0</v>
      </c>
      <c r="X614" t="s">
        <v>29</v>
      </c>
    </row>
    <row r="615" spans="1:24" x14ac:dyDescent="0.2">
      <c r="A615" t="str">
        <f t="shared" si="27"/>
        <v>sample_novaseq-16S-A-D02-L0_SICap-P1-D2-P1D2-GAM-C1R2-noBile-rep1-day2</v>
      </c>
      <c r="B615" s="1" t="s">
        <v>211</v>
      </c>
      <c r="C615" s="3" t="s">
        <v>787</v>
      </c>
      <c r="D615" s="3" t="s">
        <v>1328</v>
      </c>
      <c r="E615" t="s">
        <v>20</v>
      </c>
      <c r="F615" t="s">
        <v>21</v>
      </c>
      <c r="G615" t="s">
        <v>79</v>
      </c>
      <c r="H615" t="str">
        <f t="shared" si="28"/>
        <v>02</v>
      </c>
      <c r="I615" t="str">
        <f t="shared" si="29"/>
        <v>D</v>
      </c>
      <c r="J615" t="s">
        <v>23</v>
      </c>
      <c r="K615" t="s">
        <v>78</v>
      </c>
      <c r="L615" t="s">
        <v>25</v>
      </c>
      <c r="M615" t="s">
        <v>31</v>
      </c>
      <c r="N615">
        <v>1</v>
      </c>
      <c r="O615">
        <v>2</v>
      </c>
      <c r="P615" t="s">
        <v>27</v>
      </c>
      <c r="Q615" t="s">
        <v>28</v>
      </c>
      <c r="R615" t="s">
        <v>28</v>
      </c>
      <c r="S615" t="s">
        <v>28</v>
      </c>
      <c r="T615" t="s">
        <v>28</v>
      </c>
      <c r="U615" t="s">
        <v>28</v>
      </c>
      <c r="V615" t="s">
        <v>28</v>
      </c>
      <c r="W615">
        <v>0</v>
      </c>
      <c r="X615" t="s">
        <v>29</v>
      </c>
    </row>
    <row r="616" spans="1:24" x14ac:dyDescent="0.2">
      <c r="A616" t="str">
        <f t="shared" si="27"/>
        <v>sample_novaseq-16S-A-D03-L0_SICap-P1-D3-P1D2-GAM-C2R1-noBile-rep1-day2</v>
      </c>
      <c r="B616" s="1" t="s">
        <v>212</v>
      </c>
      <c r="C616" s="3" t="s">
        <v>788</v>
      </c>
      <c r="D616" s="3" t="s">
        <v>1328</v>
      </c>
      <c r="E616" t="s">
        <v>20</v>
      </c>
      <c r="F616" t="s">
        <v>21</v>
      </c>
      <c r="G616" t="s">
        <v>80</v>
      </c>
      <c r="H616" t="str">
        <f t="shared" si="28"/>
        <v>03</v>
      </c>
      <c r="I616" t="str">
        <f t="shared" si="29"/>
        <v>D</v>
      </c>
      <c r="J616" t="s">
        <v>23</v>
      </c>
      <c r="K616" t="s">
        <v>78</v>
      </c>
      <c r="L616" t="s">
        <v>25</v>
      </c>
      <c r="M616" t="s">
        <v>33</v>
      </c>
      <c r="N616">
        <v>1</v>
      </c>
      <c r="O616">
        <v>2</v>
      </c>
      <c r="P616" t="s">
        <v>27</v>
      </c>
      <c r="Q616" t="s">
        <v>28</v>
      </c>
      <c r="R616" t="s">
        <v>28</v>
      </c>
      <c r="S616" t="s">
        <v>28</v>
      </c>
      <c r="T616" t="s">
        <v>28</v>
      </c>
      <c r="U616" t="s">
        <v>28</v>
      </c>
      <c r="V616" t="s">
        <v>28</v>
      </c>
      <c r="W616">
        <v>0</v>
      </c>
      <c r="X616" t="s">
        <v>29</v>
      </c>
    </row>
    <row r="617" spans="1:24" x14ac:dyDescent="0.2">
      <c r="A617" t="str">
        <f t="shared" si="27"/>
        <v>sample_novaseq-16S-A-D04-L0_SICap-P1-D4-P1D2-GAM-C2R2-noBile-rep1-day2</v>
      </c>
      <c r="B617" s="1" t="s">
        <v>213</v>
      </c>
      <c r="C617" s="3" t="s">
        <v>789</v>
      </c>
      <c r="D617" s="3" t="s">
        <v>1328</v>
      </c>
      <c r="E617" t="s">
        <v>20</v>
      </c>
      <c r="F617" t="s">
        <v>21</v>
      </c>
      <c r="G617" t="s">
        <v>81</v>
      </c>
      <c r="H617" t="str">
        <f t="shared" si="28"/>
        <v>04</v>
      </c>
      <c r="I617" t="str">
        <f t="shared" si="29"/>
        <v>D</v>
      </c>
      <c r="J617" t="s">
        <v>23</v>
      </c>
      <c r="K617" t="s">
        <v>78</v>
      </c>
      <c r="L617" t="s">
        <v>25</v>
      </c>
      <c r="M617" t="s">
        <v>35</v>
      </c>
      <c r="N617">
        <v>1</v>
      </c>
      <c r="O617">
        <v>2</v>
      </c>
      <c r="P617" t="s">
        <v>27</v>
      </c>
      <c r="Q617" t="s">
        <v>28</v>
      </c>
      <c r="R617" t="s">
        <v>28</v>
      </c>
      <c r="S617" t="s">
        <v>28</v>
      </c>
      <c r="T617" t="s">
        <v>28</v>
      </c>
      <c r="U617" t="s">
        <v>28</v>
      </c>
      <c r="V617" t="s">
        <v>28</v>
      </c>
      <c r="W617">
        <v>0</v>
      </c>
      <c r="X617" t="s">
        <v>29</v>
      </c>
    </row>
    <row r="618" spans="1:24" x14ac:dyDescent="0.2">
      <c r="A618" t="str">
        <f t="shared" si="27"/>
        <v>sample_novaseq-16S-A-D05-L0_SICap-P1-D5-P1D2-GAM-C3R1-noBile-rep1-day2</v>
      </c>
      <c r="B618" s="1" t="s">
        <v>214</v>
      </c>
      <c r="C618" s="3" t="s">
        <v>790</v>
      </c>
      <c r="D618" s="3" t="s">
        <v>1328</v>
      </c>
      <c r="E618" t="s">
        <v>20</v>
      </c>
      <c r="F618" t="s">
        <v>21</v>
      </c>
      <c r="G618" t="s">
        <v>82</v>
      </c>
      <c r="H618" t="str">
        <f t="shared" si="28"/>
        <v>05</v>
      </c>
      <c r="I618" t="str">
        <f t="shared" si="29"/>
        <v>D</v>
      </c>
      <c r="J618" t="s">
        <v>23</v>
      </c>
      <c r="K618" t="s">
        <v>78</v>
      </c>
      <c r="L618" t="s">
        <v>25</v>
      </c>
      <c r="M618" t="s">
        <v>37</v>
      </c>
      <c r="N618">
        <v>1</v>
      </c>
      <c r="O618">
        <v>2</v>
      </c>
      <c r="P618" t="s">
        <v>27</v>
      </c>
      <c r="Q618" t="s">
        <v>28</v>
      </c>
      <c r="R618" t="s">
        <v>28</v>
      </c>
      <c r="S618" t="s">
        <v>28</v>
      </c>
      <c r="T618" t="s">
        <v>28</v>
      </c>
      <c r="U618" t="s">
        <v>28</v>
      </c>
      <c r="V618" t="s">
        <v>28</v>
      </c>
      <c r="W618">
        <v>0</v>
      </c>
      <c r="X618" t="s">
        <v>29</v>
      </c>
    </row>
    <row r="619" spans="1:24" x14ac:dyDescent="0.2">
      <c r="A619" t="str">
        <f t="shared" si="27"/>
        <v>sample_novaseq-16S-A-D06-L0_SICap-P1-D6-P1D2-GAM-C3R2-noBile-rep1-day2</v>
      </c>
      <c r="B619" s="1" t="s">
        <v>215</v>
      </c>
      <c r="C619" s="3" t="s">
        <v>791</v>
      </c>
      <c r="D619" s="3" t="s">
        <v>1328</v>
      </c>
      <c r="E619" t="s">
        <v>20</v>
      </c>
      <c r="F619" t="s">
        <v>21</v>
      </c>
      <c r="G619" t="s">
        <v>83</v>
      </c>
      <c r="H619" t="str">
        <f t="shared" si="28"/>
        <v>06</v>
      </c>
      <c r="I619" t="str">
        <f t="shared" si="29"/>
        <v>D</v>
      </c>
      <c r="J619" t="s">
        <v>23</v>
      </c>
      <c r="K619" t="s">
        <v>78</v>
      </c>
      <c r="L619" t="s">
        <v>25</v>
      </c>
      <c r="M619" t="s">
        <v>39</v>
      </c>
      <c r="N619">
        <v>1</v>
      </c>
      <c r="O619">
        <v>2</v>
      </c>
      <c r="P619" t="s">
        <v>27</v>
      </c>
      <c r="Q619" t="s">
        <v>28</v>
      </c>
      <c r="R619" t="s">
        <v>28</v>
      </c>
      <c r="S619" t="s">
        <v>28</v>
      </c>
      <c r="T619" t="s">
        <v>28</v>
      </c>
      <c r="U619" t="s">
        <v>28</v>
      </c>
      <c r="V619" t="s">
        <v>28</v>
      </c>
      <c r="W619">
        <v>0</v>
      </c>
      <c r="X619" t="s">
        <v>29</v>
      </c>
    </row>
    <row r="620" spans="1:24" x14ac:dyDescent="0.2">
      <c r="A620" t="str">
        <f t="shared" si="27"/>
        <v>sample_novaseq-16S-A-D07-L0_SICap-P1-D7-P1D2-GAM-C4R1-noBile-rep1-day2</v>
      </c>
      <c r="B620" s="1" t="s">
        <v>216</v>
      </c>
      <c r="C620" s="3" t="s">
        <v>792</v>
      </c>
      <c r="D620" s="3" t="s">
        <v>1328</v>
      </c>
      <c r="E620" t="s">
        <v>20</v>
      </c>
      <c r="F620" t="s">
        <v>21</v>
      </c>
      <c r="G620" t="s">
        <v>84</v>
      </c>
      <c r="H620" t="str">
        <f t="shared" si="28"/>
        <v>07</v>
      </c>
      <c r="I620" t="str">
        <f t="shared" si="29"/>
        <v>D</v>
      </c>
      <c r="J620" t="s">
        <v>23</v>
      </c>
      <c r="K620" t="s">
        <v>78</v>
      </c>
      <c r="L620" t="s">
        <v>25</v>
      </c>
      <c r="M620" t="s">
        <v>41</v>
      </c>
      <c r="N620">
        <v>1</v>
      </c>
      <c r="O620">
        <v>2</v>
      </c>
      <c r="P620" t="s">
        <v>27</v>
      </c>
      <c r="Q620" t="s">
        <v>28</v>
      </c>
      <c r="R620" t="s">
        <v>28</v>
      </c>
      <c r="S620" t="s">
        <v>28</v>
      </c>
      <c r="T620" t="s">
        <v>28</v>
      </c>
      <c r="U620" t="s">
        <v>28</v>
      </c>
      <c r="V620" t="s">
        <v>28</v>
      </c>
      <c r="W620">
        <v>0</v>
      </c>
      <c r="X620" t="s">
        <v>29</v>
      </c>
    </row>
    <row r="621" spans="1:24" x14ac:dyDescent="0.2">
      <c r="A621" t="str">
        <f t="shared" si="27"/>
        <v>sample_novaseq-16S-A-D08-L0_SICap-P1-D8-P1D2-GAM-C4R2-noBile-rep1-day2</v>
      </c>
      <c r="B621" s="1" t="s">
        <v>217</v>
      </c>
      <c r="C621" s="3" t="s">
        <v>793</v>
      </c>
      <c r="D621" s="3" t="s">
        <v>1328</v>
      </c>
      <c r="E621" t="s">
        <v>20</v>
      </c>
      <c r="F621" t="s">
        <v>21</v>
      </c>
      <c r="G621" t="s">
        <v>85</v>
      </c>
      <c r="H621" t="str">
        <f t="shared" si="28"/>
        <v>08</v>
      </c>
      <c r="I621" t="str">
        <f t="shared" si="29"/>
        <v>D</v>
      </c>
      <c r="J621" t="s">
        <v>23</v>
      </c>
      <c r="K621" t="s">
        <v>78</v>
      </c>
      <c r="L621" t="s">
        <v>25</v>
      </c>
      <c r="M621" t="s">
        <v>43</v>
      </c>
      <c r="N621">
        <v>1</v>
      </c>
      <c r="O621">
        <v>2</v>
      </c>
      <c r="P621" t="s">
        <v>27</v>
      </c>
      <c r="Q621" t="s">
        <v>28</v>
      </c>
      <c r="R621" t="s">
        <v>28</v>
      </c>
      <c r="S621" t="s">
        <v>28</v>
      </c>
      <c r="T621" t="s">
        <v>28</v>
      </c>
      <c r="U621" t="s">
        <v>28</v>
      </c>
      <c r="V621" t="s">
        <v>28</v>
      </c>
      <c r="W621">
        <v>0</v>
      </c>
      <c r="X621" t="s">
        <v>29</v>
      </c>
    </row>
    <row r="622" spans="1:24" x14ac:dyDescent="0.2">
      <c r="A622" t="str">
        <f t="shared" si="27"/>
        <v>sample_novaseq-16S-A-D09-L0_SICap-P1-D9-P1D2-GAM-S1R2-noBile-rep1-day2</v>
      </c>
      <c r="B622" s="1" t="s">
        <v>218</v>
      </c>
      <c r="C622" s="3" t="s">
        <v>794</v>
      </c>
      <c r="D622" s="3" t="s">
        <v>1328</v>
      </c>
      <c r="E622" t="s">
        <v>20</v>
      </c>
      <c r="F622" t="s">
        <v>21</v>
      </c>
      <c r="G622" t="s">
        <v>86</v>
      </c>
      <c r="H622" t="str">
        <f t="shared" si="28"/>
        <v>09</v>
      </c>
      <c r="I622" t="str">
        <f t="shared" si="29"/>
        <v>D</v>
      </c>
      <c r="J622" t="s">
        <v>23</v>
      </c>
      <c r="K622" t="s">
        <v>78</v>
      </c>
      <c r="L622" t="s">
        <v>25</v>
      </c>
      <c r="M622" t="s">
        <v>45</v>
      </c>
      <c r="N622">
        <v>1</v>
      </c>
      <c r="O622">
        <v>2</v>
      </c>
      <c r="P622" t="s">
        <v>27</v>
      </c>
      <c r="Q622" t="s">
        <v>28</v>
      </c>
      <c r="R622" t="s">
        <v>28</v>
      </c>
      <c r="S622" t="s">
        <v>28</v>
      </c>
      <c r="T622" t="s">
        <v>28</v>
      </c>
      <c r="U622" t="s">
        <v>28</v>
      </c>
      <c r="V622" t="s">
        <v>28</v>
      </c>
      <c r="W622">
        <v>0</v>
      </c>
      <c r="X622" t="s">
        <v>29</v>
      </c>
    </row>
    <row r="623" spans="1:24" x14ac:dyDescent="0.2">
      <c r="A623" t="str">
        <f t="shared" si="27"/>
        <v>sample_novaseq-16S-A-D10-L0_SICap-P1-D10-P1D2-GAM-StoolPool-noBile-rep1-day2</v>
      </c>
      <c r="B623" s="1" t="s">
        <v>219</v>
      </c>
      <c r="C623" s="3" t="s">
        <v>795</v>
      </c>
      <c r="D623" s="3" t="s">
        <v>1328</v>
      </c>
      <c r="E623" t="s">
        <v>20</v>
      </c>
      <c r="F623" t="s">
        <v>21</v>
      </c>
      <c r="G623" t="s">
        <v>87</v>
      </c>
      <c r="H623" t="str">
        <f t="shared" si="28"/>
        <v>10</v>
      </c>
      <c r="I623" t="str">
        <f t="shared" si="29"/>
        <v>D</v>
      </c>
      <c r="J623" t="s">
        <v>23</v>
      </c>
      <c r="K623" t="s">
        <v>78</v>
      </c>
      <c r="L623" t="s">
        <v>25</v>
      </c>
      <c r="M623" t="s">
        <v>47</v>
      </c>
      <c r="N623">
        <v>1</v>
      </c>
      <c r="O623">
        <v>2</v>
      </c>
      <c r="P623" t="s">
        <v>27</v>
      </c>
      <c r="Q623" t="s">
        <v>28</v>
      </c>
      <c r="R623" t="s">
        <v>28</v>
      </c>
      <c r="S623" t="s">
        <v>28</v>
      </c>
      <c r="T623" t="s">
        <v>28</v>
      </c>
      <c r="U623" t="s">
        <v>28</v>
      </c>
      <c r="V623" t="s">
        <v>28</v>
      </c>
      <c r="W623">
        <v>0</v>
      </c>
      <c r="X623" t="s">
        <v>29</v>
      </c>
    </row>
    <row r="624" spans="1:24" x14ac:dyDescent="0.2">
      <c r="A624" t="str">
        <f t="shared" si="27"/>
        <v>sample_novaseq-16S-A-D11-L0_SICap-P1-D11-P1D2-GAM-SIPool-noBile-rep1-day2</v>
      </c>
      <c r="B624" s="1" t="s">
        <v>220</v>
      </c>
      <c r="C624" s="3" t="s">
        <v>796</v>
      </c>
      <c r="D624" s="3" t="s">
        <v>1328</v>
      </c>
      <c r="E624" t="s">
        <v>20</v>
      </c>
      <c r="F624" t="s">
        <v>21</v>
      </c>
      <c r="G624" t="s">
        <v>88</v>
      </c>
      <c r="H624" t="str">
        <f t="shared" si="28"/>
        <v>11</v>
      </c>
      <c r="I624" t="str">
        <f t="shared" si="29"/>
        <v>D</v>
      </c>
      <c r="J624" t="s">
        <v>23</v>
      </c>
      <c r="K624" t="s">
        <v>78</v>
      </c>
      <c r="L624" t="s">
        <v>25</v>
      </c>
      <c r="M624" t="s">
        <v>49</v>
      </c>
      <c r="N624">
        <v>1</v>
      </c>
      <c r="O624">
        <v>2</v>
      </c>
      <c r="P624" t="s">
        <v>27</v>
      </c>
      <c r="Q624" t="s">
        <v>28</v>
      </c>
      <c r="R624" t="s">
        <v>28</v>
      </c>
      <c r="S624" t="s">
        <v>28</v>
      </c>
      <c r="T624" t="s">
        <v>28</v>
      </c>
      <c r="U624" t="s">
        <v>28</v>
      </c>
      <c r="V624" t="s">
        <v>28</v>
      </c>
      <c r="W624">
        <v>0</v>
      </c>
      <c r="X624" t="s">
        <v>29</v>
      </c>
    </row>
    <row r="625" spans="1:24" x14ac:dyDescent="0.2">
      <c r="A625" t="str">
        <f t="shared" si="27"/>
        <v>sample_novaseq-16S-A-D12-L0_SICap-P1-D12-P1D2-GAM-Media-noBile-rep1-day2</v>
      </c>
      <c r="B625" s="1" t="s">
        <v>221</v>
      </c>
      <c r="C625" s="3" t="s">
        <v>797</v>
      </c>
      <c r="D625" s="3" t="s">
        <v>1328</v>
      </c>
      <c r="E625" t="s">
        <v>20</v>
      </c>
      <c r="F625" t="s">
        <v>21</v>
      </c>
      <c r="G625" t="s">
        <v>89</v>
      </c>
      <c r="H625" t="str">
        <f t="shared" si="28"/>
        <v>12</v>
      </c>
      <c r="I625" t="str">
        <f t="shared" si="29"/>
        <v>D</v>
      </c>
      <c r="J625" t="s">
        <v>23</v>
      </c>
      <c r="K625" t="s">
        <v>78</v>
      </c>
      <c r="L625" t="s">
        <v>25</v>
      </c>
      <c r="M625" t="s">
        <v>6</v>
      </c>
      <c r="N625">
        <v>1</v>
      </c>
      <c r="O625">
        <v>2</v>
      </c>
      <c r="P625" t="s">
        <v>27</v>
      </c>
      <c r="Q625" t="s">
        <v>28</v>
      </c>
      <c r="R625" t="s">
        <v>28</v>
      </c>
      <c r="S625" t="s">
        <v>28</v>
      </c>
      <c r="T625" t="s">
        <v>28</v>
      </c>
      <c r="U625" t="s">
        <v>28</v>
      </c>
      <c r="V625" t="s">
        <v>28</v>
      </c>
      <c r="W625">
        <v>0</v>
      </c>
      <c r="X625" t="s">
        <v>29</v>
      </c>
    </row>
    <row r="626" spans="1:24" x14ac:dyDescent="0.2">
      <c r="A626" t="str">
        <f t="shared" si="27"/>
        <v>sample_novaseq-16S-A-E01-L0_SICap-P1-E1-P1D2-BB-C1R1-noBile-rep1-day2</v>
      </c>
      <c r="B626" s="1" t="s">
        <v>222</v>
      </c>
      <c r="C626" s="3" t="s">
        <v>798</v>
      </c>
      <c r="D626" s="3" t="s">
        <v>1328</v>
      </c>
      <c r="E626" t="s">
        <v>20</v>
      </c>
      <c r="F626" t="s">
        <v>21</v>
      </c>
      <c r="G626" t="s">
        <v>90</v>
      </c>
      <c r="H626" t="str">
        <f t="shared" si="28"/>
        <v>01</v>
      </c>
      <c r="I626" t="str">
        <f t="shared" si="29"/>
        <v>E</v>
      </c>
      <c r="J626" t="s">
        <v>23</v>
      </c>
      <c r="K626" t="s">
        <v>91</v>
      </c>
      <c r="L626" t="s">
        <v>25</v>
      </c>
      <c r="M626" t="s">
        <v>26</v>
      </c>
      <c r="N626">
        <v>1</v>
      </c>
      <c r="O626">
        <v>2</v>
      </c>
      <c r="P626" t="s">
        <v>27</v>
      </c>
      <c r="Q626" t="s">
        <v>28</v>
      </c>
      <c r="R626" t="s">
        <v>28</v>
      </c>
      <c r="S626" t="s">
        <v>28</v>
      </c>
      <c r="T626" t="s">
        <v>28</v>
      </c>
      <c r="U626" t="s">
        <v>28</v>
      </c>
      <c r="V626" t="s">
        <v>28</v>
      </c>
      <c r="W626">
        <v>0</v>
      </c>
      <c r="X626" t="s">
        <v>29</v>
      </c>
    </row>
    <row r="627" spans="1:24" x14ac:dyDescent="0.2">
      <c r="A627" t="str">
        <f t="shared" si="27"/>
        <v>sample_novaseq-16S-A-E02-L0_SICap-P1-E2-P1D2-BB-C1R2-noBile-rep1-day2</v>
      </c>
      <c r="B627" s="1" t="s">
        <v>223</v>
      </c>
      <c r="C627" s="3" t="s">
        <v>799</v>
      </c>
      <c r="D627" s="3" t="s">
        <v>1328</v>
      </c>
      <c r="E627" t="s">
        <v>20</v>
      </c>
      <c r="F627" t="s">
        <v>21</v>
      </c>
      <c r="G627" t="s">
        <v>92</v>
      </c>
      <c r="H627" t="str">
        <f t="shared" si="28"/>
        <v>02</v>
      </c>
      <c r="I627" t="str">
        <f t="shared" si="29"/>
        <v>E</v>
      </c>
      <c r="J627" t="s">
        <v>23</v>
      </c>
      <c r="K627" t="s">
        <v>91</v>
      </c>
      <c r="L627" t="s">
        <v>25</v>
      </c>
      <c r="M627" t="s">
        <v>31</v>
      </c>
      <c r="N627">
        <v>1</v>
      </c>
      <c r="O627">
        <v>2</v>
      </c>
      <c r="P627" t="s">
        <v>27</v>
      </c>
      <c r="Q627" t="s">
        <v>28</v>
      </c>
      <c r="R627" t="s">
        <v>28</v>
      </c>
      <c r="S627" t="s">
        <v>28</v>
      </c>
      <c r="T627" t="s">
        <v>28</v>
      </c>
      <c r="U627" t="s">
        <v>28</v>
      </c>
      <c r="V627" t="s">
        <v>28</v>
      </c>
      <c r="W627">
        <v>0</v>
      </c>
      <c r="X627" t="s">
        <v>29</v>
      </c>
    </row>
    <row r="628" spans="1:24" x14ac:dyDescent="0.2">
      <c r="A628" t="str">
        <f t="shared" si="27"/>
        <v>sample_novaseq-16S-A-E03-L0_SICap-P1-E3-P1D2-BB-C2R1-noBile-rep1-day2</v>
      </c>
      <c r="B628" s="1" t="s">
        <v>224</v>
      </c>
      <c r="C628" s="3" t="s">
        <v>800</v>
      </c>
      <c r="D628" s="3" t="s">
        <v>1328</v>
      </c>
      <c r="E628" t="s">
        <v>20</v>
      </c>
      <c r="F628" t="s">
        <v>21</v>
      </c>
      <c r="G628" t="s">
        <v>93</v>
      </c>
      <c r="H628" t="str">
        <f t="shared" si="28"/>
        <v>03</v>
      </c>
      <c r="I628" t="str">
        <f t="shared" si="29"/>
        <v>E</v>
      </c>
      <c r="J628" t="s">
        <v>23</v>
      </c>
      <c r="K628" t="s">
        <v>91</v>
      </c>
      <c r="L628" t="s">
        <v>25</v>
      </c>
      <c r="M628" t="s">
        <v>33</v>
      </c>
      <c r="N628">
        <v>1</v>
      </c>
      <c r="O628">
        <v>2</v>
      </c>
      <c r="P628" t="s">
        <v>27</v>
      </c>
      <c r="Q628" t="s">
        <v>28</v>
      </c>
      <c r="R628" t="s">
        <v>28</v>
      </c>
      <c r="S628" t="s">
        <v>28</v>
      </c>
      <c r="T628" t="s">
        <v>28</v>
      </c>
      <c r="U628" t="s">
        <v>28</v>
      </c>
      <c r="V628" t="s">
        <v>28</v>
      </c>
      <c r="W628">
        <v>0</v>
      </c>
      <c r="X628" t="s">
        <v>29</v>
      </c>
    </row>
    <row r="629" spans="1:24" x14ac:dyDescent="0.2">
      <c r="A629" t="str">
        <f t="shared" si="27"/>
        <v>sample_novaseq-16S-A-E04-L0_SICap-P1-E4-P1D2-BB-C2R2-noBile-rep1-day2</v>
      </c>
      <c r="B629" s="1" t="s">
        <v>225</v>
      </c>
      <c r="C629" s="3" t="s">
        <v>801</v>
      </c>
      <c r="D629" s="3" t="s">
        <v>1328</v>
      </c>
      <c r="E629" t="s">
        <v>20</v>
      </c>
      <c r="F629" t="s">
        <v>21</v>
      </c>
      <c r="G629" t="s">
        <v>94</v>
      </c>
      <c r="H629" t="str">
        <f t="shared" si="28"/>
        <v>04</v>
      </c>
      <c r="I629" t="str">
        <f t="shared" si="29"/>
        <v>E</v>
      </c>
      <c r="J629" t="s">
        <v>23</v>
      </c>
      <c r="K629" t="s">
        <v>91</v>
      </c>
      <c r="L629" t="s">
        <v>25</v>
      </c>
      <c r="M629" t="s">
        <v>35</v>
      </c>
      <c r="N629">
        <v>1</v>
      </c>
      <c r="O629">
        <v>2</v>
      </c>
      <c r="P629" t="s">
        <v>27</v>
      </c>
      <c r="Q629" t="s">
        <v>28</v>
      </c>
      <c r="R629" t="s">
        <v>28</v>
      </c>
      <c r="S629" t="s">
        <v>28</v>
      </c>
      <c r="T629" t="s">
        <v>28</v>
      </c>
      <c r="U629" t="s">
        <v>28</v>
      </c>
      <c r="V629" t="s">
        <v>28</v>
      </c>
      <c r="W629">
        <v>0</v>
      </c>
      <c r="X629" t="s">
        <v>29</v>
      </c>
    </row>
    <row r="630" spans="1:24" x14ac:dyDescent="0.2">
      <c r="A630" t="str">
        <f t="shared" si="27"/>
        <v>sample_novaseq-16S-A-E05-L0_SICap-P1-E5-P1D2-BB-C3R1-noBile-rep1-day2</v>
      </c>
      <c r="B630" s="1" t="s">
        <v>226</v>
      </c>
      <c r="C630" s="3" t="s">
        <v>802</v>
      </c>
      <c r="D630" s="3" t="s">
        <v>1328</v>
      </c>
      <c r="E630" t="s">
        <v>20</v>
      </c>
      <c r="F630" t="s">
        <v>21</v>
      </c>
      <c r="G630" t="s">
        <v>95</v>
      </c>
      <c r="H630" t="str">
        <f t="shared" si="28"/>
        <v>05</v>
      </c>
      <c r="I630" t="str">
        <f t="shared" si="29"/>
        <v>E</v>
      </c>
      <c r="J630" t="s">
        <v>23</v>
      </c>
      <c r="K630" t="s">
        <v>91</v>
      </c>
      <c r="L630" t="s">
        <v>25</v>
      </c>
      <c r="M630" t="s">
        <v>37</v>
      </c>
      <c r="N630">
        <v>1</v>
      </c>
      <c r="O630">
        <v>2</v>
      </c>
      <c r="P630" t="s">
        <v>27</v>
      </c>
      <c r="Q630" t="s">
        <v>28</v>
      </c>
      <c r="R630" t="s">
        <v>28</v>
      </c>
      <c r="S630" t="s">
        <v>28</v>
      </c>
      <c r="T630" t="s">
        <v>28</v>
      </c>
      <c r="U630" t="s">
        <v>28</v>
      </c>
      <c r="V630" t="s">
        <v>28</v>
      </c>
      <c r="W630">
        <v>0</v>
      </c>
      <c r="X630" t="s">
        <v>29</v>
      </c>
    </row>
    <row r="631" spans="1:24" x14ac:dyDescent="0.2">
      <c r="A631" t="str">
        <f t="shared" si="27"/>
        <v>sample_novaseq-16S-A-E06-L0_SICap-P1-E6-P1D2-BB-C3R2-noBile-rep1-day2</v>
      </c>
      <c r="B631" s="1" t="s">
        <v>227</v>
      </c>
      <c r="C631" s="3" t="s">
        <v>803</v>
      </c>
      <c r="D631" s="3" t="s">
        <v>1328</v>
      </c>
      <c r="E631" t="s">
        <v>20</v>
      </c>
      <c r="F631" t="s">
        <v>21</v>
      </c>
      <c r="G631" t="s">
        <v>96</v>
      </c>
      <c r="H631" t="str">
        <f t="shared" si="28"/>
        <v>06</v>
      </c>
      <c r="I631" t="str">
        <f t="shared" si="29"/>
        <v>E</v>
      </c>
      <c r="J631" t="s">
        <v>23</v>
      </c>
      <c r="K631" t="s">
        <v>91</v>
      </c>
      <c r="L631" t="s">
        <v>25</v>
      </c>
      <c r="M631" t="s">
        <v>39</v>
      </c>
      <c r="N631">
        <v>1</v>
      </c>
      <c r="O631">
        <v>2</v>
      </c>
      <c r="P631" t="s">
        <v>27</v>
      </c>
      <c r="Q631" t="s">
        <v>28</v>
      </c>
      <c r="R631" t="s">
        <v>28</v>
      </c>
      <c r="S631" t="s">
        <v>28</v>
      </c>
      <c r="T631" t="s">
        <v>28</v>
      </c>
      <c r="U631" t="s">
        <v>28</v>
      </c>
      <c r="V631" t="s">
        <v>28</v>
      </c>
      <c r="W631">
        <v>0</v>
      </c>
      <c r="X631" t="s">
        <v>29</v>
      </c>
    </row>
    <row r="632" spans="1:24" x14ac:dyDescent="0.2">
      <c r="A632" t="str">
        <f t="shared" si="27"/>
        <v>sample_novaseq-16S-A-E07-L0_SICap-P1-E7-P1D2-BB-C4R1-noBile-rep1-day2</v>
      </c>
      <c r="B632" s="1" t="s">
        <v>228</v>
      </c>
      <c r="C632" s="3" t="s">
        <v>804</v>
      </c>
      <c r="D632" s="3" t="s">
        <v>1328</v>
      </c>
      <c r="E632" t="s">
        <v>20</v>
      </c>
      <c r="F632" t="s">
        <v>21</v>
      </c>
      <c r="G632" t="s">
        <v>97</v>
      </c>
      <c r="H632" t="str">
        <f t="shared" si="28"/>
        <v>07</v>
      </c>
      <c r="I632" t="str">
        <f t="shared" si="29"/>
        <v>E</v>
      </c>
      <c r="J632" t="s">
        <v>23</v>
      </c>
      <c r="K632" t="s">
        <v>91</v>
      </c>
      <c r="L632" t="s">
        <v>25</v>
      </c>
      <c r="M632" t="s">
        <v>41</v>
      </c>
      <c r="N632">
        <v>1</v>
      </c>
      <c r="O632">
        <v>2</v>
      </c>
      <c r="P632" t="s">
        <v>27</v>
      </c>
      <c r="Q632" t="s">
        <v>28</v>
      </c>
      <c r="R632" t="s">
        <v>28</v>
      </c>
      <c r="S632" t="s">
        <v>28</v>
      </c>
      <c r="T632" t="s">
        <v>28</v>
      </c>
      <c r="U632" t="s">
        <v>28</v>
      </c>
      <c r="V632" t="s">
        <v>28</v>
      </c>
      <c r="W632">
        <v>0</v>
      </c>
      <c r="X632" t="s">
        <v>29</v>
      </c>
    </row>
    <row r="633" spans="1:24" x14ac:dyDescent="0.2">
      <c r="A633" t="str">
        <f t="shared" si="27"/>
        <v>sample_novaseq-16S-A-E08-L0_SICap-P1-E8-P1D2-BB-C4R2-noBile-rep1-day2</v>
      </c>
      <c r="B633" s="1" t="s">
        <v>229</v>
      </c>
      <c r="C633" s="3" t="s">
        <v>805</v>
      </c>
      <c r="D633" s="3" t="s">
        <v>1328</v>
      </c>
      <c r="E633" t="s">
        <v>20</v>
      </c>
      <c r="F633" t="s">
        <v>21</v>
      </c>
      <c r="G633" t="s">
        <v>98</v>
      </c>
      <c r="H633" t="str">
        <f t="shared" si="28"/>
        <v>08</v>
      </c>
      <c r="I633" t="str">
        <f t="shared" si="29"/>
        <v>E</v>
      </c>
      <c r="J633" t="s">
        <v>23</v>
      </c>
      <c r="K633" t="s">
        <v>91</v>
      </c>
      <c r="L633" t="s">
        <v>25</v>
      </c>
      <c r="M633" t="s">
        <v>43</v>
      </c>
      <c r="N633">
        <v>1</v>
      </c>
      <c r="O633">
        <v>2</v>
      </c>
      <c r="P633" t="s">
        <v>27</v>
      </c>
      <c r="Q633" t="s">
        <v>28</v>
      </c>
      <c r="R633" t="s">
        <v>28</v>
      </c>
      <c r="S633" t="s">
        <v>28</v>
      </c>
      <c r="T633" t="s">
        <v>28</v>
      </c>
      <c r="U633" t="s">
        <v>28</v>
      </c>
      <c r="V633" t="s">
        <v>28</v>
      </c>
      <c r="W633">
        <v>0</v>
      </c>
      <c r="X633" t="s">
        <v>29</v>
      </c>
    </row>
    <row r="634" spans="1:24" x14ac:dyDescent="0.2">
      <c r="A634" t="str">
        <f t="shared" si="27"/>
        <v>sample_novaseq-16S-A-E09-L0_SICap-P1-E9-P1D2-BB-S1R2-noBile-rep1-day2</v>
      </c>
      <c r="B634" s="1" t="s">
        <v>230</v>
      </c>
      <c r="C634" s="3" t="s">
        <v>806</v>
      </c>
      <c r="D634" s="3" t="s">
        <v>1328</v>
      </c>
      <c r="E634" t="s">
        <v>20</v>
      </c>
      <c r="F634" t="s">
        <v>21</v>
      </c>
      <c r="G634" t="s">
        <v>99</v>
      </c>
      <c r="H634" t="str">
        <f t="shared" si="28"/>
        <v>09</v>
      </c>
      <c r="I634" t="str">
        <f t="shared" si="29"/>
        <v>E</v>
      </c>
      <c r="J634" t="s">
        <v>23</v>
      </c>
      <c r="K634" t="s">
        <v>91</v>
      </c>
      <c r="L634" t="s">
        <v>25</v>
      </c>
      <c r="M634" t="s">
        <v>45</v>
      </c>
      <c r="N634">
        <v>1</v>
      </c>
      <c r="O634">
        <v>2</v>
      </c>
      <c r="P634" t="s">
        <v>27</v>
      </c>
      <c r="Q634" t="s">
        <v>28</v>
      </c>
      <c r="R634" t="s">
        <v>28</v>
      </c>
      <c r="S634" t="s">
        <v>28</v>
      </c>
      <c r="T634" t="s">
        <v>28</v>
      </c>
      <c r="U634" t="s">
        <v>28</v>
      </c>
      <c r="V634" t="s">
        <v>28</v>
      </c>
      <c r="W634">
        <v>0</v>
      </c>
      <c r="X634" t="s">
        <v>29</v>
      </c>
    </row>
    <row r="635" spans="1:24" x14ac:dyDescent="0.2">
      <c r="A635" t="str">
        <f t="shared" si="27"/>
        <v>sample_novaseq-16S-A-E10-L0_SICap-P1-E10-P1D2-BB-StoolPool-noBile-rep1-day2</v>
      </c>
      <c r="B635" s="1" t="s">
        <v>231</v>
      </c>
      <c r="C635" s="3" t="s">
        <v>807</v>
      </c>
      <c r="D635" s="3" t="s">
        <v>1328</v>
      </c>
      <c r="E635" t="s">
        <v>20</v>
      </c>
      <c r="F635" t="s">
        <v>21</v>
      </c>
      <c r="G635" t="s">
        <v>100</v>
      </c>
      <c r="H635" t="str">
        <f t="shared" si="28"/>
        <v>10</v>
      </c>
      <c r="I635" t="str">
        <f t="shared" si="29"/>
        <v>E</v>
      </c>
      <c r="J635" t="s">
        <v>23</v>
      </c>
      <c r="K635" t="s">
        <v>91</v>
      </c>
      <c r="L635" t="s">
        <v>25</v>
      </c>
      <c r="M635" t="s">
        <v>47</v>
      </c>
      <c r="N635">
        <v>1</v>
      </c>
      <c r="O635">
        <v>2</v>
      </c>
      <c r="P635" t="s">
        <v>27</v>
      </c>
      <c r="Q635" t="s">
        <v>28</v>
      </c>
      <c r="R635" t="s">
        <v>28</v>
      </c>
      <c r="S635" t="s">
        <v>28</v>
      </c>
      <c r="T635" t="s">
        <v>28</v>
      </c>
      <c r="U635" t="s">
        <v>28</v>
      </c>
      <c r="V635" t="s">
        <v>28</v>
      </c>
      <c r="W635">
        <v>0</v>
      </c>
      <c r="X635" t="s">
        <v>29</v>
      </c>
    </row>
    <row r="636" spans="1:24" x14ac:dyDescent="0.2">
      <c r="A636" t="str">
        <f t="shared" si="27"/>
        <v>sample_novaseq-16S-A-E11-L0_SICap-P1-E11-P1D2-BB-SIPool-noBile-rep1-day2</v>
      </c>
      <c r="B636" s="1" t="s">
        <v>232</v>
      </c>
      <c r="C636" s="3" t="s">
        <v>808</v>
      </c>
      <c r="D636" s="3" t="s">
        <v>1328</v>
      </c>
      <c r="E636" t="s">
        <v>20</v>
      </c>
      <c r="F636" t="s">
        <v>21</v>
      </c>
      <c r="G636" t="s">
        <v>101</v>
      </c>
      <c r="H636" t="str">
        <f t="shared" si="28"/>
        <v>11</v>
      </c>
      <c r="I636" t="str">
        <f t="shared" si="29"/>
        <v>E</v>
      </c>
      <c r="J636" t="s">
        <v>23</v>
      </c>
      <c r="K636" t="s">
        <v>91</v>
      </c>
      <c r="L636" t="s">
        <v>25</v>
      </c>
      <c r="M636" t="s">
        <v>49</v>
      </c>
      <c r="N636">
        <v>1</v>
      </c>
      <c r="O636">
        <v>2</v>
      </c>
      <c r="P636" t="s">
        <v>27</v>
      </c>
      <c r="Q636" t="s">
        <v>28</v>
      </c>
      <c r="R636" t="s">
        <v>28</v>
      </c>
      <c r="S636" t="s">
        <v>28</v>
      </c>
      <c r="T636" t="s">
        <v>28</v>
      </c>
      <c r="U636" t="s">
        <v>28</v>
      </c>
      <c r="V636" t="s">
        <v>28</v>
      </c>
      <c r="W636">
        <v>0</v>
      </c>
      <c r="X636" t="s">
        <v>29</v>
      </c>
    </row>
    <row r="637" spans="1:24" x14ac:dyDescent="0.2">
      <c r="A637" t="str">
        <f t="shared" si="27"/>
        <v>sample_novaseq-16S-A-E12-L0_SICap-P1-E12-P1D2-BB-Media-noBile-rep1-day2</v>
      </c>
      <c r="B637" s="1" t="s">
        <v>233</v>
      </c>
      <c r="C637" s="3" t="s">
        <v>809</v>
      </c>
      <c r="D637" s="3" t="s">
        <v>1328</v>
      </c>
      <c r="E637" t="s">
        <v>20</v>
      </c>
      <c r="F637" t="s">
        <v>21</v>
      </c>
      <c r="G637" t="s">
        <v>102</v>
      </c>
      <c r="H637" t="str">
        <f t="shared" si="28"/>
        <v>12</v>
      </c>
      <c r="I637" t="str">
        <f t="shared" si="29"/>
        <v>E</v>
      </c>
      <c r="J637" t="s">
        <v>23</v>
      </c>
      <c r="K637" t="s">
        <v>91</v>
      </c>
      <c r="L637" t="s">
        <v>25</v>
      </c>
      <c r="M637" t="s">
        <v>6</v>
      </c>
      <c r="N637">
        <v>1</v>
      </c>
      <c r="O637">
        <v>2</v>
      </c>
      <c r="P637" t="s">
        <v>27</v>
      </c>
      <c r="Q637" t="s">
        <v>28</v>
      </c>
      <c r="R637" t="s">
        <v>28</v>
      </c>
      <c r="S637" t="s">
        <v>28</v>
      </c>
      <c r="T637" t="s">
        <v>28</v>
      </c>
      <c r="U637" t="s">
        <v>28</v>
      </c>
      <c r="V637" t="s">
        <v>28</v>
      </c>
      <c r="W637">
        <v>0</v>
      </c>
      <c r="X637" t="s">
        <v>29</v>
      </c>
    </row>
    <row r="638" spans="1:24" x14ac:dyDescent="0.2">
      <c r="A638" t="str">
        <f t="shared" si="27"/>
        <v>sample_novaseq-16S-A-F01-L0_SICap-P1-F1-P1D2-YCFAG-C1R1-noBile-rep1-day2</v>
      </c>
      <c r="B638" s="1" t="s">
        <v>234</v>
      </c>
      <c r="C638" s="3" t="s">
        <v>810</v>
      </c>
      <c r="D638" s="3" t="s">
        <v>1328</v>
      </c>
      <c r="E638" t="s">
        <v>20</v>
      </c>
      <c r="F638" t="s">
        <v>21</v>
      </c>
      <c r="G638" t="s">
        <v>103</v>
      </c>
      <c r="H638" t="str">
        <f t="shared" si="28"/>
        <v>01</v>
      </c>
      <c r="I638" t="str">
        <f t="shared" si="29"/>
        <v>F</v>
      </c>
      <c r="J638" t="s">
        <v>23</v>
      </c>
      <c r="K638" t="s">
        <v>104</v>
      </c>
      <c r="L638" t="s">
        <v>25</v>
      </c>
      <c r="M638" t="s">
        <v>26</v>
      </c>
      <c r="N638">
        <v>1</v>
      </c>
      <c r="O638">
        <v>2</v>
      </c>
      <c r="P638" t="s">
        <v>27</v>
      </c>
      <c r="Q638" t="s">
        <v>28</v>
      </c>
      <c r="R638" t="s">
        <v>28</v>
      </c>
      <c r="S638" t="s">
        <v>28</v>
      </c>
      <c r="T638" t="s">
        <v>28</v>
      </c>
      <c r="U638" t="s">
        <v>28</v>
      </c>
      <c r="V638" t="s">
        <v>28</v>
      </c>
      <c r="W638">
        <v>0</v>
      </c>
      <c r="X638" t="s">
        <v>29</v>
      </c>
    </row>
    <row r="639" spans="1:24" x14ac:dyDescent="0.2">
      <c r="A639" t="str">
        <f t="shared" si="27"/>
        <v>sample_novaseq-16S-A-F02-L0_SICap-P1-F2-P1D2-YCFAG-C1R2-noBile-rep1-day2</v>
      </c>
      <c r="B639" s="1" t="s">
        <v>235</v>
      </c>
      <c r="C639" s="3" t="s">
        <v>811</v>
      </c>
      <c r="D639" s="3" t="s">
        <v>1328</v>
      </c>
      <c r="E639" t="s">
        <v>20</v>
      </c>
      <c r="F639" t="s">
        <v>21</v>
      </c>
      <c r="G639" t="s">
        <v>105</v>
      </c>
      <c r="H639" t="str">
        <f t="shared" si="28"/>
        <v>02</v>
      </c>
      <c r="I639" t="str">
        <f t="shared" si="29"/>
        <v>F</v>
      </c>
      <c r="J639" t="s">
        <v>23</v>
      </c>
      <c r="K639" t="s">
        <v>104</v>
      </c>
      <c r="L639" t="s">
        <v>25</v>
      </c>
      <c r="M639" t="s">
        <v>31</v>
      </c>
      <c r="N639">
        <v>1</v>
      </c>
      <c r="O639">
        <v>2</v>
      </c>
      <c r="P639" t="s">
        <v>27</v>
      </c>
      <c r="Q639" t="s">
        <v>28</v>
      </c>
      <c r="R639" t="s">
        <v>28</v>
      </c>
      <c r="S639" t="s">
        <v>28</v>
      </c>
      <c r="T639" t="s">
        <v>28</v>
      </c>
      <c r="U639" t="s">
        <v>28</v>
      </c>
      <c r="V639" t="s">
        <v>28</v>
      </c>
      <c r="W639">
        <v>0</v>
      </c>
      <c r="X639" t="s">
        <v>29</v>
      </c>
    </row>
    <row r="640" spans="1:24" x14ac:dyDescent="0.2">
      <c r="A640" t="str">
        <f t="shared" si="27"/>
        <v>sample_novaseq-16S-A-F03-L0_SICap-P1-F3-P1D2-YCFAG-C2R1-noBile-rep1-day2</v>
      </c>
      <c r="B640" s="1" t="s">
        <v>236</v>
      </c>
      <c r="C640" s="3" t="s">
        <v>812</v>
      </c>
      <c r="D640" s="3" t="s">
        <v>1328</v>
      </c>
      <c r="E640" t="s">
        <v>20</v>
      </c>
      <c r="F640" t="s">
        <v>21</v>
      </c>
      <c r="G640" t="s">
        <v>106</v>
      </c>
      <c r="H640" t="str">
        <f t="shared" si="28"/>
        <v>03</v>
      </c>
      <c r="I640" t="str">
        <f t="shared" si="29"/>
        <v>F</v>
      </c>
      <c r="J640" t="s">
        <v>23</v>
      </c>
      <c r="K640" t="s">
        <v>104</v>
      </c>
      <c r="L640" t="s">
        <v>25</v>
      </c>
      <c r="M640" t="s">
        <v>33</v>
      </c>
      <c r="N640">
        <v>1</v>
      </c>
      <c r="O640">
        <v>2</v>
      </c>
      <c r="P640" t="s">
        <v>27</v>
      </c>
      <c r="Q640" t="s">
        <v>28</v>
      </c>
      <c r="R640" t="s">
        <v>28</v>
      </c>
      <c r="S640" t="s">
        <v>28</v>
      </c>
      <c r="T640" t="s">
        <v>28</v>
      </c>
      <c r="U640" t="s">
        <v>28</v>
      </c>
      <c r="V640" t="s">
        <v>28</v>
      </c>
      <c r="W640">
        <v>0</v>
      </c>
      <c r="X640" t="s">
        <v>29</v>
      </c>
    </row>
    <row r="641" spans="1:24" x14ac:dyDescent="0.2">
      <c r="A641" t="str">
        <f t="shared" si="27"/>
        <v>sample_novaseq-16S-A-F04-L0_SICap-P1-F4-P1D2-YCFAG-C2R2-noBile-rep1-day2</v>
      </c>
      <c r="B641" s="1" t="s">
        <v>237</v>
      </c>
      <c r="C641" s="3" t="s">
        <v>813</v>
      </c>
      <c r="D641" s="3" t="s">
        <v>1328</v>
      </c>
      <c r="E641" t="s">
        <v>20</v>
      </c>
      <c r="F641" t="s">
        <v>21</v>
      </c>
      <c r="G641" t="s">
        <v>107</v>
      </c>
      <c r="H641" t="str">
        <f t="shared" si="28"/>
        <v>04</v>
      </c>
      <c r="I641" t="str">
        <f t="shared" si="29"/>
        <v>F</v>
      </c>
      <c r="J641" t="s">
        <v>23</v>
      </c>
      <c r="K641" t="s">
        <v>104</v>
      </c>
      <c r="L641" t="s">
        <v>25</v>
      </c>
      <c r="M641" t="s">
        <v>35</v>
      </c>
      <c r="N641">
        <v>1</v>
      </c>
      <c r="O641">
        <v>2</v>
      </c>
      <c r="P641" t="s">
        <v>27</v>
      </c>
      <c r="Q641" t="s">
        <v>28</v>
      </c>
      <c r="R641" t="s">
        <v>28</v>
      </c>
      <c r="S641" t="s">
        <v>28</v>
      </c>
      <c r="T641" t="s">
        <v>28</v>
      </c>
      <c r="U641" t="s">
        <v>28</v>
      </c>
      <c r="V641" t="s">
        <v>28</v>
      </c>
      <c r="W641">
        <v>0</v>
      </c>
      <c r="X641" t="s">
        <v>29</v>
      </c>
    </row>
    <row r="642" spans="1:24" x14ac:dyDescent="0.2">
      <c r="A642" t="str">
        <f t="shared" si="27"/>
        <v>sample_novaseq-16S-A-F05-L0_SICap-P1-F5-P1D2-YCFAG-C3R1-noBile-rep1-day2</v>
      </c>
      <c r="B642" s="1" t="s">
        <v>238</v>
      </c>
      <c r="C642" s="3" t="s">
        <v>814</v>
      </c>
      <c r="D642" s="3" t="s">
        <v>1328</v>
      </c>
      <c r="E642" t="s">
        <v>20</v>
      </c>
      <c r="F642" t="s">
        <v>21</v>
      </c>
      <c r="G642" t="s">
        <v>108</v>
      </c>
      <c r="H642" t="str">
        <f t="shared" si="28"/>
        <v>05</v>
      </c>
      <c r="I642" t="str">
        <f t="shared" si="29"/>
        <v>F</v>
      </c>
      <c r="J642" t="s">
        <v>23</v>
      </c>
      <c r="K642" t="s">
        <v>104</v>
      </c>
      <c r="L642" t="s">
        <v>25</v>
      </c>
      <c r="M642" t="s">
        <v>37</v>
      </c>
      <c r="N642">
        <v>1</v>
      </c>
      <c r="O642">
        <v>2</v>
      </c>
      <c r="P642" t="s">
        <v>27</v>
      </c>
      <c r="Q642" t="s">
        <v>28</v>
      </c>
      <c r="R642" t="s">
        <v>28</v>
      </c>
      <c r="S642" t="s">
        <v>28</v>
      </c>
      <c r="T642" t="s">
        <v>28</v>
      </c>
      <c r="U642" t="s">
        <v>28</v>
      </c>
      <c r="V642" t="s">
        <v>28</v>
      </c>
      <c r="W642">
        <v>0</v>
      </c>
      <c r="X642" t="s">
        <v>29</v>
      </c>
    </row>
    <row r="643" spans="1:24" x14ac:dyDescent="0.2">
      <c r="A643" t="str">
        <f t="shared" ref="A643:A706" si="30">_xlfn.CONCAT("sample_novaseq-",C643)</f>
        <v>sample_novaseq-16S-A-F06-L0_SICap-P1-F6-P1D2-YCFAG-C3R2-noBile-rep1-day2</v>
      </c>
      <c r="B643" s="1" t="s">
        <v>239</v>
      </c>
      <c r="C643" s="3" t="s">
        <v>815</v>
      </c>
      <c r="D643" s="3" t="s">
        <v>1328</v>
      </c>
      <c r="E643" t="s">
        <v>20</v>
      </c>
      <c r="F643" t="s">
        <v>21</v>
      </c>
      <c r="G643" t="s">
        <v>109</v>
      </c>
      <c r="H643" t="str">
        <f t="shared" ref="H643:H706" si="31">RIGHT(G643,2)</f>
        <v>06</v>
      </c>
      <c r="I643" t="str">
        <f t="shared" ref="I643:I706" si="32">LEFT(G643)</f>
        <v>F</v>
      </c>
      <c r="J643" t="s">
        <v>23</v>
      </c>
      <c r="K643" t="s">
        <v>104</v>
      </c>
      <c r="L643" t="s">
        <v>25</v>
      </c>
      <c r="M643" t="s">
        <v>39</v>
      </c>
      <c r="N643">
        <v>1</v>
      </c>
      <c r="O643">
        <v>2</v>
      </c>
      <c r="P643" t="s">
        <v>27</v>
      </c>
      <c r="Q643" t="s">
        <v>28</v>
      </c>
      <c r="R643" t="s">
        <v>28</v>
      </c>
      <c r="S643" t="s">
        <v>28</v>
      </c>
      <c r="T643" t="s">
        <v>28</v>
      </c>
      <c r="U643" t="s">
        <v>28</v>
      </c>
      <c r="V643" t="s">
        <v>28</v>
      </c>
      <c r="W643">
        <v>0</v>
      </c>
      <c r="X643" t="s">
        <v>29</v>
      </c>
    </row>
    <row r="644" spans="1:24" x14ac:dyDescent="0.2">
      <c r="A644" t="str">
        <f t="shared" si="30"/>
        <v>sample_novaseq-16S-A-F07-L0_SICap-P1-F7-P1D2-YCFAG-C4R1-noBile-rep1-day2</v>
      </c>
      <c r="B644" s="1" t="s">
        <v>240</v>
      </c>
      <c r="C644" s="3" t="s">
        <v>816</v>
      </c>
      <c r="D644" s="3" t="s">
        <v>1328</v>
      </c>
      <c r="E644" t="s">
        <v>20</v>
      </c>
      <c r="F644" t="s">
        <v>21</v>
      </c>
      <c r="G644" t="s">
        <v>110</v>
      </c>
      <c r="H644" t="str">
        <f t="shared" si="31"/>
        <v>07</v>
      </c>
      <c r="I644" t="str">
        <f t="shared" si="32"/>
        <v>F</v>
      </c>
      <c r="J644" t="s">
        <v>23</v>
      </c>
      <c r="K644" t="s">
        <v>104</v>
      </c>
      <c r="L644" t="s">
        <v>25</v>
      </c>
      <c r="M644" t="s">
        <v>41</v>
      </c>
      <c r="N644">
        <v>1</v>
      </c>
      <c r="O644">
        <v>2</v>
      </c>
      <c r="P644" t="s">
        <v>27</v>
      </c>
      <c r="Q644" t="s">
        <v>28</v>
      </c>
      <c r="R644" t="s">
        <v>28</v>
      </c>
      <c r="S644" t="s">
        <v>28</v>
      </c>
      <c r="T644" t="s">
        <v>28</v>
      </c>
      <c r="U644" t="s">
        <v>28</v>
      </c>
      <c r="V644" t="s">
        <v>28</v>
      </c>
      <c r="W644">
        <v>0</v>
      </c>
      <c r="X644" t="s">
        <v>29</v>
      </c>
    </row>
    <row r="645" spans="1:24" x14ac:dyDescent="0.2">
      <c r="A645" t="str">
        <f t="shared" si="30"/>
        <v>sample_novaseq-16S-A-F08-L0_SICap-P1-F8-P1D2-YCFAG-C4R2-noBile-rep1-day2</v>
      </c>
      <c r="B645" s="1" t="s">
        <v>241</v>
      </c>
      <c r="C645" s="3" t="s">
        <v>817</v>
      </c>
      <c r="D645" s="3" t="s">
        <v>1328</v>
      </c>
      <c r="E645" t="s">
        <v>20</v>
      </c>
      <c r="F645" t="s">
        <v>21</v>
      </c>
      <c r="G645" t="s">
        <v>111</v>
      </c>
      <c r="H645" t="str">
        <f t="shared" si="31"/>
        <v>08</v>
      </c>
      <c r="I645" t="str">
        <f t="shared" si="32"/>
        <v>F</v>
      </c>
      <c r="J645" t="s">
        <v>23</v>
      </c>
      <c r="K645" t="s">
        <v>104</v>
      </c>
      <c r="L645" t="s">
        <v>25</v>
      </c>
      <c r="M645" t="s">
        <v>43</v>
      </c>
      <c r="N645">
        <v>1</v>
      </c>
      <c r="O645">
        <v>2</v>
      </c>
      <c r="P645" t="s">
        <v>27</v>
      </c>
      <c r="Q645" t="s">
        <v>28</v>
      </c>
      <c r="R645" t="s">
        <v>28</v>
      </c>
      <c r="S645" t="s">
        <v>28</v>
      </c>
      <c r="T645" t="s">
        <v>28</v>
      </c>
      <c r="U645" t="s">
        <v>28</v>
      </c>
      <c r="V645" t="s">
        <v>28</v>
      </c>
      <c r="W645">
        <v>0</v>
      </c>
      <c r="X645" t="s">
        <v>29</v>
      </c>
    </row>
    <row r="646" spans="1:24" x14ac:dyDescent="0.2">
      <c r="A646" t="str">
        <f t="shared" si="30"/>
        <v>sample_novaseq-16S-A-F09-L0_SICap-P1-F9-P1D2-YCFAG-S1R2-noBile-rep1-day2</v>
      </c>
      <c r="B646" s="1" t="s">
        <v>242</v>
      </c>
      <c r="C646" s="3" t="s">
        <v>818</v>
      </c>
      <c r="D646" s="3" t="s">
        <v>1328</v>
      </c>
      <c r="E646" t="s">
        <v>20</v>
      </c>
      <c r="F646" t="s">
        <v>21</v>
      </c>
      <c r="G646" t="s">
        <v>112</v>
      </c>
      <c r="H646" t="str">
        <f t="shared" si="31"/>
        <v>09</v>
      </c>
      <c r="I646" t="str">
        <f t="shared" si="32"/>
        <v>F</v>
      </c>
      <c r="J646" t="s">
        <v>23</v>
      </c>
      <c r="K646" t="s">
        <v>104</v>
      </c>
      <c r="L646" t="s">
        <v>25</v>
      </c>
      <c r="M646" t="s">
        <v>45</v>
      </c>
      <c r="N646">
        <v>1</v>
      </c>
      <c r="O646">
        <v>2</v>
      </c>
      <c r="P646" t="s">
        <v>27</v>
      </c>
      <c r="Q646" t="s">
        <v>28</v>
      </c>
      <c r="R646" t="s">
        <v>28</v>
      </c>
      <c r="S646" t="s">
        <v>28</v>
      </c>
      <c r="T646" t="s">
        <v>28</v>
      </c>
      <c r="U646" t="s">
        <v>28</v>
      </c>
      <c r="V646" t="s">
        <v>28</v>
      </c>
      <c r="W646">
        <v>0</v>
      </c>
      <c r="X646" t="s">
        <v>29</v>
      </c>
    </row>
    <row r="647" spans="1:24" x14ac:dyDescent="0.2">
      <c r="A647" t="str">
        <f t="shared" si="30"/>
        <v>sample_novaseq-16S-A-F10-L0_SICap-P1-F10-P1D2-YCFAG-StoolPool-noBile-rep1-day2</v>
      </c>
      <c r="B647" s="1" t="s">
        <v>243</v>
      </c>
      <c r="C647" s="3" t="s">
        <v>819</v>
      </c>
      <c r="D647" s="3" t="s">
        <v>1328</v>
      </c>
      <c r="E647" t="s">
        <v>20</v>
      </c>
      <c r="F647" t="s">
        <v>21</v>
      </c>
      <c r="G647" t="s">
        <v>113</v>
      </c>
      <c r="H647" t="str">
        <f t="shared" si="31"/>
        <v>10</v>
      </c>
      <c r="I647" t="str">
        <f t="shared" si="32"/>
        <v>F</v>
      </c>
      <c r="J647" t="s">
        <v>23</v>
      </c>
      <c r="K647" t="s">
        <v>104</v>
      </c>
      <c r="L647" t="s">
        <v>25</v>
      </c>
      <c r="M647" t="s">
        <v>47</v>
      </c>
      <c r="N647">
        <v>1</v>
      </c>
      <c r="O647">
        <v>2</v>
      </c>
      <c r="P647" t="s">
        <v>27</v>
      </c>
      <c r="Q647" t="s">
        <v>28</v>
      </c>
      <c r="R647" t="s">
        <v>28</v>
      </c>
      <c r="S647" t="s">
        <v>28</v>
      </c>
      <c r="T647" t="s">
        <v>28</v>
      </c>
      <c r="U647" t="s">
        <v>28</v>
      </c>
      <c r="V647" t="s">
        <v>28</v>
      </c>
      <c r="W647">
        <v>0</v>
      </c>
      <c r="X647" t="s">
        <v>29</v>
      </c>
    </row>
    <row r="648" spans="1:24" x14ac:dyDescent="0.2">
      <c r="A648" t="str">
        <f t="shared" si="30"/>
        <v>sample_novaseq-16S-A-F11-L0_SICap-P1-F11-P1D2-YCFAG-SIPool-noBile-rep1-day2</v>
      </c>
      <c r="B648" s="1" t="s">
        <v>244</v>
      </c>
      <c r="C648" s="3" t="s">
        <v>820</v>
      </c>
      <c r="D648" s="3" t="s">
        <v>1328</v>
      </c>
      <c r="E648" t="s">
        <v>20</v>
      </c>
      <c r="F648" t="s">
        <v>21</v>
      </c>
      <c r="G648" t="s">
        <v>114</v>
      </c>
      <c r="H648" t="str">
        <f t="shared" si="31"/>
        <v>11</v>
      </c>
      <c r="I648" t="str">
        <f t="shared" si="32"/>
        <v>F</v>
      </c>
      <c r="J648" t="s">
        <v>23</v>
      </c>
      <c r="K648" t="s">
        <v>104</v>
      </c>
      <c r="L648" t="s">
        <v>25</v>
      </c>
      <c r="M648" t="s">
        <v>49</v>
      </c>
      <c r="N648">
        <v>1</v>
      </c>
      <c r="O648">
        <v>2</v>
      </c>
      <c r="P648" t="s">
        <v>27</v>
      </c>
      <c r="Q648" t="s">
        <v>28</v>
      </c>
      <c r="R648" t="s">
        <v>28</v>
      </c>
      <c r="S648" t="s">
        <v>28</v>
      </c>
      <c r="T648" t="s">
        <v>28</v>
      </c>
      <c r="U648" t="s">
        <v>28</v>
      </c>
      <c r="V648" t="s">
        <v>28</v>
      </c>
      <c r="W648">
        <v>0</v>
      </c>
      <c r="X648" t="s">
        <v>29</v>
      </c>
    </row>
    <row r="649" spans="1:24" x14ac:dyDescent="0.2">
      <c r="A649" t="str">
        <f t="shared" si="30"/>
        <v>sample_novaseq-16S-A-F12-L0_SICap-P1-F12-P1D2-YCFAG-Media-noBile-rep1-day2</v>
      </c>
      <c r="B649" s="1" t="s">
        <v>245</v>
      </c>
      <c r="C649" s="3" t="s">
        <v>821</v>
      </c>
      <c r="D649" s="3" t="s">
        <v>1328</v>
      </c>
      <c r="E649" t="s">
        <v>20</v>
      </c>
      <c r="F649" t="s">
        <v>21</v>
      </c>
      <c r="G649" t="s">
        <v>115</v>
      </c>
      <c r="H649" t="str">
        <f t="shared" si="31"/>
        <v>12</v>
      </c>
      <c r="I649" t="str">
        <f t="shared" si="32"/>
        <v>F</v>
      </c>
      <c r="J649" t="s">
        <v>23</v>
      </c>
      <c r="K649" t="s">
        <v>104</v>
      </c>
      <c r="L649" t="s">
        <v>25</v>
      </c>
      <c r="M649" t="s">
        <v>6</v>
      </c>
      <c r="N649">
        <v>1</v>
      </c>
      <c r="O649">
        <v>2</v>
      </c>
      <c r="P649" t="s">
        <v>27</v>
      </c>
      <c r="Q649" t="s">
        <v>28</v>
      </c>
      <c r="R649" t="s">
        <v>28</v>
      </c>
      <c r="S649" t="s">
        <v>28</v>
      </c>
      <c r="T649" t="s">
        <v>28</v>
      </c>
      <c r="U649" t="s">
        <v>28</v>
      </c>
      <c r="V649" t="s">
        <v>28</v>
      </c>
      <c r="W649">
        <v>0</v>
      </c>
      <c r="X649" t="s">
        <v>29</v>
      </c>
    </row>
    <row r="650" spans="1:24" x14ac:dyDescent="0.2">
      <c r="A650" t="str">
        <f t="shared" si="30"/>
        <v>sample_novaseq-16S-A-G01-L0_SICap-P1-G1-P1D2-TYG-C1R1-noBile-rep1-day2</v>
      </c>
      <c r="B650" s="1" t="s">
        <v>246</v>
      </c>
      <c r="C650" s="3" t="s">
        <v>822</v>
      </c>
      <c r="D650" s="3" t="s">
        <v>1328</v>
      </c>
      <c r="E650" t="s">
        <v>20</v>
      </c>
      <c r="F650" t="s">
        <v>21</v>
      </c>
      <c r="G650" t="s">
        <v>116</v>
      </c>
      <c r="H650" t="str">
        <f t="shared" si="31"/>
        <v>01</v>
      </c>
      <c r="I650" t="str">
        <f t="shared" si="32"/>
        <v>G</v>
      </c>
      <c r="J650" t="s">
        <v>23</v>
      </c>
      <c r="K650" t="s">
        <v>117</v>
      </c>
      <c r="L650" t="s">
        <v>25</v>
      </c>
      <c r="M650" t="s">
        <v>26</v>
      </c>
      <c r="N650">
        <v>1</v>
      </c>
      <c r="O650">
        <v>2</v>
      </c>
      <c r="P650" t="s">
        <v>27</v>
      </c>
      <c r="Q650" t="s">
        <v>28</v>
      </c>
      <c r="R650" t="s">
        <v>28</v>
      </c>
      <c r="S650" t="s">
        <v>28</v>
      </c>
      <c r="T650" t="s">
        <v>28</v>
      </c>
      <c r="U650" t="s">
        <v>28</v>
      </c>
      <c r="V650" t="s">
        <v>28</v>
      </c>
      <c r="W650">
        <v>0</v>
      </c>
      <c r="X650" t="s">
        <v>29</v>
      </c>
    </row>
    <row r="651" spans="1:24" x14ac:dyDescent="0.2">
      <c r="A651" t="str">
        <f t="shared" si="30"/>
        <v>sample_novaseq-16S-A-G02-L0_SICap-P1-G2-P1D2-TYG-C1R2-noBile-rep1-day2</v>
      </c>
      <c r="B651" s="1" t="s">
        <v>247</v>
      </c>
      <c r="C651" s="3" t="s">
        <v>823</v>
      </c>
      <c r="D651" s="3" t="s">
        <v>1328</v>
      </c>
      <c r="E651" t="s">
        <v>20</v>
      </c>
      <c r="F651" t="s">
        <v>21</v>
      </c>
      <c r="G651" t="s">
        <v>118</v>
      </c>
      <c r="H651" t="str">
        <f t="shared" si="31"/>
        <v>02</v>
      </c>
      <c r="I651" t="str">
        <f t="shared" si="32"/>
        <v>G</v>
      </c>
      <c r="J651" t="s">
        <v>23</v>
      </c>
      <c r="K651" t="s">
        <v>117</v>
      </c>
      <c r="L651" t="s">
        <v>25</v>
      </c>
      <c r="M651" t="s">
        <v>31</v>
      </c>
      <c r="N651">
        <v>1</v>
      </c>
      <c r="O651">
        <v>2</v>
      </c>
      <c r="P651" t="s">
        <v>27</v>
      </c>
      <c r="Q651" t="s">
        <v>28</v>
      </c>
      <c r="R651" t="s">
        <v>28</v>
      </c>
      <c r="S651" t="s">
        <v>28</v>
      </c>
      <c r="T651" t="s">
        <v>28</v>
      </c>
      <c r="U651" t="s">
        <v>28</v>
      </c>
      <c r="V651" t="s">
        <v>28</v>
      </c>
      <c r="W651">
        <v>0</v>
      </c>
      <c r="X651" t="s">
        <v>29</v>
      </c>
    </row>
    <row r="652" spans="1:24" x14ac:dyDescent="0.2">
      <c r="A652" t="str">
        <f t="shared" si="30"/>
        <v>sample_novaseq-16S-A-G03-L0_SICap-P1-G3-P1D2-TYG-C2R1-noBile-rep1-day2</v>
      </c>
      <c r="B652" s="1" t="s">
        <v>248</v>
      </c>
      <c r="C652" s="3" t="s">
        <v>824</v>
      </c>
      <c r="D652" s="3" t="s">
        <v>1328</v>
      </c>
      <c r="E652" t="s">
        <v>20</v>
      </c>
      <c r="F652" t="s">
        <v>21</v>
      </c>
      <c r="G652" t="s">
        <v>119</v>
      </c>
      <c r="H652" t="str">
        <f t="shared" si="31"/>
        <v>03</v>
      </c>
      <c r="I652" t="str">
        <f t="shared" si="32"/>
        <v>G</v>
      </c>
      <c r="J652" t="s">
        <v>23</v>
      </c>
      <c r="K652" t="s">
        <v>117</v>
      </c>
      <c r="L652" t="s">
        <v>25</v>
      </c>
      <c r="M652" t="s">
        <v>33</v>
      </c>
      <c r="N652">
        <v>1</v>
      </c>
      <c r="O652">
        <v>2</v>
      </c>
      <c r="P652" t="s">
        <v>27</v>
      </c>
      <c r="Q652" t="s">
        <v>28</v>
      </c>
      <c r="R652" t="s">
        <v>28</v>
      </c>
      <c r="S652" t="s">
        <v>28</v>
      </c>
      <c r="T652" t="s">
        <v>28</v>
      </c>
      <c r="U652" t="s">
        <v>28</v>
      </c>
      <c r="V652" t="s">
        <v>28</v>
      </c>
      <c r="W652">
        <v>0</v>
      </c>
      <c r="X652" t="s">
        <v>29</v>
      </c>
    </row>
    <row r="653" spans="1:24" x14ac:dyDescent="0.2">
      <c r="A653" t="str">
        <f t="shared" si="30"/>
        <v>sample_novaseq-16S-A-G04-L0_SICap-P1-G4-P1D2-TYG-C2R2-noBile-rep1-day2</v>
      </c>
      <c r="B653" s="1" t="s">
        <v>249</v>
      </c>
      <c r="C653" s="3" t="s">
        <v>825</v>
      </c>
      <c r="D653" s="3" t="s">
        <v>1328</v>
      </c>
      <c r="E653" t="s">
        <v>20</v>
      </c>
      <c r="F653" t="s">
        <v>21</v>
      </c>
      <c r="G653" t="s">
        <v>120</v>
      </c>
      <c r="H653" t="str">
        <f t="shared" si="31"/>
        <v>04</v>
      </c>
      <c r="I653" t="str">
        <f t="shared" si="32"/>
        <v>G</v>
      </c>
      <c r="J653" t="s">
        <v>23</v>
      </c>
      <c r="K653" t="s">
        <v>117</v>
      </c>
      <c r="L653" t="s">
        <v>25</v>
      </c>
      <c r="M653" t="s">
        <v>35</v>
      </c>
      <c r="N653">
        <v>1</v>
      </c>
      <c r="O653">
        <v>2</v>
      </c>
      <c r="P653" t="s">
        <v>27</v>
      </c>
      <c r="Q653" t="s">
        <v>28</v>
      </c>
      <c r="R653" t="s">
        <v>28</v>
      </c>
      <c r="S653" t="s">
        <v>28</v>
      </c>
      <c r="T653" t="s">
        <v>28</v>
      </c>
      <c r="U653" t="s">
        <v>28</v>
      </c>
      <c r="V653" t="s">
        <v>28</v>
      </c>
      <c r="W653">
        <v>0</v>
      </c>
      <c r="X653" t="s">
        <v>29</v>
      </c>
    </row>
    <row r="654" spans="1:24" x14ac:dyDescent="0.2">
      <c r="A654" t="str">
        <f t="shared" si="30"/>
        <v>sample_novaseq-16S-A-G05-L0_SICap-P1-G5-P1D2-TYG-C3R1-noBile-rep1-day2</v>
      </c>
      <c r="B654" s="1" t="s">
        <v>250</v>
      </c>
      <c r="C654" s="3" t="s">
        <v>826</v>
      </c>
      <c r="D654" s="3" t="s">
        <v>1328</v>
      </c>
      <c r="E654" t="s">
        <v>20</v>
      </c>
      <c r="F654" t="s">
        <v>21</v>
      </c>
      <c r="G654" t="s">
        <v>121</v>
      </c>
      <c r="H654" t="str">
        <f t="shared" si="31"/>
        <v>05</v>
      </c>
      <c r="I654" t="str">
        <f t="shared" si="32"/>
        <v>G</v>
      </c>
      <c r="J654" t="s">
        <v>23</v>
      </c>
      <c r="K654" t="s">
        <v>117</v>
      </c>
      <c r="L654" t="s">
        <v>25</v>
      </c>
      <c r="M654" t="s">
        <v>37</v>
      </c>
      <c r="N654">
        <v>1</v>
      </c>
      <c r="O654">
        <v>2</v>
      </c>
      <c r="P654" t="s">
        <v>27</v>
      </c>
      <c r="Q654" t="s">
        <v>28</v>
      </c>
      <c r="R654" t="s">
        <v>28</v>
      </c>
      <c r="S654" t="s">
        <v>28</v>
      </c>
      <c r="T654" t="s">
        <v>28</v>
      </c>
      <c r="U654" t="s">
        <v>28</v>
      </c>
      <c r="V654" t="s">
        <v>28</v>
      </c>
      <c r="W654">
        <v>0</v>
      </c>
      <c r="X654" t="s">
        <v>29</v>
      </c>
    </row>
    <row r="655" spans="1:24" x14ac:dyDescent="0.2">
      <c r="A655" t="str">
        <f t="shared" si="30"/>
        <v>sample_novaseq-16S-A-G06-L0_SICap-P1-G6-P1D2-TYG-C3R2-noBile-rep1-day2</v>
      </c>
      <c r="B655" s="1" t="s">
        <v>251</v>
      </c>
      <c r="C655" s="3" t="s">
        <v>827</v>
      </c>
      <c r="D655" s="3" t="s">
        <v>1328</v>
      </c>
      <c r="E655" t="s">
        <v>20</v>
      </c>
      <c r="F655" t="s">
        <v>21</v>
      </c>
      <c r="G655" t="s">
        <v>122</v>
      </c>
      <c r="H655" t="str">
        <f t="shared" si="31"/>
        <v>06</v>
      </c>
      <c r="I655" t="str">
        <f t="shared" si="32"/>
        <v>G</v>
      </c>
      <c r="J655" t="s">
        <v>23</v>
      </c>
      <c r="K655" t="s">
        <v>117</v>
      </c>
      <c r="L655" t="s">
        <v>25</v>
      </c>
      <c r="M655" t="s">
        <v>39</v>
      </c>
      <c r="N655">
        <v>1</v>
      </c>
      <c r="O655">
        <v>2</v>
      </c>
      <c r="P655" t="s">
        <v>27</v>
      </c>
      <c r="Q655" t="s">
        <v>28</v>
      </c>
      <c r="R655" t="s">
        <v>28</v>
      </c>
      <c r="S655" t="s">
        <v>28</v>
      </c>
      <c r="T655" t="s">
        <v>28</v>
      </c>
      <c r="U655" t="s">
        <v>28</v>
      </c>
      <c r="V655" t="s">
        <v>28</v>
      </c>
      <c r="W655">
        <v>0</v>
      </c>
      <c r="X655" t="s">
        <v>29</v>
      </c>
    </row>
    <row r="656" spans="1:24" x14ac:dyDescent="0.2">
      <c r="A656" t="str">
        <f t="shared" si="30"/>
        <v>sample_novaseq-16S-A-G07-L0_SICap-P1-G7-P1D2-TYG-C4R1-noBile-rep1-day2</v>
      </c>
      <c r="B656" s="1" t="s">
        <v>252</v>
      </c>
      <c r="C656" s="3" t="s">
        <v>828</v>
      </c>
      <c r="D656" s="3" t="s">
        <v>1328</v>
      </c>
      <c r="E656" t="s">
        <v>20</v>
      </c>
      <c r="F656" t="s">
        <v>21</v>
      </c>
      <c r="G656" t="s">
        <v>123</v>
      </c>
      <c r="H656" t="str">
        <f t="shared" si="31"/>
        <v>07</v>
      </c>
      <c r="I656" t="str">
        <f t="shared" si="32"/>
        <v>G</v>
      </c>
      <c r="J656" t="s">
        <v>23</v>
      </c>
      <c r="K656" t="s">
        <v>117</v>
      </c>
      <c r="L656" t="s">
        <v>25</v>
      </c>
      <c r="M656" t="s">
        <v>41</v>
      </c>
      <c r="N656">
        <v>1</v>
      </c>
      <c r="O656">
        <v>2</v>
      </c>
      <c r="P656" t="s">
        <v>27</v>
      </c>
      <c r="Q656" t="s">
        <v>28</v>
      </c>
      <c r="R656" t="s">
        <v>28</v>
      </c>
      <c r="S656" t="s">
        <v>28</v>
      </c>
      <c r="T656" t="s">
        <v>28</v>
      </c>
      <c r="U656" t="s">
        <v>28</v>
      </c>
      <c r="V656" t="s">
        <v>28</v>
      </c>
      <c r="W656">
        <v>0</v>
      </c>
      <c r="X656" t="s">
        <v>29</v>
      </c>
    </row>
    <row r="657" spans="1:24" x14ac:dyDescent="0.2">
      <c r="A657" t="str">
        <f t="shared" si="30"/>
        <v>sample_novaseq-16S-A-G08-L0_SICap-P1-G8-P1D2-TYG-C4R2-noBile-rep1-day2</v>
      </c>
      <c r="B657" s="1" t="s">
        <v>253</v>
      </c>
      <c r="C657" s="3" t="s">
        <v>829</v>
      </c>
      <c r="D657" s="3" t="s">
        <v>1328</v>
      </c>
      <c r="E657" t="s">
        <v>20</v>
      </c>
      <c r="F657" t="s">
        <v>21</v>
      </c>
      <c r="G657" t="s">
        <v>124</v>
      </c>
      <c r="H657" t="str">
        <f t="shared" si="31"/>
        <v>08</v>
      </c>
      <c r="I657" t="str">
        <f t="shared" si="32"/>
        <v>G</v>
      </c>
      <c r="J657" t="s">
        <v>23</v>
      </c>
      <c r="K657" t="s">
        <v>117</v>
      </c>
      <c r="L657" t="s">
        <v>25</v>
      </c>
      <c r="M657" t="s">
        <v>43</v>
      </c>
      <c r="N657">
        <v>1</v>
      </c>
      <c r="O657">
        <v>2</v>
      </c>
      <c r="P657" t="s">
        <v>27</v>
      </c>
      <c r="Q657" t="s">
        <v>28</v>
      </c>
      <c r="R657" t="s">
        <v>28</v>
      </c>
      <c r="S657" t="s">
        <v>28</v>
      </c>
      <c r="T657" t="s">
        <v>28</v>
      </c>
      <c r="U657" t="s">
        <v>28</v>
      </c>
      <c r="V657" t="s">
        <v>28</v>
      </c>
      <c r="W657">
        <v>0</v>
      </c>
      <c r="X657" t="s">
        <v>29</v>
      </c>
    </row>
    <row r="658" spans="1:24" x14ac:dyDescent="0.2">
      <c r="A658" t="str">
        <f t="shared" si="30"/>
        <v>sample_novaseq-16S-A-G09-L0_SICap-P1-G9-P1D2-TYG-S1R2-noBile-rep1-day2</v>
      </c>
      <c r="B658" s="1" t="s">
        <v>254</v>
      </c>
      <c r="C658" s="3" t="s">
        <v>830</v>
      </c>
      <c r="D658" s="3" t="s">
        <v>1328</v>
      </c>
      <c r="E658" t="s">
        <v>20</v>
      </c>
      <c r="F658" t="s">
        <v>21</v>
      </c>
      <c r="G658" t="s">
        <v>125</v>
      </c>
      <c r="H658" t="str">
        <f t="shared" si="31"/>
        <v>09</v>
      </c>
      <c r="I658" t="str">
        <f t="shared" si="32"/>
        <v>G</v>
      </c>
      <c r="J658" t="s">
        <v>23</v>
      </c>
      <c r="K658" t="s">
        <v>117</v>
      </c>
      <c r="L658" t="s">
        <v>25</v>
      </c>
      <c r="M658" t="s">
        <v>45</v>
      </c>
      <c r="N658">
        <v>1</v>
      </c>
      <c r="O658">
        <v>2</v>
      </c>
      <c r="P658" t="s">
        <v>27</v>
      </c>
      <c r="Q658" t="s">
        <v>28</v>
      </c>
      <c r="R658" t="s">
        <v>28</v>
      </c>
      <c r="S658" t="s">
        <v>28</v>
      </c>
      <c r="T658" t="s">
        <v>28</v>
      </c>
      <c r="U658" t="s">
        <v>28</v>
      </c>
      <c r="V658" t="s">
        <v>28</v>
      </c>
      <c r="W658">
        <v>0</v>
      </c>
      <c r="X658" t="s">
        <v>29</v>
      </c>
    </row>
    <row r="659" spans="1:24" x14ac:dyDescent="0.2">
      <c r="A659" t="str">
        <f t="shared" si="30"/>
        <v>sample_novaseq-16S-A-G10-L0_SICap-P1-G10-P1D2-TYG-StoolPool-noBile-rep1-day2</v>
      </c>
      <c r="B659" s="1" t="s">
        <v>255</v>
      </c>
      <c r="C659" s="3" t="s">
        <v>831</v>
      </c>
      <c r="D659" s="3" t="s">
        <v>1328</v>
      </c>
      <c r="E659" t="s">
        <v>20</v>
      </c>
      <c r="F659" t="s">
        <v>21</v>
      </c>
      <c r="G659" t="s">
        <v>126</v>
      </c>
      <c r="H659" t="str">
        <f t="shared" si="31"/>
        <v>10</v>
      </c>
      <c r="I659" t="str">
        <f t="shared" si="32"/>
        <v>G</v>
      </c>
      <c r="J659" t="s">
        <v>23</v>
      </c>
      <c r="K659" t="s">
        <v>117</v>
      </c>
      <c r="L659" t="s">
        <v>25</v>
      </c>
      <c r="M659" t="s">
        <v>47</v>
      </c>
      <c r="N659">
        <v>1</v>
      </c>
      <c r="O659">
        <v>2</v>
      </c>
      <c r="P659" t="s">
        <v>27</v>
      </c>
      <c r="Q659" t="s">
        <v>28</v>
      </c>
      <c r="R659" t="s">
        <v>28</v>
      </c>
      <c r="S659" t="s">
        <v>28</v>
      </c>
      <c r="T659" t="s">
        <v>28</v>
      </c>
      <c r="U659" t="s">
        <v>28</v>
      </c>
      <c r="V659" t="s">
        <v>28</v>
      </c>
      <c r="W659">
        <v>0</v>
      </c>
      <c r="X659" t="s">
        <v>29</v>
      </c>
    </row>
    <row r="660" spans="1:24" x14ac:dyDescent="0.2">
      <c r="A660" t="str">
        <f t="shared" si="30"/>
        <v>sample_novaseq-16S-A-G11-L0_SICap-P1-G11-P1D2-TYG-SIPool-noBile-rep1-day2</v>
      </c>
      <c r="B660" s="1" t="s">
        <v>256</v>
      </c>
      <c r="C660" s="3" t="s">
        <v>832</v>
      </c>
      <c r="D660" s="3" t="s">
        <v>1328</v>
      </c>
      <c r="E660" t="s">
        <v>20</v>
      </c>
      <c r="F660" t="s">
        <v>21</v>
      </c>
      <c r="G660" t="s">
        <v>127</v>
      </c>
      <c r="H660" t="str">
        <f t="shared" si="31"/>
        <v>11</v>
      </c>
      <c r="I660" t="str">
        <f t="shared" si="32"/>
        <v>G</v>
      </c>
      <c r="J660" t="s">
        <v>23</v>
      </c>
      <c r="K660" t="s">
        <v>117</v>
      </c>
      <c r="L660" t="s">
        <v>25</v>
      </c>
      <c r="M660" t="s">
        <v>49</v>
      </c>
      <c r="N660">
        <v>1</v>
      </c>
      <c r="O660">
        <v>2</v>
      </c>
      <c r="P660" t="s">
        <v>27</v>
      </c>
      <c r="Q660" t="s">
        <v>28</v>
      </c>
      <c r="R660" t="s">
        <v>28</v>
      </c>
      <c r="S660" t="s">
        <v>28</v>
      </c>
      <c r="T660" t="s">
        <v>28</v>
      </c>
      <c r="U660" t="s">
        <v>28</v>
      </c>
      <c r="V660" t="s">
        <v>28</v>
      </c>
      <c r="W660">
        <v>0</v>
      </c>
      <c r="X660" t="s">
        <v>29</v>
      </c>
    </row>
    <row r="661" spans="1:24" x14ac:dyDescent="0.2">
      <c r="A661" t="str">
        <f t="shared" si="30"/>
        <v>sample_novaseq-16S-A-G12-L0_SICap-P1-G12-P1D2-TYG-Media-noBile-rep1-day2</v>
      </c>
      <c r="B661" s="1" t="s">
        <v>257</v>
      </c>
      <c r="C661" s="3" t="s">
        <v>833</v>
      </c>
      <c r="D661" s="3" t="s">
        <v>1328</v>
      </c>
      <c r="E661" t="s">
        <v>20</v>
      </c>
      <c r="F661" t="s">
        <v>21</v>
      </c>
      <c r="G661" t="s">
        <v>128</v>
      </c>
      <c r="H661" t="str">
        <f t="shared" si="31"/>
        <v>12</v>
      </c>
      <c r="I661" t="str">
        <f t="shared" si="32"/>
        <v>G</v>
      </c>
      <c r="J661" t="s">
        <v>23</v>
      </c>
      <c r="K661" t="s">
        <v>117</v>
      </c>
      <c r="L661" t="s">
        <v>25</v>
      </c>
      <c r="M661" t="s">
        <v>6</v>
      </c>
      <c r="N661">
        <v>1</v>
      </c>
      <c r="O661">
        <v>2</v>
      </c>
      <c r="P661" t="s">
        <v>27</v>
      </c>
      <c r="Q661" t="s">
        <v>28</v>
      </c>
      <c r="R661" t="s">
        <v>28</v>
      </c>
      <c r="S661" t="s">
        <v>28</v>
      </c>
      <c r="T661" t="s">
        <v>28</v>
      </c>
      <c r="U661" t="s">
        <v>28</v>
      </c>
      <c r="V661" t="s">
        <v>28</v>
      </c>
      <c r="W661">
        <v>0</v>
      </c>
      <c r="X661" t="s">
        <v>29</v>
      </c>
    </row>
    <row r="662" spans="1:24" x14ac:dyDescent="0.2">
      <c r="A662" t="str">
        <f t="shared" si="30"/>
        <v>sample_novaseq-16S-A-H01-L0_SICap-P1-H1-P1D2-RCM-C1R1-noBile-rep1-day2</v>
      </c>
      <c r="B662" s="1" t="s">
        <v>258</v>
      </c>
      <c r="C662" s="3" t="s">
        <v>834</v>
      </c>
      <c r="D662" s="3" t="s">
        <v>1328</v>
      </c>
      <c r="E662" t="s">
        <v>20</v>
      </c>
      <c r="F662" t="s">
        <v>21</v>
      </c>
      <c r="G662" t="s">
        <v>129</v>
      </c>
      <c r="H662" t="str">
        <f t="shared" si="31"/>
        <v>01</v>
      </c>
      <c r="I662" t="str">
        <f t="shared" si="32"/>
        <v>H</v>
      </c>
      <c r="J662" t="s">
        <v>23</v>
      </c>
      <c r="K662" t="s">
        <v>130</v>
      </c>
      <c r="L662" t="s">
        <v>25</v>
      </c>
      <c r="M662" t="s">
        <v>26</v>
      </c>
      <c r="N662">
        <v>1</v>
      </c>
      <c r="O662">
        <v>2</v>
      </c>
      <c r="P662" t="s">
        <v>27</v>
      </c>
      <c r="Q662" t="s">
        <v>28</v>
      </c>
      <c r="R662" t="s">
        <v>28</v>
      </c>
      <c r="S662" t="s">
        <v>28</v>
      </c>
      <c r="T662" t="s">
        <v>28</v>
      </c>
      <c r="U662" t="s">
        <v>28</v>
      </c>
      <c r="V662" t="s">
        <v>28</v>
      </c>
      <c r="W662">
        <v>0</v>
      </c>
      <c r="X662" t="s">
        <v>29</v>
      </c>
    </row>
    <row r="663" spans="1:24" x14ac:dyDescent="0.2">
      <c r="A663" t="str">
        <f t="shared" si="30"/>
        <v>sample_novaseq-16S-A-H02-L0_SICap-P1-H2-P1D2-RCM-C1R2-noBile-rep1-day2</v>
      </c>
      <c r="B663" s="1" t="s">
        <v>259</v>
      </c>
      <c r="C663" s="3" t="s">
        <v>835</v>
      </c>
      <c r="D663" s="3" t="s">
        <v>1328</v>
      </c>
      <c r="E663" t="s">
        <v>20</v>
      </c>
      <c r="F663" t="s">
        <v>21</v>
      </c>
      <c r="G663" t="s">
        <v>131</v>
      </c>
      <c r="H663" t="str">
        <f t="shared" si="31"/>
        <v>02</v>
      </c>
      <c r="I663" t="str">
        <f t="shared" si="32"/>
        <v>H</v>
      </c>
      <c r="J663" t="s">
        <v>23</v>
      </c>
      <c r="K663" t="s">
        <v>130</v>
      </c>
      <c r="L663" t="s">
        <v>25</v>
      </c>
      <c r="M663" t="s">
        <v>31</v>
      </c>
      <c r="N663">
        <v>1</v>
      </c>
      <c r="O663">
        <v>2</v>
      </c>
      <c r="P663" t="s">
        <v>27</v>
      </c>
      <c r="Q663" t="s">
        <v>28</v>
      </c>
      <c r="R663" t="s">
        <v>28</v>
      </c>
      <c r="S663" t="s">
        <v>28</v>
      </c>
      <c r="T663" t="s">
        <v>28</v>
      </c>
      <c r="U663" t="s">
        <v>28</v>
      </c>
      <c r="V663" t="s">
        <v>28</v>
      </c>
      <c r="W663">
        <v>0</v>
      </c>
      <c r="X663" t="s">
        <v>29</v>
      </c>
    </row>
    <row r="664" spans="1:24" x14ac:dyDescent="0.2">
      <c r="A664" t="str">
        <f t="shared" si="30"/>
        <v>sample_novaseq-16S-A-H03-L0_SICap-P1-H3-P1D2-RCM-C2R1-noBile-rep1-day2</v>
      </c>
      <c r="B664" s="1" t="s">
        <v>260</v>
      </c>
      <c r="C664" s="3" t="s">
        <v>836</v>
      </c>
      <c r="D664" s="3" t="s">
        <v>1328</v>
      </c>
      <c r="E664" t="s">
        <v>20</v>
      </c>
      <c r="F664" t="s">
        <v>21</v>
      </c>
      <c r="G664" t="s">
        <v>132</v>
      </c>
      <c r="H664" t="str">
        <f t="shared" si="31"/>
        <v>03</v>
      </c>
      <c r="I664" t="str">
        <f t="shared" si="32"/>
        <v>H</v>
      </c>
      <c r="J664" t="s">
        <v>23</v>
      </c>
      <c r="K664" t="s">
        <v>130</v>
      </c>
      <c r="L664" t="s">
        <v>25</v>
      </c>
      <c r="M664" t="s">
        <v>33</v>
      </c>
      <c r="N664">
        <v>1</v>
      </c>
      <c r="O664">
        <v>2</v>
      </c>
      <c r="P664" t="s">
        <v>27</v>
      </c>
      <c r="Q664" t="s">
        <v>28</v>
      </c>
      <c r="R664" t="s">
        <v>28</v>
      </c>
      <c r="S664" t="s">
        <v>28</v>
      </c>
      <c r="T664" t="s">
        <v>28</v>
      </c>
      <c r="U664" t="s">
        <v>28</v>
      </c>
      <c r="V664" t="s">
        <v>28</v>
      </c>
      <c r="W664">
        <v>0</v>
      </c>
      <c r="X664" t="s">
        <v>29</v>
      </c>
    </row>
    <row r="665" spans="1:24" x14ac:dyDescent="0.2">
      <c r="A665" t="str">
        <f t="shared" si="30"/>
        <v>sample_novaseq-16S-A-H04-L0_SICap-P1-H4-P1D2-RCM-C2R2-noBile-rep1-day2</v>
      </c>
      <c r="B665" s="1" t="s">
        <v>261</v>
      </c>
      <c r="C665" s="3" t="s">
        <v>837</v>
      </c>
      <c r="D665" s="3" t="s">
        <v>1328</v>
      </c>
      <c r="E665" t="s">
        <v>20</v>
      </c>
      <c r="F665" t="s">
        <v>21</v>
      </c>
      <c r="G665" t="s">
        <v>133</v>
      </c>
      <c r="H665" t="str">
        <f t="shared" si="31"/>
        <v>04</v>
      </c>
      <c r="I665" t="str">
        <f t="shared" si="32"/>
        <v>H</v>
      </c>
      <c r="J665" t="s">
        <v>23</v>
      </c>
      <c r="K665" t="s">
        <v>130</v>
      </c>
      <c r="L665" t="s">
        <v>25</v>
      </c>
      <c r="M665" t="s">
        <v>35</v>
      </c>
      <c r="N665">
        <v>1</v>
      </c>
      <c r="O665">
        <v>2</v>
      </c>
      <c r="P665" t="s">
        <v>27</v>
      </c>
      <c r="Q665" t="s">
        <v>28</v>
      </c>
      <c r="R665" t="s">
        <v>28</v>
      </c>
      <c r="S665" t="s">
        <v>28</v>
      </c>
      <c r="T665" t="s">
        <v>28</v>
      </c>
      <c r="U665" t="s">
        <v>28</v>
      </c>
      <c r="V665" t="s">
        <v>28</v>
      </c>
      <c r="W665">
        <v>0</v>
      </c>
      <c r="X665" t="s">
        <v>29</v>
      </c>
    </row>
    <row r="666" spans="1:24" x14ac:dyDescent="0.2">
      <c r="A666" t="str">
        <f t="shared" si="30"/>
        <v>sample_novaseq-16S-A-H05-L0_SICap-P1-H5-P1D2-RCM-C3R1-noBile-rep1-day2</v>
      </c>
      <c r="B666" s="1" t="s">
        <v>262</v>
      </c>
      <c r="C666" s="3" t="s">
        <v>838</v>
      </c>
      <c r="D666" s="3" t="s">
        <v>1328</v>
      </c>
      <c r="E666" t="s">
        <v>20</v>
      </c>
      <c r="F666" t="s">
        <v>21</v>
      </c>
      <c r="G666" t="s">
        <v>134</v>
      </c>
      <c r="H666" t="str">
        <f t="shared" si="31"/>
        <v>05</v>
      </c>
      <c r="I666" t="str">
        <f t="shared" si="32"/>
        <v>H</v>
      </c>
      <c r="J666" t="s">
        <v>23</v>
      </c>
      <c r="K666" t="s">
        <v>130</v>
      </c>
      <c r="L666" t="s">
        <v>25</v>
      </c>
      <c r="M666" t="s">
        <v>37</v>
      </c>
      <c r="N666">
        <v>1</v>
      </c>
      <c r="O666">
        <v>2</v>
      </c>
      <c r="P666" t="s">
        <v>27</v>
      </c>
      <c r="Q666" t="s">
        <v>28</v>
      </c>
      <c r="R666" t="s">
        <v>28</v>
      </c>
      <c r="S666" t="s">
        <v>28</v>
      </c>
      <c r="T666" t="s">
        <v>28</v>
      </c>
      <c r="U666" t="s">
        <v>28</v>
      </c>
      <c r="V666" t="s">
        <v>28</v>
      </c>
      <c r="W666">
        <v>0</v>
      </c>
      <c r="X666" t="s">
        <v>29</v>
      </c>
    </row>
    <row r="667" spans="1:24" x14ac:dyDescent="0.2">
      <c r="A667" t="str">
        <f t="shared" si="30"/>
        <v>sample_novaseq-16S-A-H06-L0_SICap-P1-H6-P1D2-RCM-C3R2-noBile-rep1-day2</v>
      </c>
      <c r="B667" s="1" t="s">
        <v>263</v>
      </c>
      <c r="C667" s="3" t="s">
        <v>839</v>
      </c>
      <c r="D667" s="3" t="s">
        <v>1328</v>
      </c>
      <c r="E667" t="s">
        <v>20</v>
      </c>
      <c r="F667" t="s">
        <v>21</v>
      </c>
      <c r="G667" t="s">
        <v>135</v>
      </c>
      <c r="H667" t="str">
        <f t="shared" si="31"/>
        <v>06</v>
      </c>
      <c r="I667" t="str">
        <f t="shared" si="32"/>
        <v>H</v>
      </c>
      <c r="J667" t="s">
        <v>23</v>
      </c>
      <c r="K667" t="s">
        <v>130</v>
      </c>
      <c r="L667" t="s">
        <v>25</v>
      </c>
      <c r="M667" t="s">
        <v>39</v>
      </c>
      <c r="N667">
        <v>1</v>
      </c>
      <c r="O667">
        <v>2</v>
      </c>
      <c r="P667" t="s">
        <v>27</v>
      </c>
      <c r="Q667" t="s">
        <v>28</v>
      </c>
      <c r="R667" t="s">
        <v>28</v>
      </c>
      <c r="S667" t="s">
        <v>28</v>
      </c>
      <c r="T667" t="s">
        <v>28</v>
      </c>
      <c r="U667" t="s">
        <v>28</v>
      </c>
      <c r="V667" t="s">
        <v>28</v>
      </c>
      <c r="W667">
        <v>0</v>
      </c>
      <c r="X667" t="s">
        <v>29</v>
      </c>
    </row>
    <row r="668" spans="1:24" x14ac:dyDescent="0.2">
      <c r="A668" t="str">
        <f t="shared" si="30"/>
        <v>sample_novaseq-16S-A-H07-L0_SICap-P1-H7-P1D2-RCM-C4R1-noBile-rep1-day2</v>
      </c>
      <c r="B668" s="1" t="s">
        <v>264</v>
      </c>
      <c r="C668" s="3" t="s">
        <v>840</v>
      </c>
      <c r="D668" s="3" t="s">
        <v>1328</v>
      </c>
      <c r="E668" t="s">
        <v>20</v>
      </c>
      <c r="F668" t="s">
        <v>21</v>
      </c>
      <c r="G668" t="s">
        <v>136</v>
      </c>
      <c r="H668" t="str">
        <f t="shared" si="31"/>
        <v>07</v>
      </c>
      <c r="I668" t="str">
        <f t="shared" si="32"/>
        <v>H</v>
      </c>
      <c r="J668" t="s">
        <v>23</v>
      </c>
      <c r="K668" t="s">
        <v>130</v>
      </c>
      <c r="L668" t="s">
        <v>25</v>
      </c>
      <c r="M668" t="s">
        <v>41</v>
      </c>
      <c r="N668">
        <v>1</v>
      </c>
      <c r="O668">
        <v>2</v>
      </c>
      <c r="P668" t="s">
        <v>27</v>
      </c>
      <c r="Q668" t="s">
        <v>28</v>
      </c>
      <c r="R668" t="s">
        <v>28</v>
      </c>
      <c r="S668" t="s">
        <v>28</v>
      </c>
      <c r="T668" t="s">
        <v>28</v>
      </c>
      <c r="U668" t="s">
        <v>28</v>
      </c>
      <c r="V668" t="s">
        <v>28</v>
      </c>
      <c r="W668">
        <v>0</v>
      </c>
      <c r="X668" t="s">
        <v>29</v>
      </c>
    </row>
    <row r="669" spans="1:24" x14ac:dyDescent="0.2">
      <c r="A669" t="str">
        <f t="shared" si="30"/>
        <v>sample_novaseq-16S-A-H08-L0_SICap-P1-H8-P1D2-RCM-C4R2-noBile-rep1-day2</v>
      </c>
      <c r="B669" s="1" t="s">
        <v>265</v>
      </c>
      <c r="C669" s="3" t="s">
        <v>841</v>
      </c>
      <c r="D669" s="3" t="s">
        <v>1328</v>
      </c>
      <c r="E669" t="s">
        <v>20</v>
      </c>
      <c r="F669" t="s">
        <v>21</v>
      </c>
      <c r="G669" t="s">
        <v>137</v>
      </c>
      <c r="H669" t="str">
        <f t="shared" si="31"/>
        <v>08</v>
      </c>
      <c r="I669" t="str">
        <f t="shared" si="32"/>
        <v>H</v>
      </c>
      <c r="J669" t="s">
        <v>23</v>
      </c>
      <c r="K669" t="s">
        <v>130</v>
      </c>
      <c r="L669" t="s">
        <v>25</v>
      </c>
      <c r="M669" t="s">
        <v>43</v>
      </c>
      <c r="N669">
        <v>1</v>
      </c>
      <c r="O669">
        <v>2</v>
      </c>
      <c r="P669" t="s">
        <v>27</v>
      </c>
      <c r="Q669" t="s">
        <v>28</v>
      </c>
      <c r="R669" t="s">
        <v>28</v>
      </c>
      <c r="S669" t="s">
        <v>28</v>
      </c>
      <c r="T669" t="s">
        <v>28</v>
      </c>
      <c r="U669" t="s">
        <v>28</v>
      </c>
      <c r="V669" t="s">
        <v>28</v>
      </c>
      <c r="W669">
        <v>0</v>
      </c>
      <c r="X669" t="s">
        <v>29</v>
      </c>
    </row>
    <row r="670" spans="1:24" x14ac:dyDescent="0.2">
      <c r="A670" t="str">
        <f t="shared" si="30"/>
        <v>sample_novaseq-16S-A-H09-L0_SICap-P1-H9-P1D2-RCM-S1R2-noBile-rep1-day2</v>
      </c>
      <c r="B670" s="1" t="s">
        <v>266</v>
      </c>
      <c r="C670" s="3" t="s">
        <v>842</v>
      </c>
      <c r="D670" s="3" t="s">
        <v>1328</v>
      </c>
      <c r="E670" t="s">
        <v>20</v>
      </c>
      <c r="F670" t="s">
        <v>21</v>
      </c>
      <c r="G670" t="s">
        <v>138</v>
      </c>
      <c r="H670" t="str">
        <f t="shared" si="31"/>
        <v>09</v>
      </c>
      <c r="I670" t="str">
        <f t="shared" si="32"/>
        <v>H</v>
      </c>
      <c r="J670" t="s">
        <v>23</v>
      </c>
      <c r="K670" t="s">
        <v>130</v>
      </c>
      <c r="L670" t="s">
        <v>25</v>
      </c>
      <c r="M670" t="s">
        <v>45</v>
      </c>
      <c r="N670">
        <v>1</v>
      </c>
      <c r="O670">
        <v>2</v>
      </c>
      <c r="P670" t="s">
        <v>27</v>
      </c>
      <c r="Q670" t="s">
        <v>28</v>
      </c>
      <c r="R670" t="s">
        <v>28</v>
      </c>
      <c r="S670" t="s">
        <v>28</v>
      </c>
      <c r="T670" t="s">
        <v>28</v>
      </c>
      <c r="U670" t="s">
        <v>28</v>
      </c>
      <c r="V670" t="s">
        <v>28</v>
      </c>
      <c r="W670">
        <v>0</v>
      </c>
      <c r="X670" t="s">
        <v>29</v>
      </c>
    </row>
    <row r="671" spans="1:24" x14ac:dyDescent="0.2">
      <c r="A671" t="str">
        <f t="shared" si="30"/>
        <v>sample_novaseq-16S-A-H10-L0_SICap-P1-H10-P1D2-RCM-StoolPool-noBile-rep1-day2</v>
      </c>
      <c r="B671" s="1" t="s">
        <v>267</v>
      </c>
      <c r="C671" s="3" t="s">
        <v>843</v>
      </c>
      <c r="D671" s="3" t="s">
        <v>1328</v>
      </c>
      <c r="E671" t="s">
        <v>20</v>
      </c>
      <c r="F671" t="s">
        <v>21</v>
      </c>
      <c r="G671" t="s">
        <v>139</v>
      </c>
      <c r="H671" t="str">
        <f t="shared" si="31"/>
        <v>10</v>
      </c>
      <c r="I671" t="str">
        <f t="shared" si="32"/>
        <v>H</v>
      </c>
      <c r="J671" t="s">
        <v>23</v>
      </c>
      <c r="K671" t="s">
        <v>130</v>
      </c>
      <c r="L671" t="s">
        <v>25</v>
      </c>
      <c r="M671" t="s">
        <v>47</v>
      </c>
      <c r="N671">
        <v>1</v>
      </c>
      <c r="O671">
        <v>2</v>
      </c>
      <c r="P671" t="s">
        <v>27</v>
      </c>
      <c r="Q671" t="s">
        <v>28</v>
      </c>
      <c r="R671" t="s">
        <v>28</v>
      </c>
      <c r="S671" t="s">
        <v>28</v>
      </c>
      <c r="T671" t="s">
        <v>28</v>
      </c>
      <c r="U671" t="s">
        <v>28</v>
      </c>
      <c r="V671" t="s">
        <v>28</v>
      </c>
      <c r="W671">
        <v>0</v>
      </c>
      <c r="X671" t="s">
        <v>29</v>
      </c>
    </row>
    <row r="672" spans="1:24" x14ac:dyDescent="0.2">
      <c r="A672" t="str">
        <f t="shared" si="30"/>
        <v>sample_novaseq-16S-A-H11-L0_SICap-P1-H11-P1D2-RCM-SIPool-noBile-rep1-day2</v>
      </c>
      <c r="B672" s="1" t="s">
        <v>268</v>
      </c>
      <c r="C672" s="3" t="s">
        <v>844</v>
      </c>
      <c r="D672" s="3" t="s">
        <v>1328</v>
      </c>
      <c r="E672" t="s">
        <v>20</v>
      </c>
      <c r="F672" t="s">
        <v>21</v>
      </c>
      <c r="G672" t="s">
        <v>140</v>
      </c>
      <c r="H672" t="str">
        <f t="shared" si="31"/>
        <v>11</v>
      </c>
      <c r="I672" t="str">
        <f t="shared" si="32"/>
        <v>H</v>
      </c>
      <c r="J672" t="s">
        <v>23</v>
      </c>
      <c r="K672" t="s">
        <v>130</v>
      </c>
      <c r="L672" t="s">
        <v>25</v>
      </c>
      <c r="M672" t="s">
        <v>49</v>
      </c>
      <c r="N672">
        <v>1</v>
      </c>
      <c r="O672">
        <v>2</v>
      </c>
      <c r="P672" t="s">
        <v>27</v>
      </c>
      <c r="Q672" t="s">
        <v>28</v>
      </c>
      <c r="R672" t="s">
        <v>28</v>
      </c>
      <c r="S672" t="s">
        <v>28</v>
      </c>
      <c r="T672" t="s">
        <v>28</v>
      </c>
      <c r="U672" t="s">
        <v>28</v>
      </c>
      <c r="V672" t="s">
        <v>28</v>
      </c>
      <c r="W672">
        <v>0</v>
      </c>
      <c r="X672" t="s">
        <v>29</v>
      </c>
    </row>
    <row r="673" spans="1:24" x14ac:dyDescent="0.2">
      <c r="A673" t="str">
        <f t="shared" si="30"/>
        <v>sample_novaseq-16S-A-H12-L0_SICap-P1-H12-P1D2-RCM-Media-noBile-rep1-day2</v>
      </c>
      <c r="B673" s="1" t="s">
        <v>269</v>
      </c>
      <c r="C673" s="3" t="s">
        <v>845</v>
      </c>
      <c r="D673" s="3" t="s">
        <v>1328</v>
      </c>
      <c r="E673" t="s">
        <v>20</v>
      </c>
      <c r="F673" t="s">
        <v>21</v>
      </c>
      <c r="G673" t="s">
        <v>141</v>
      </c>
      <c r="H673" t="str">
        <f t="shared" si="31"/>
        <v>12</v>
      </c>
      <c r="I673" t="str">
        <f t="shared" si="32"/>
        <v>H</v>
      </c>
      <c r="J673" t="s">
        <v>23</v>
      </c>
      <c r="K673" t="s">
        <v>130</v>
      </c>
      <c r="L673" t="s">
        <v>25</v>
      </c>
      <c r="M673" t="s">
        <v>6</v>
      </c>
      <c r="N673">
        <v>1</v>
      </c>
      <c r="O673">
        <v>2</v>
      </c>
      <c r="P673" t="s">
        <v>27</v>
      </c>
      <c r="Q673" t="s">
        <v>28</v>
      </c>
      <c r="R673" t="s">
        <v>28</v>
      </c>
      <c r="S673" t="s">
        <v>28</v>
      </c>
      <c r="T673" t="s">
        <v>28</v>
      </c>
      <c r="U673" t="s">
        <v>28</v>
      </c>
      <c r="V673" t="s">
        <v>28</v>
      </c>
      <c r="W673">
        <v>0</v>
      </c>
      <c r="X673" t="s">
        <v>29</v>
      </c>
    </row>
    <row r="674" spans="1:24" x14ac:dyDescent="0.2">
      <c r="A674" t="str">
        <f t="shared" si="30"/>
        <v>sample_novaseq-16S-B-A01-L4_SICap-P5-A1-P5D2-M9-C1R1-yesBile-rep2-day2</v>
      </c>
      <c r="B674" s="1" t="s">
        <v>270</v>
      </c>
      <c r="C674" s="3" t="s">
        <v>846</v>
      </c>
      <c r="D674" s="3" t="s">
        <v>1328</v>
      </c>
      <c r="E674" t="s">
        <v>20</v>
      </c>
      <c r="F674" t="s">
        <v>143</v>
      </c>
      <c r="G674" t="s">
        <v>22</v>
      </c>
      <c r="H674" t="str">
        <f t="shared" si="31"/>
        <v>01</v>
      </c>
      <c r="I674" t="str">
        <f t="shared" si="32"/>
        <v>A</v>
      </c>
      <c r="J674" t="s">
        <v>144</v>
      </c>
      <c r="K674" t="s">
        <v>24</v>
      </c>
      <c r="L674" t="s">
        <v>142</v>
      </c>
      <c r="M674" t="s">
        <v>26</v>
      </c>
      <c r="N674">
        <v>2</v>
      </c>
      <c r="O674">
        <v>2</v>
      </c>
      <c r="P674" t="s">
        <v>145</v>
      </c>
      <c r="Q674" t="s">
        <v>28</v>
      </c>
      <c r="R674" t="s">
        <v>28</v>
      </c>
      <c r="S674" t="s">
        <v>28</v>
      </c>
      <c r="T674" t="s">
        <v>28</v>
      </c>
      <c r="U674" t="s">
        <v>28</v>
      </c>
      <c r="V674" t="s">
        <v>28</v>
      </c>
      <c r="W674">
        <v>4</v>
      </c>
      <c r="X674" t="s">
        <v>146</v>
      </c>
    </row>
    <row r="675" spans="1:24" x14ac:dyDescent="0.2">
      <c r="A675" t="str">
        <f t="shared" si="30"/>
        <v>sample_novaseq-16S-B-A02-L4_SICap-P5-A2-P5D2-M9-C1R2-yesBile-rep2-day2</v>
      </c>
      <c r="B675" s="1" t="s">
        <v>271</v>
      </c>
      <c r="C675" s="3" t="s">
        <v>847</v>
      </c>
      <c r="D675" s="3" t="s">
        <v>1328</v>
      </c>
      <c r="E675" t="s">
        <v>20</v>
      </c>
      <c r="F675" t="s">
        <v>143</v>
      </c>
      <c r="G675" t="s">
        <v>30</v>
      </c>
      <c r="H675" t="str">
        <f t="shared" si="31"/>
        <v>02</v>
      </c>
      <c r="I675" t="str">
        <f t="shared" si="32"/>
        <v>A</v>
      </c>
      <c r="J675" t="s">
        <v>144</v>
      </c>
      <c r="K675" t="s">
        <v>24</v>
      </c>
      <c r="L675" t="s">
        <v>142</v>
      </c>
      <c r="M675" t="s">
        <v>31</v>
      </c>
      <c r="N675">
        <v>2</v>
      </c>
      <c r="O675">
        <v>2</v>
      </c>
      <c r="P675" t="s">
        <v>145</v>
      </c>
      <c r="Q675" t="s">
        <v>28</v>
      </c>
      <c r="R675" t="s">
        <v>28</v>
      </c>
      <c r="S675" t="s">
        <v>28</v>
      </c>
      <c r="T675" t="s">
        <v>28</v>
      </c>
      <c r="U675" t="s">
        <v>28</v>
      </c>
      <c r="V675" t="s">
        <v>28</v>
      </c>
      <c r="W675">
        <v>4</v>
      </c>
      <c r="X675" t="s">
        <v>146</v>
      </c>
    </row>
    <row r="676" spans="1:24" x14ac:dyDescent="0.2">
      <c r="A676" t="str">
        <f t="shared" si="30"/>
        <v>sample_novaseq-16S-B-A03-L4_SICap-P5-A3-P5D2-M9-C2R1-yesBile-rep2-day2</v>
      </c>
      <c r="B676" s="1" t="s">
        <v>272</v>
      </c>
      <c r="C676" s="3" t="s">
        <v>848</v>
      </c>
      <c r="D676" s="3" t="s">
        <v>1328</v>
      </c>
      <c r="E676" t="s">
        <v>20</v>
      </c>
      <c r="F676" t="s">
        <v>143</v>
      </c>
      <c r="G676" t="s">
        <v>32</v>
      </c>
      <c r="H676" t="str">
        <f t="shared" si="31"/>
        <v>03</v>
      </c>
      <c r="I676" t="str">
        <f t="shared" si="32"/>
        <v>A</v>
      </c>
      <c r="J676" t="s">
        <v>144</v>
      </c>
      <c r="K676" t="s">
        <v>24</v>
      </c>
      <c r="L676" t="s">
        <v>142</v>
      </c>
      <c r="M676" t="s">
        <v>33</v>
      </c>
      <c r="N676">
        <v>2</v>
      </c>
      <c r="O676">
        <v>2</v>
      </c>
      <c r="P676" t="s">
        <v>145</v>
      </c>
      <c r="Q676" t="s">
        <v>28</v>
      </c>
      <c r="R676" t="s">
        <v>28</v>
      </c>
      <c r="S676" t="s">
        <v>28</v>
      </c>
      <c r="T676" t="s">
        <v>28</v>
      </c>
      <c r="U676" t="s">
        <v>28</v>
      </c>
      <c r="V676" t="s">
        <v>28</v>
      </c>
      <c r="W676">
        <v>4</v>
      </c>
      <c r="X676" t="s">
        <v>146</v>
      </c>
    </row>
    <row r="677" spans="1:24" x14ac:dyDescent="0.2">
      <c r="A677" t="str">
        <f t="shared" si="30"/>
        <v>sample_novaseq-16S-B-A04-L4_SICap-P5-A4-P5D2-M9-C2R2-yesBile-rep2-day2</v>
      </c>
      <c r="B677" s="1" t="s">
        <v>273</v>
      </c>
      <c r="C677" s="3" t="s">
        <v>849</v>
      </c>
      <c r="D677" s="3" t="s">
        <v>1328</v>
      </c>
      <c r="E677" t="s">
        <v>20</v>
      </c>
      <c r="F677" t="s">
        <v>143</v>
      </c>
      <c r="G677" t="s">
        <v>34</v>
      </c>
      <c r="H677" t="str">
        <f t="shared" si="31"/>
        <v>04</v>
      </c>
      <c r="I677" t="str">
        <f t="shared" si="32"/>
        <v>A</v>
      </c>
      <c r="J677" t="s">
        <v>144</v>
      </c>
      <c r="K677" t="s">
        <v>24</v>
      </c>
      <c r="L677" t="s">
        <v>142</v>
      </c>
      <c r="M677" t="s">
        <v>35</v>
      </c>
      <c r="N677">
        <v>2</v>
      </c>
      <c r="O677">
        <v>2</v>
      </c>
      <c r="P677" t="s">
        <v>145</v>
      </c>
      <c r="Q677" t="s">
        <v>28</v>
      </c>
      <c r="R677" t="s">
        <v>28</v>
      </c>
      <c r="S677" t="s">
        <v>28</v>
      </c>
      <c r="T677" t="s">
        <v>28</v>
      </c>
      <c r="U677" t="s">
        <v>28</v>
      </c>
      <c r="V677" t="s">
        <v>28</v>
      </c>
      <c r="W677">
        <v>4</v>
      </c>
      <c r="X677" t="s">
        <v>146</v>
      </c>
    </row>
    <row r="678" spans="1:24" x14ac:dyDescent="0.2">
      <c r="A678" t="str">
        <f t="shared" si="30"/>
        <v>sample_novaseq-16S-B-A05-L4_SICap-P5-A5-P5D2-M9-C3R1-yesBile-rep2-day2</v>
      </c>
      <c r="B678" s="1" t="s">
        <v>274</v>
      </c>
      <c r="C678" s="3" t="s">
        <v>850</v>
      </c>
      <c r="D678" s="3" t="s">
        <v>1328</v>
      </c>
      <c r="E678" t="s">
        <v>20</v>
      </c>
      <c r="F678" t="s">
        <v>143</v>
      </c>
      <c r="G678" t="s">
        <v>36</v>
      </c>
      <c r="H678" t="str">
        <f t="shared" si="31"/>
        <v>05</v>
      </c>
      <c r="I678" t="str">
        <f t="shared" si="32"/>
        <v>A</v>
      </c>
      <c r="J678" t="s">
        <v>144</v>
      </c>
      <c r="K678" t="s">
        <v>24</v>
      </c>
      <c r="L678" t="s">
        <v>142</v>
      </c>
      <c r="M678" t="s">
        <v>37</v>
      </c>
      <c r="N678">
        <v>2</v>
      </c>
      <c r="O678">
        <v>2</v>
      </c>
      <c r="P678" t="s">
        <v>145</v>
      </c>
      <c r="Q678" t="s">
        <v>28</v>
      </c>
      <c r="R678" t="s">
        <v>28</v>
      </c>
      <c r="S678" t="s">
        <v>28</v>
      </c>
      <c r="T678" t="s">
        <v>28</v>
      </c>
      <c r="U678" t="s">
        <v>28</v>
      </c>
      <c r="V678" t="s">
        <v>28</v>
      </c>
      <c r="W678">
        <v>4</v>
      </c>
      <c r="X678" t="s">
        <v>146</v>
      </c>
    </row>
    <row r="679" spans="1:24" x14ac:dyDescent="0.2">
      <c r="A679" t="str">
        <f t="shared" si="30"/>
        <v>sample_novaseq-16S-B-A06-L4_SICap-P5-A6-P5D2-M9-C3R2-yesBile-rep2-day2</v>
      </c>
      <c r="B679" s="1" t="s">
        <v>275</v>
      </c>
      <c r="C679" s="3" t="s">
        <v>851</v>
      </c>
      <c r="D679" s="3" t="s">
        <v>1328</v>
      </c>
      <c r="E679" t="s">
        <v>20</v>
      </c>
      <c r="F679" t="s">
        <v>143</v>
      </c>
      <c r="G679" t="s">
        <v>38</v>
      </c>
      <c r="H679" t="str">
        <f t="shared" si="31"/>
        <v>06</v>
      </c>
      <c r="I679" t="str">
        <f t="shared" si="32"/>
        <v>A</v>
      </c>
      <c r="J679" t="s">
        <v>144</v>
      </c>
      <c r="K679" t="s">
        <v>24</v>
      </c>
      <c r="L679" t="s">
        <v>142</v>
      </c>
      <c r="M679" t="s">
        <v>39</v>
      </c>
      <c r="N679">
        <v>2</v>
      </c>
      <c r="O679">
        <v>2</v>
      </c>
      <c r="P679" t="s">
        <v>145</v>
      </c>
      <c r="Q679" t="s">
        <v>28</v>
      </c>
      <c r="R679" t="s">
        <v>28</v>
      </c>
      <c r="S679" t="s">
        <v>28</v>
      </c>
      <c r="T679" t="s">
        <v>28</v>
      </c>
      <c r="U679" t="s">
        <v>28</v>
      </c>
      <c r="V679" t="s">
        <v>28</v>
      </c>
      <c r="W679">
        <v>4</v>
      </c>
      <c r="X679" t="s">
        <v>146</v>
      </c>
    </row>
    <row r="680" spans="1:24" x14ac:dyDescent="0.2">
      <c r="A680" t="str">
        <f t="shared" si="30"/>
        <v>sample_novaseq-16S-B-A07-L4_SICap-P5-A7-P5D2-M9-C4R1-yesBile-rep2-day2</v>
      </c>
      <c r="B680" s="1" t="s">
        <v>276</v>
      </c>
      <c r="C680" s="3" t="s">
        <v>852</v>
      </c>
      <c r="D680" s="3" t="s">
        <v>1328</v>
      </c>
      <c r="E680" t="s">
        <v>20</v>
      </c>
      <c r="F680" t="s">
        <v>143</v>
      </c>
      <c r="G680" t="s">
        <v>40</v>
      </c>
      <c r="H680" t="str">
        <f t="shared" si="31"/>
        <v>07</v>
      </c>
      <c r="I680" t="str">
        <f t="shared" si="32"/>
        <v>A</v>
      </c>
      <c r="J680" t="s">
        <v>144</v>
      </c>
      <c r="K680" t="s">
        <v>24</v>
      </c>
      <c r="L680" t="s">
        <v>142</v>
      </c>
      <c r="M680" t="s">
        <v>41</v>
      </c>
      <c r="N680">
        <v>2</v>
      </c>
      <c r="O680">
        <v>2</v>
      </c>
      <c r="P680" t="s">
        <v>145</v>
      </c>
      <c r="Q680" t="s">
        <v>28</v>
      </c>
      <c r="R680" t="s">
        <v>28</v>
      </c>
      <c r="S680" t="s">
        <v>28</v>
      </c>
      <c r="T680" t="s">
        <v>28</v>
      </c>
      <c r="U680" t="s">
        <v>28</v>
      </c>
      <c r="V680" t="s">
        <v>28</v>
      </c>
      <c r="W680">
        <v>4</v>
      </c>
      <c r="X680" t="s">
        <v>146</v>
      </c>
    </row>
    <row r="681" spans="1:24" x14ac:dyDescent="0.2">
      <c r="A681" t="str">
        <f t="shared" si="30"/>
        <v>sample_novaseq-16S-B-A08-L4_SICap-P5-A8-P5D2-M9-C4R2-yesBile-rep2-day2</v>
      </c>
      <c r="B681" s="1" t="s">
        <v>277</v>
      </c>
      <c r="C681" s="3" t="s">
        <v>853</v>
      </c>
      <c r="D681" s="3" t="s">
        <v>1328</v>
      </c>
      <c r="E681" t="s">
        <v>20</v>
      </c>
      <c r="F681" t="s">
        <v>143</v>
      </c>
      <c r="G681" t="s">
        <v>42</v>
      </c>
      <c r="H681" t="str">
        <f t="shared" si="31"/>
        <v>08</v>
      </c>
      <c r="I681" t="str">
        <f t="shared" si="32"/>
        <v>A</v>
      </c>
      <c r="J681" t="s">
        <v>144</v>
      </c>
      <c r="K681" t="s">
        <v>24</v>
      </c>
      <c r="L681" t="s">
        <v>142</v>
      </c>
      <c r="M681" t="s">
        <v>43</v>
      </c>
      <c r="N681">
        <v>2</v>
      </c>
      <c r="O681">
        <v>2</v>
      </c>
      <c r="P681" t="s">
        <v>145</v>
      </c>
      <c r="Q681" t="s">
        <v>28</v>
      </c>
      <c r="R681" t="s">
        <v>28</v>
      </c>
      <c r="S681" t="s">
        <v>28</v>
      </c>
      <c r="T681" t="s">
        <v>28</v>
      </c>
      <c r="U681" t="s">
        <v>28</v>
      </c>
      <c r="V681" t="s">
        <v>28</v>
      </c>
      <c r="W681">
        <v>4</v>
      </c>
      <c r="X681" t="s">
        <v>146</v>
      </c>
    </row>
    <row r="682" spans="1:24" x14ac:dyDescent="0.2">
      <c r="A682" t="str">
        <f t="shared" si="30"/>
        <v>sample_novaseq-16S-B-A09-L4_SICap-P5-A9-P5D2-M9-S1R2-yesBile-rep2-day2</v>
      </c>
      <c r="B682" s="1" t="s">
        <v>278</v>
      </c>
      <c r="C682" s="3" t="s">
        <v>854</v>
      </c>
      <c r="D682" s="3" t="s">
        <v>1328</v>
      </c>
      <c r="E682" t="s">
        <v>20</v>
      </c>
      <c r="F682" t="s">
        <v>143</v>
      </c>
      <c r="G682" t="s">
        <v>44</v>
      </c>
      <c r="H682" t="str">
        <f t="shared" si="31"/>
        <v>09</v>
      </c>
      <c r="I682" t="str">
        <f t="shared" si="32"/>
        <v>A</v>
      </c>
      <c r="J682" t="s">
        <v>144</v>
      </c>
      <c r="K682" t="s">
        <v>24</v>
      </c>
      <c r="L682" t="s">
        <v>142</v>
      </c>
      <c r="M682" t="s">
        <v>45</v>
      </c>
      <c r="N682">
        <v>2</v>
      </c>
      <c r="O682">
        <v>2</v>
      </c>
      <c r="P682" t="s">
        <v>145</v>
      </c>
      <c r="Q682" t="s">
        <v>28</v>
      </c>
      <c r="R682" t="s">
        <v>28</v>
      </c>
      <c r="S682" t="s">
        <v>28</v>
      </c>
      <c r="T682" t="s">
        <v>28</v>
      </c>
      <c r="U682" t="s">
        <v>28</v>
      </c>
      <c r="V682" t="s">
        <v>28</v>
      </c>
      <c r="W682">
        <v>4</v>
      </c>
      <c r="X682" t="s">
        <v>146</v>
      </c>
    </row>
    <row r="683" spans="1:24" x14ac:dyDescent="0.2">
      <c r="A683" t="str">
        <f t="shared" si="30"/>
        <v>sample_novaseq-16S-B-A10-L4_SICap-P5-A10-P5D2-M9-StoolPool-yesBile-rep2-day2</v>
      </c>
      <c r="B683" s="1" t="s">
        <v>279</v>
      </c>
      <c r="C683" s="3" t="s">
        <v>855</v>
      </c>
      <c r="D683" s="3" t="s">
        <v>1328</v>
      </c>
      <c r="E683" t="s">
        <v>20</v>
      </c>
      <c r="F683" t="s">
        <v>143</v>
      </c>
      <c r="G683" t="s">
        <v>46</v>
      </c>
      <c r="H683" t="str">
        <f t="shared" si="31"/>
        <v>10</v>
      </c>
      <c r="I683" t="str">
        <f t="shared" si="32"/>
        <v>A</v>
      </c>
      <c r="J683" t="s">
        <v>144</v>
      </c>
      <c r="K683" t="s">
        <v>24</v>
      </c>
      <c r="L683" t="s">
        <v>142</v>
      </c>
      <c r="M683" t="s">
        <v>47</v>
      </c>
      <c r="N683">
        <v>2</v>
      </c>
      <c r="O683">
        <v>2</v>
      </c>
      <c r="P683" t="s">
        <v>145</v>
      </c>
      <c r="Q683" t="s">
        <v>28</v>
      </c>
      <c r="R683" t="s">
        <v>28</v>
      </c>
      <c r="S683" t="s">
        <v>28</v>
      </c>
      <c r="T683" t="s">
        <v>28</v>
      </c>
      <c r="U683" t="s">
        <v>28</v>
      </c>
      <c r="V683" t="s">
        <v>28</v>
      </c>
      <c r="W683">
        <v>4</v>
      </c>
      <c r="X683" t="s">
        <v>146</v>
      </c>
    </row>
    <row r="684" spans="1:24" x14ac:dyDescent="0.2">
      <c r="A684" t="str">
        <f t="shared" si="30"/>
        <v>sample_novaseq-16S-B-A11-L4_SICap-P5-A11-P5D2-M9-SIPool-yesBile-rep2-day2</v>
      </c>
      <c r="B684" s="1" t="s">
        <v>280</v>
      </c>
      <c r="C684" s="3" t="s">
        <v>856</v>
      </c>
      <c r="D684" s="3" t="s">
        <v>1328</v>
      </c>
      <c r="E684" t="s">
        <v>20</v>
      </c>
      <c r="F684" t="s">
        <v>143</v>
      </c>
      <c r="G684" t="s">
        <v>48</v>
      </c>
      <c r="H684" t="str">
        <f t="shared" si="31"/>
        <v>11</v>
      </c>
      <c r="I684" t="str">
        <f t="shared" si="32"/>
        <v>A</v>
      </c>
      <c r="J684" t="s">
        <v>144</v>
      </c>
      <c r="K684" t="s">
        <v>24</v>
      </c>
      <c r="L684" t="s">
        <v>142</v>
      </c>
      <c r="M684" t="s">
        <v>49</v>
      </c>
      <c r="N684">
        <v>2</v>
      </c>
      <c r="O684">
        <v>2</v>
      </c>
      <c r="P684" t="s">
        <v>145</v>
      </c>
      <c r="Q684" t="s">
        <v>28</v>
      </c>
      <c r="R684" t="s">
        <v>28</v>
      </c>
      <c r="S684" t="s">
        <v>28</v>
      </c>
      <c r="T684" t="s">
        <v>28</v>
      </c>
      <c r="U684" t="s">
        <v>28</v>
      </c>
      <c r="V684" t="s">
        <v>28</v>
      </c>
      <c r="W684">
        <v>4</v>
      </c>
      <c r="X684" t="s">
        <v>146</v>
      </c>
    </row>
    <row r="685" spans="1:24" x14ac:dyDescent="0.2">
      <c r="A685" t="str">
        <f t="shared" si="30"/>
        <v>sample_novaseq-16S-B-A12-L4_SICap-P5-A12-P5D2-M9-Media-yesBile-rep2-day2</v>
      </c>
      <c r="B685" s="1" t="s">
        <v>281</v>
      </c>
      <c r="C685" s="3" t="s">
        <v>857</v>
      </c>
      <c r="D685" s="3" t="s">
        <v>1328</v>
      </c>
      <c r="E685" t="s">
        <v>20</v>
      </c>
      <c r="F685" t="s">
        <v>143</v>
      </c>
      <c r="G685" t="s">
        <v>50</v>
      </c>
      <c r="H685" t="str">
        <f t="shared" si="31"/>
        <v>12</v>
      </c>
      <c r="I685" t="str">
        <f t="shared" si="32"/>
        <v>A</v>
      </c>
      <c r="J685" t="s">
        <v>144</v>
      </c>
      <c r="K685" t="s">
        <v>24</v>
      </c>
      <c r="L685" t="s">
        <v>142</v>
      </c>
      <c r="M685" t="s">
        <v>6</v>
      </c>
      <c r="N685">
        <v>2</v>
      </c>
      <c r="O685">
        <v>2</v>
      </c>
      <c r="P685" t="s">
        <v>145</v>
      </c>
      <c r="Q685" t="s">
        <v>28</v>
      </c>
      <c r="R685" t="s">
        <v>28</v>
      </c>
      <c r="S685" t="s">
        <v>28</v>
      </c>
      <c r="T685" t="s">
        <v>28</v>
      </c>
      <c r="U685" t="s">
        <v>28</v>
      </c>
      <c r="V685" t="s">
        <v>28</v>
      </c>
      <c r="W685">
        <v>4</v>
      </c>
      <c r="X685" t="s">
        <v>146</v>
      </c>
    </row>
    <row r="686" spans="1:24" x14ac:dyDescent="0.2">
      <c r="A686" t="str">
        <f t="shared" si="30"/>
        <v>sample_novaseq-16S-B-B01-L4_SICap-P5-B1-P5D2-EZ-RDM-C1R1-yesBile-rep2-day2</v>
      </c>
      <c r="B686" s="1" t="s">
        <v>282</v>
      </c>
      <c r="C686" s="3" t="s">
        <v>858</v>
      </c>
      <c r="D686" s="3" t="s">
        <v>1328</v>
      </c>
      <c r="E686" t="s">
        <v>20</v>
      </c>
      <c r="F686" t="s">
        <v>143</v>
      </c>
      <c r="G686" t="s">
        <v>51</v>
      </c>
      <c r="H686" t="str">
        <f t="shared" si="31"/>
        <v>01</v>
      </c>
      <c r="I686" t="str">
        <f t="shared" si="32"/>
        <v>B</v>
      </c>
      <c r="J686" t="s">
        <v>144</v>
      </c>
      <c r="K686" t="s">
        <v>52</v>
      </c>
      <c r="L686" t="s">
        <v>142</v>
      </c>
      <c r="M686" t="s">
        <v>26</v>
      </c>
      <c r="N686">
        <v>2</v>
      </c>
      <c r="O686">
        <v>2</v>
      </c>
      <c r="P686" t="s">
        <v>145</v>
      </c>
      <c r="Q686" t="s">
        <v>28</v>
      </c>
      <c r="R686" t="s">
        <v>28</v>
      </c>
      <c r="S686" t="s">
        <v>28</v>
      </c>
      <c r="T686" t="s">
        <v>28</v>
      </c>
      <c r="U686" t="s">
        <v>28</v>
      </c>
      <c r="V686" t="s">
        <v>28</v>
      </c>
      <c r="W686">
        <v>4</v>
      </c>
      <c r="X686" t="s">
        <v>146</v>
      </c>
    </row>
    <row r="687" spans="1:24" x14ac:dyDescent="0.2">
      <c r="A687" t="str">
        <f t="shared" si="30"/>
        <v>sample_novaseq-16S-B-B02-L4_SICap-P5-B2-P5D2-EZ-RDM-C1R2-yesBile-rep2-day2</v>
      </c>
      <c r="B687" s="1" t="s">
        <v>283</v>
      </c>
      <c r="C687" s="3" t="s">
        <v>859</v>
      </c>
      <c r="D687" s="3" t="s">
        <v>1328</v>
      </c>
      <c r="E687" t="s">
        <v>20</v>
      </c>
      <c r="F687" t="s">
        <v>143</v>
      </c>
      <c r="G687" t="s">
        <v>53</v>
      </c>
      <c r="H687" t="str">
        <f t="shared" si="31"/>
        <v>02</v>
      </c>
      <c r="I687" t="str">
        <f t="shared" si="32"/>
        <v>B</v>
      </c>
      <c r="J687" t="s">
        <v>144</v>
      </c>
      <c r="K687" t="s">
        <v>52</v>
      </c>
      <c r="L687" t="s">
        <v>142</v>
      </c>
      <c r="M687" t="s">
        <v>31</v>
      </c>
      <c r="N687">
        <v>2</v>
      </c>
      <c r="O687">
        <v>2</v>
      </c>
      <c r="P687" t="s">
        <v>145</v>
      </c>
      <c r="Q687" t="s">
        <v>28</v>
      </c>
      <c r="R687" t="s">
        <v>28</v>
      </c>
      <c r="S687" t="s">
        <v>28</v>
      </c>
      <c r="T687" t="s">
        <v>28</v>
      </c>
      <c r="U687" t="s">
        <v>28</v>
      </c>
      <c r="V687" t="s">
        <v>28</v>
      </c>
      <c r="W687">
        <v>4</v>
      </c>
      <c r="X687" t="s">
        <v>146</v>
      </c>
    </row>
    <row r="688" spans="1:24" x14ac:dyDescent="0.2">
      <c r="A688" t="str">
        <f t="shared" si="30"/>
        <v>sample_novaseq-16S-B-B03-L4_SICap-P5-B3-P5D2-EZ-RDM-C2R1-yesBile-rep2-day2</v>
      </c>
      <c r="B688" s="1" t="s">
        <v>284</v>
      </c>
      <c r="C688" s="3" t="s">
        <v>860</v>
      </c>
      <c r="D688" s="3" t="s">
        <v>1328</v>
      </c>
      <c r="E688" t="s">
        <v>20</v>
      </c>
      <c r="F688" t="s">
        <v>143</v>
      </c>
      <c r="G688" t="s">
        <v>54</v>
      </c>
      <c r="H688" t="str">
        <f t="shared" si="31"/>
        <v>03</v>
      </c>
      <c r="I688" t="str">
        <f t="shared" si="32"/>
        <v>B</v>
      </c>
      <c r="J688" t="s">
        <v>144</v>
      </c>
      <c r="K688" t="s">
        <v>52</v>
      </c>
      <c r="L688" t="s">
        <v>142</v>
      </c>
      <c r="M688" t="s">
        <v>33</v>
      </c>
      <c r="N688">
        <v>2</v>
      </c>
      <c r="O688">
        <v>2</v>
      </c>
      <c r="P688" t="s">
        <v>145</v>
      </c>
      <c r="Q688" t="s">
        <v>28</v>
      </c>
      <c r="R688" t="s">
        <v>28</v>
      </c>
      <c r="S688" t="s">
        <v>28</v>
      </c>
      <c r="T688" t="s">
        <v>28</v>
      </c>
      <c r="U688" t="s">
        <v>28</v>
      </c>
      <c r="V688" t="s">
        <v>28</v>
      </c>
      <c r="W688">
        <v>4</v>
      </c>
      <c r="X688" t="s">
        <v>146</v>
      </c>
    </row>
    <row r="689" spans="1:24" x14ac:dyDescent="0.2">
      <c r="A689" t="str">
        <f t="shared" si="30"/>
        <v>sample_novaseq-16S-B-B04-L4_SICap-P5-B4-P5D2-EZ-RDM-C2R2-yesBile-rep2-day2</v>
      </c>
      <c r="B689" s="1" t="s">
        <v>285</v>
      </c>
      <c r="C689" s="3" t="s">
        <v>861</v>
      </c>
      <c r="D689" s="3" t="s">
        <v>1328</v>
      </c>
      <c r="E689" t="s">
        <v>20</v>
      </c>
      <c r="F689" t="s">
        <v>143</v>
      </c>
      <c r="G689" t="s">
        <v>55</v>
      </c>
      <c r="H689" t="str">
        <f t="shared" si="31"/>
        <v>04</v>
      </c>
      <c r="I689" t="str">
        <f t="shared" si="32"/>
        <v>B</v>
      </c>
      <c r="J689" t="s">
        <v>144</v>
      </c>
      <c r="K689" t="s">
        <v>52</v>
      </c>
      <c r="L689" t="s">
        <v>142</v>
      </c>
      <c r="M689" t="s">
        <v>35</v>
      </c>
      <c r="N689">
        <v>2</v>
      </c>
      <c r="O689">
        <v>2</v>
      </c>
      <c r="P689" t="s">
        <v>145</v>
      </c>
      <c r="Q689" t="s">
        <v>28</v>
      </c>
      <c r="R689" t="s">
        <v>28</v>
      </c>
      <c r="S689" t="s">
        <v>28</v>
      </c>
      <c r="T689" t="s">
        <v>28</v>
      </c>
      <c r="U689" t="s">
        <v>28</v>
      </c>
      <c r="V689" t="s">
        <v>28</v>
      </c>
      <c r="W689">
        <v>4</v>
      </c>
      <c r="X689" t="s">
        <v>146</v>
      </c>
    </row>
    <row r="690" spans="1:24" x14ac:dyDescent="0.2">
      <c r="A690" t="str">
        <f t="shared" si="30"/>
        <v>sample_novaseq-16S-B-B05-L4_SICap-P5-B5-P5D2-EZ-RDM-C3R1-yesBile-rep2-day2</v>
      </c>
      <c r="B690" s="1" t="s">
        <v>286</v>
      </c>
      <c r="C690" s="3" t="s">
        <v>862</v>
      </c>
      <c r="D690" s="3" t="s">
        <v>1328</v>
      </c>
      <c r="E690" t="s">
        <v>20</v>
      </c>
      <c r="F690" t="s">
        <v>143</v>
      </c>
      <c r="G690" t="s">
        <v>56</v>
      </c>
      <c r="H690" t="str">
        <f t="shared" si="31"/>
        <v>05</v>
      </c>
      <c r="I690" t="str">
        <f t="shared" si="32"/>
        <v>B</v>
      </c>
      <c r="J690" t="s">
        <v>144</v>
      </c>
      <c r="K690" t="s">
        <v>52</v>
      </c>
      <c r="L690" t="s">
        <v>142</v>
      </c>
      <c r="M690" t="s">
        <v>37</v>
      </c>
      <c r="N690">
        <v>2</v>
      </c>
      <c r="O690">
        <v>2</v>
      </c>
      <c r="P690" t="s">
        <v>145</v>
      </c>
      <c r="Q690" t="s">
        <v>28</v>
      </c>
      <c r="R690" t="s">
        <v>28</v>
      </c>
      <c r="S690" t="s">
        <v>28</v>
      </c>
      <c r="T690" t="s">
        <v>28</v>
      </c>
      <c r="U690" t="s">
        <v>28</v>
      </c>
      <c r="V690" t="s">
        <v>28</v>
      </c>
      <c r="W690">
        <v>4</v>
      </c>
      <c r="X690" t="s">
        <v>146</v>
      </c>
    </row>
    <row r="691" spans="1:24" x14ac:dyDescent="0.2">
      <c r="A691" t="str">
        <f t="shared" si="30"/>
        <v>sample_novaseq-16S-B-B06-L4_SICap-P5-B6-P5D2-EZ-RDM-C3R2-yesBile-rep2-day2</v>
      </c>
      <c r="B691" s="1" t="s">
        <v>287</v>
      </c>
      <c r="C691" s="3" t="s">
        <v>863</v>
      </c>
      <c r="D691" s="3" t="s">
        <v>1328</v>
      </c>
      <c r="E691" t="s">
        <v>20</v>
      </c>
      <c r="F691" t="s">
        <v>143</v>
      </c>
      <c r="G691" t="s">
        <v>57</v>
      </c>
      <c r="H691" t="str">
        <f t="shared" si="31"/>
        <v>06</v>
      </c>
      <c r="I691" t="str">
        <f t="shared" si="32"/>
        <v>B</v>
      </c>
      <c r="J691" t="s">
        <v>144</v>
      </c>
      <c r="K691" t="s">
        <v>52</v>
      </c>
      <c r="L691" t="s">
        <v>142</v>
      </c>
      <c r="M691" t="s">
        <v>39</v>
      </c>
      <c r="N691">
        <v>2</v>
      </c>
      <c r="O691">
        <v>2</v>
      </c>
      <c r="P691" t="s">
        <v>145</v>
      </c>
      <c r="Q691" t="s">
        <v>28</v>
      </c>
      <c r="R691" t="s">
        <v>28</v>
      </c>
      <c r="S691" t="s">
        <v>28</v>
      </c>
      <c r="T691" t="s">
        <v>28</v>
      </c>
      <c r="U691" t="s">
        <v>28</v>
      </c>
      <c r="V691" t="s">
        <v>28</v>
      </c>
      <c r="W691">
        <v>4</v>
      </c>
      <c r="X691" t="s">
        <v>146</v>
      </c>
    </row>
    <row r="692" spans="1:24" x14ac:dyDescent="0.2">
      <c r="A692" t="str">
        <f t="shared" si="30"/>
        <v>sample_novaseq-16S-B-B07-L4_SICap-P5-B7-P5D2-EZ-RDM-C4R1-yesBile-rep2-day2</v>
      </c>
      <c r="B692" s="1" t="s">
        <v>288</v>
      </c>
      <c r="C692" s="3" t="s">
        <v>864</v>
      </c>
      <c r="D692" s="3" t="s">
        <v>1328</v>
      </c>
      <c r="E692" t="s">
        <v>20</v>
      </c>
      <c r="F692" t="s">
        <v>143</v>
      </c>
      <c r="G692" t="s">
        <v>58</v>
      </c>
      <c r="H692" t="str">
        <f t="shared" si="31"/>
        <v>07</v>
      </c>
      <c r="I692" t="str">
        <f t="shared" si="32"/>
        <v>B</v>
      </c>
      <c r="J692" t="s">
        <v>144</v>
      </c>
      <c r="K692" t="s">
        <v>52</v>
      </c>
      <c r="L692" t="s">
        <v>142</v>
      </c>
      <c r="M692" t="s">
        <v>41</v>
      </c>
      <c r="N692">
        <v>2</v>
      </c>
      <c r="O692">
        <v>2</v>
      </c>
      <c r="P692" t="s">
        <v>145</v>
      </c>
      <c r="Q692" t="s">
        <v>28</v>
      </c>
      <c r="R692" t="s">
        <v>28</v>
      </c>
      <c r="S692" t="s">
        <v>28</v>
      </c>
      <c r="T692" t="s">
        <v>28</v>
      </c>
      <c r="U692" t="s">
        <v>28</v>
      </c>
      <c r="V692" t="s">
        <v>28</v>
      </c>
      <c r="W692">
        <v>4</v>
      </c>
      <c r="X692" t="s">
        <v>146</v>
      </c>
    </row>
    <row r="693" spans="1:24" x14ac:dyDescent="0.2">
      <c r="A693" t="str">
        <f t="shared" si="30"/>
        <v>sample_novaseq-16S-B-B08-L4_SICap-P5-B8-P5D2-EZ-RDM-C4R2-yesBile-rep2-day2</v>
      </c>
      <c r="B693" s="1" t="s">
        <v>289</v>
      </c>
      <c r="C693" s="3" t="s">
        <v>865</v>
      </c>
      <c r="D693" s="3" t="s">
        <v>1328</v>
      </c>
      <c r="E693" t="s">
        <v>20</v>
      </c>
      <c r="F693" t="s">
        <v>143</v>
      </c>
      <c r="G693" t="s">
        <v>59</v>
      </c>
      <c r="H693" t="str">
        <f t="shared" si="31"/>
        <v>08</v>
      </c>
      <c r="I693" t="str">
        <f t="shared" si="32"/>
        <v>B</v>
      </c>
      <c r="J693" t="s">
        <v>144</v>
      </c>
      <c r="K693" t="s">
        <v>52</v>
      </c>
      <c r="L693" t="s">
        <v>142</v>
      </c>
      <c r="M693" t="s">
        <v>43</v>
      </c>
      <c r="N693">
        <v>2</v>
      </c>
      <c r="O693">
        <v>2</v>
      </c>
      <c r="P693" t="s">
        <v>145</v>
      </c>
      <c r="Q693" t="s">
        <v>28</v>
      </c>
      <c r="R693" t="s">
        <v>28</v>
      </c>
      <c r="S693" t="s">
        <v>28</v>
      </c>
      <c r="T693" t="s">
        <v>28</v>
      </c>
      <c r="U693" t="s">
        <v>28</v>
      </c>
      <c r="V693" t="s">
        <v>28</v>
      </c>
      <c r="W693">
        <v>4</v>
      </c>
      <c r="X693" t="s">
        <v>146</v>
      </c>
    </row>
    <row r="694" spans="1:24" x14ac:dyDescent="0.2">
      <c r="A694" t="str">
        <f t="shared" si="30"/>
        <v>sample_novaseq-16S-B-B09-L4_SICap-P5-B9-P5D2-EZ-RDM-S1R2-yesBile-rep2-day2</v>
      </c>
      <c r="B694" s="1" t="s">
        <v>290</v>
      </c>
      <c r="C694" s="3" t="s">
        <v>866</v>
      </c>
      <c r="D694" s="3" t="s">
        <v>1328</v>
      </c>
      <c r="E694" t="s">
        <v>20</v>
      </c>
      <c r="F694" t="s">
        <v>143</v>
      </c>
      <c r="G694" t="s">
        <v>60</v>
      </c>
      <c r="H694" t="str">
        <f t="shared" si="31"/>
        <v>09</v>
      </c>
      <c r="I694" t="str">
        <f t="shared" si="32"/>
        <v>B</v>
      </c>
      <c r="J694" t="s">
        <v>144</v>
      </c>
      <c r="K694" t="s">
        <v>52</v>
      </c>
      <c r="L694" t="s">
        <v>142</v>
      </c>
      <c r="M694" t="s">
        <v>45</v>
      </c>
      <c r="N694">
        <v>2</v>
      </c>
      <c r="O694">
        <v>2</v>
      </c>
      <c r="P694" t="s">
        <v>145</v>
      </c>
      <c r="Q694" t="s">
        <v>28</v>
      </c>
      <c r="R694" t="s">
        <v>28</v>
      </c>
      <c r="S694" t="s">
        <v>28</v>
      </c>
      <c r="T694" t="s">
        <v>28</v>
      </c>
      <c r="U694" t="s">
        <v>28</v>
      </c>
      <c r="V694" t="s">
        <v>28</v>
      </c>
      <c r="W694">
        <v>4</v>
      </c>
      <c r="X694" t="s">
        <v>146</v>
      </c>
    </row>
    <row r="695" spans="1:24" x14ac:dyDescent="0.2">
      <c r="A695" t="str">
        <f t="shared" si="30"/>
        <v>sample_novaseq-16S-B-B10-L4_SICap-P5-B10-P5D2-EZ-RDM-StoolPool-yesBile-rep2-day2</v>
      </c>
      <c r="B695" s="1" t="s">
        <v>291</v>
      </c>
      <c r="C695" s="3" t="s">
        <v>867</v>
      </c>
      <c r="D695" s="3" t="s">
        <v>1328</v>
      </c>
      <c r="E695" t="s">
        <v>20</v>
      </c>
      <c r="F695" t="s">
        <v>143</v>
      </c>
      <c r="G695" t="s">
        <v>61</v>
      </c>
      <c r="H695" t="str">
        <f t="shared" si="31"/>
        <v>10</v>
      </c>
      <c r="I695" t="str">
        <f t="shared" si="32"/>
        <v>B</v>
      </c>
      <c r="J695" t="s">
        <v>144</v>
      </c>
      <c r="K695" t="s">
        <v>52</v>
      </c>
      <c r="L695" t="s">
        <v>142</v>
      </c>
      <c r="M695" t="s">
        <v>47</v>
      </c>
      <c r="N695">
        <v>2</v>
      </c>
      <c r="O695">
        <v>2</v>
      </c>
      <c r="P695" t="s">
        <v>145</v>
      </c>
      <c r="Q695" t="s">
        <v>28</v>
      </c>
      <c r="R695" t="s">
        <v>28</v>
      </c>
      <c r="S695" t="s">
        <v>28</v>
      </c>
      <c r="T695" t="s">
        <v>28</v>
      </c>
      <c r="U695" t="s">
        <v>28</v>
      </c>
      <c r="V695" t="s">
        <v>28</v>
      </c>
      <c r="W695">
        <v>4</v>
      </c>
      <c r="X695" t="s">
        <v>146</v>
      </c>
    </row>
    <row r="696" spans="1:24" x14ac:dyDescent="0.2">
      <c r="A696" t="str">
        <f t="shared" si="30"/>
        <v>sample_novaseq-16S-B-B11-L4_SICap-P5-B11-P5D2-EZ-RDM-SIPool-yesBile-rep2-day2</v>
      </c>
      <c r="B696" s="1" t="s">
        <v>292</v>
      </c>
      <c r="C696" s="3" t="s">
        <v>868</v>
      </c>
      <c r="D696" s="3" t="s">
        <v>1328</v>
      </c>
      <c r="E696" t="s">
        <v>20</v>
      </c>
      <c r="F696" t="s">
        <v>143</v>
      </c>
      <c r="G696" t="s">
        <v>62</v>
      </c>
      <c r="H696" t="str">
        <f t="shared" si="31"/>
        <v>11</v>
      </c>
      <c r="I696" t="str">
        <f t="shared" si="32"/>
        <v>B</v>
      </c>
      <c r="J696" t="s">
        <v>144</v>
      </c>
      <c r="K696" t="s">
        <v>52</v>
      </c>
      <c r="L696" t="s">
        <v>142</v>
      </c>
      <c r="M696" t="s">
        <v>49</v>
      </c>
      <c r="N696">
        <v>2</v>
      </c>
      <c r="O696">
        <v>2</v>
      </c>
      <c r="P696" t="s">
        <v>145</v>
      </c>
      <c r="Q696" t="s">
        <v>28</v>
      </c>
      <c r="R696" t="s">
        <v>28</v>
      </c>
      <c r="S696" t="s">
        <v>28</v>
      </c>
      <c r="T696" t="s">
        <v>28</v>
      </c>
      <c r="U696" t="s">
        <v>28</v>
      </c>
      <c r="V696" t="s">
        <v>28</v>
      </c>
      <c r="W696">
        <v>4</v>
      </c>
      <c r="X696" t="s">
        <v>146</v>
      </c>
    </row>
    <row r="697" spans="1:24" x14ac:dyDescent="0.2">
      <c r="A697" t="str">
        <f t="shared" si="30"/>
        <v>sample_novaseq-16S-B-B12-L4_SICap-P5-B12-P5D2-EZ-RDM-Media-yesBile-rep2-day2</v>
      </c>
      <c r="B697" s="1" t="s">
        <v>293</v>
      </c>
      <c r="C697" s="3" t="s">
        <v>869</v>
      </c>
      <c r="D697" s="3" t="s">
        <v>1328</v>
      </c>
      <c r="E697" t="s">
        <v>20</v>
      </c>
      <c r="F697" t="s">
        <v>143</v>
      </c>
      <c r="G697" t="s">
        <v>63</v>
      </c>
      <c r="H697" t="str">
        <f t="shared" si="31"/>
        <v>12</v>
      </c>
      <c r="I697" t="str">
        <f t="shared" si="32"/>
        <v>B</v>
      </c>
      <c r="J697" t="s">
        <v>144</v>
      </c>
      <c r="K697" t="s">
        <v>52</v>
      </c>
      <c r="L697" t="s">
        <v>142</v>
      </c>
      <c r="M697" t="s">
        <v>6</v>
      </c>
      <c r="N697">
        <v>2</v>
      </c>
      <c r="O697">
        <v>2</v>
      </c>
      <c r="P697" t="s">
        <v>145</v>
      </c>
      <c r="Q697" t="s">
        <v>28</v>
      </c>
      <c r="R697" t="s">
        <v>28</v>
      </c>
      <c r="S697" t="s">
        <v>28</v>
      </c>
      <c r="T697" t="s">
        <v>28</v>
      </c>
      <c r="U697" t="s">
        <v>28</v>
      </c>
      <c r="V697" t="s">
        <v>28</v>
      </c>
      <c r="W697">
        <v>4</v>
      </c>
      <c r="X697" t="s">
        <v>146</v>
      </c>
    </row>
    <row r="698" spans="1:24" x14ac:dyDescent="0.2">
      <c r="A698" t="str">
        <f t="shared" si="30"/>
        <v>sample_novaseq-16S-B-C01-L4_SICap-P5-C1-P5D2-BHI-C1R1-yesBile-rep2-day2</v>
      </c>
      <c r="B698" s="1" t="s">
        <v>294</v>
      </c>
      <c r="C698" s="3" t="s">
        <v>870</v>
      </c>
      <c r="D698" s="3" t="s">
        <v>1328</v>
      </c>
      <c r="E698" t="s">
        <v>20</v>
      </c>
      <c r="F698" t="s">
        <v>143</v>
      </c>
      <c r="G698" t="s">
        <v>64</v>
      </c>
      <c r="H698" t="str">
        <f t="shared" si="31"/>
        <v>01</v>
      </c>
      <c r="I698" t="str">
        <f t="shared" si="32"/>
        <v>C</v>
      </c>
      <c r="J698" t="s">
        <v>144</v>
      </c>
      <c r="K698" t="s">
        <v>65</v>
      </c>
      <c r="L698" t="s">
        <v>142</v>
      </c>
      <c r="M698" t="s">
        <v>26</v>
      </c>
      <c r="N698">
        <v>2</v>
      </c>
      <c r="O698">
        <v>2</v>
      </c>
      <c r="P698" t="s">
        <v>145</v>
      </c>
      <c r="Q698" t="s">
        <v>28</v>
      </c>
      <c r="R698" t="s">
        <v>28</v>
      </c>
      <c r="S698" t="s">
        <v>28</v>
      </c>
      <c r="T698" t="s">
        <v>28</v>
      </c>
      <c r="U698" t="s">
        <v>28</v>
      </c>
      <c r="V698" t="s">
        <v>28</v>
      </c>
      <c r="W698">
        <v>4</v>
      </c>
      <c r="X698" t="s">
        <v>146</v>
      </c>
    </row>
    <row r="699" spans="1:24" x14ac:dyDescent="0.2">
      <c r="A699" t="str">
        <f t="shared" si="30"/>
        <v>sample_novaseq-16S-B-C02-L4_SICap-P5-C2-P5D2-BHI-C1R2-yesBile-rep2-day2</v>
      </c>
      <c r="B699" s="1" t="s">
        <v>295</v>
      </c>
      <c r="C699" s="3" t="s">
        <v>871</v>
      </c>
      <c r="D699" s="3" t="s">
        <v>1328</v>
      </c>
      <c r="E699" t="s">
        <v>20</v>
      </c>
      <c r="F699" t="s">
        <v>143</v>
      </c>
      <c r="G699" t="s">
        <v>66</v>
      </c>
      <c r="H699" t="str">
        <f t="shared" si="31"/>
        <v>02</v>
      </c>
      <c r="I699" t="str">
        <f t="shared" si="32"/>
        <v>C</v>
      </c>
      <c r="J699" t="s">
        <v>144</v>
      </c>
      <c r="K699" t="s">
        <v>65</v>
      </c>
      <c r="L699" t="s">
        <v>142</v>
      </c>
      <c r="M699" t="s">
        <v>31</v>
      </c>
      <c r="N699">
        <v>2</v>
      </c>
      <c r="O699">
        <v>2</v>
      </c>
      <c r="P699" t="s">
        <v>145</v>
      </c>
      <c r="Q699" t="s">
        <v>28</v>
      </c>
      <c r="R699" t="s">
        <v>28</v>
      </c>
      <c r="S699" t="s">
        <v>28</v>
      </c>
      <c r="T699" t="s">
        <v>28</v>
      </c>
      <c r="U699" t="s">
        <v>28</v>
      </c>
      <c r="V699" t="s">
        <v>28</v>
      </c>
      <c r="W699">
        <v>4</v>
      </c>
      <c r="X699" t="s">
        <v>146</v>
      </c>
    </row>
    <row r="700" spans="1:24" x14ac:dyDescent="0.2">
      <c r="A700" t="str">
        <f t="shared" si="30"/>
        <v>sample_novaseq-16S-B-C03-L4_SICap-P5-C3-P5D2-BHI-C2R1-yesBile-rep2-day2</v>
      </c>
      <c r="B700" s="1" t="s">
        <v>296</v>
      </c>
      <c r="C700" s="3" t="s">
        <v>872</v>
      </c>
      <c r="D700" s="3" t="s">
        <v>1328</v>
      </c>
      <c r="E700" t="s">
        <v>20</v>
      </c>
      <c r="F700" t="s">
        <v>143</v>
      </c>
      <c r="G700" t="s">
        <v>67</v>
      </c>
      <c r="H700" t="str">
        <f t="shared" si="31"/>
        <v>03</v>
      </c>
      <c r="I700" t="str">
        <f t="shared" si="32"/>
        <v>C</v>
      </c>
      <c r="J700" t="s">
        <v>144</v>
      </c>
      <c r="K700" t="s">
        <v>65</v>
      </c>
      <c r="L700" t="s">
        <v>142</v>
      </c>
      <c r="M700" t="s">
        <v>33</v>
      </c>
      <c r="N700">
        <v>2</v>
      </c>
      <c r="O700">
        <v>2</v>
      </c>
      <c r="P700" t="s">
        <v>145</v>
      </c>
      <c r="Q700" t="s">
        <v>28</v>
      </c>
      <c r="R700" t="s">
        <v>28</v>
      </c>
      <c r="S700" t="s">
        <v>28</v>
      </c>
      <c r="T700" t="s">
        <v>28</v>
      </c>
      <c r="U700" t="s">
        <v>28</v>
      </c>
      <c r="V700" t="s">
        <v>28</v>
      </c>
      <c r="W700">
        <v>4</v>
      </c>
      <c r="X700" t="s">
        <v>146</v>
      </c>
    </row>
    <row r="701" spans="1:24" x14ac:dyDescent="0.2">
      <c r="A701" t="str">
        <f t="shared" si="30"/>
        <v>sample_novaseq-16S-B-C04-L4_SICap-P5-C4-P5D2-BHI-C2R2-yesBile-rep2-day2</v>
      </c>
      <c r="B701" s="1" t="s">
        <v>297</v>
      </c>
      <c r="C701" s="3" t="s">
        <v>873</v>
      </c>
      <c r="D701" s="3" t="s">
        <v>1328</v>
      </c>
      <c r="E701" t="s">
        <v>20</v>
      </c>
      <c r="F701" t="s">
        <v>143</v>
      </c>
      <c r="G701" t="s">
        <v>68</v>
      </c>
      <c r="H701" t="str">
        <f t="shared" si="31"/>
        <v>04</v>
      </c>
      <c r="I701" t="str">
        <f t="shared" si="32"/>
        <v>C</v>
      </c>
      <c r="J701" t="s">
        <v>144</v>
      </c>
      <c r="K701" t="s">
        <v>65</v>
      </c>
      <c r="L701" t="s">
        <v>142</v>
      </c>
      <c r="M701" t="s">
        <v>35</v>
      </c>
      <c r="N701">
        <v>2</v>
      </c>
      <c r="O701">
        <v>2</v>
      </c>
      <c r="P701" t="s">
        <v>145</v>
      </c>
      <c r="Q701" t="s">
        <v>28</v>
      </c>
      <c r="R701" t="s">
        <v>28</v>
      </c>
      <c r="S701" t="s">
        <v>28</v>
      </c>
      <c r="T701" t="s">
        <v>28</v>
      </c>
      <c r="U701" t="s">
        <v>28</v>
      </c>
      <c r="V701" t="s">
        <v>28</v>
      </c>
      <c r="W701">
        <v>4</v>
      </c>
      <c r="X701" t="s">
        <v>146</v>
      </c>
    </row>
    <row r="702" spans="1:24" x14ac:dyDescent="0.2">
      <c r="A702" t="str">
        <f t="shared" si="30"/>
        <v>sample_novaseq-16S-B-C05-L4_SICap-P5-C5-P5D2-BHI-C3R1-yesBile-rep2-day2</v>
      </c>
      <c r="B702" s="1" t="s">
        <v>298</v>
      </c>
      <c r="C702" s="3" t="s">
        <v>874</v>
      </c>
      <c r="D702" s="3" t="s">
        <v>1328</v>
      </c>
      <c r="E702" t="s">
        <v>20</v>
      </c>
      <c r="F702" t="s">
        <v>143</v>
      </c>
      <c r="G702" t="s">
        <v>69</v>
      </c>
      <c r="H702" t="str">
        <f t="shared" si="31"/>
        <v>05</v>
      </c>
      <c r="I702" t="str">
        <f t="shared" si="32"/>
        <v>C</v>
      </c>
      <c r="J702" t="s">
        <v>144</v>
      </c>
      <c r="K702" t="s">
        <v>65</v>
      </c>
      <c r="L702" t="s">
        <v>142</v>
      </c>
      <c r="M702" t="s">
        <v>37</v>
      </c>
      <c r="N702">
        <v>2</v>
      </c>
      <c r="O702">
        <v>2</v>
      </c>
      <c r="P702" t="s">
        <v>145</v>
      </c>
      <c r="Q702" t="s">
        <v>28</v>
      </c>
      <c r="R702" t="s">
        <v>28</v>
      </c>
      <c r="S702" t="s">
        <v>28</v>
      </c>
      <c r="T702" t="s">
        <v>28</v>
      </c>
      <c r="U702" t="s">
        <v>28</v>
      </c>
      <c r="V702" t="s">
        <v>28</v>
      </c>
      <c r="W702">
        <v>4</v>
      </c>
      <c r="X702" t="s">
        <v>146</v>
      </c>
    </row>
    <row r="703" spans="1:24" x14ac:dyDescent="0.2">
      <c r="A703" t="str">
        <f t="shared" si="30"/>
        <v>sample_novaseq-16S-B-C06-L4_SICap-P5-C6-P5D2-BHI-C3R2-yesBile-rep2-day2</v>
      </c>
      <c r="B703" s="1" t="s">
        <v>299</v>
      </c>
      <c r="C703" s="3" t="s">
        <v>875</v>
      </c>
      <c r="D703" s="3" t="s">
        <v>1328</v>
      </c>
      <c r="E703" t="s">
        <v>20</v>
      </c>
      <c r="F703" t="s">
        <v>143</v>
      </c>
      <c r="G703" t="s">
        <v>70</v>
      </c>
      <c r="H703" t="str">
        <f t="shared" si="31"/>
        <v>06</v>
      </c>
      <c r="I703" t="str">
        <f t="shared" si="32"/>
        <v>C</v>
      </c>
      <c r="J703" t="s">
        <v>144</v>
      </c>
      <c r="K703" t="s">
        <v>65</v>
      </c>
      <c r="L703" t="s">
        <v>142</v>
      </c>
      <c r="M703" t="s">
        <v>39</v>
      </c>
      <c r="N703">
        <v>2</v>
      </c>
      <c r="O703">
        <v>2</v>
      </c>
      <c r="P703" t="s">
        <v>145</v>
      </c>
      <c r="Q703" t="s">
        <v>28</v>
      </c>
      <c r="R703" t="s">
        <v>28</v>
      </c>
      <c r="S703" t="s">
        <v>28</v>
      </c>
      <c r="T703" t="s">
        <v>28</v>
      </c>
      <c r="U703" t="s">
        <v>28</v>
      </c>
      <c r="V703" t="s">
        <v>28</v>
      </c>
      <c r="W703">
        <v>4</v>
      </c>
      <c r="X703" t="s">
        <v>146</v>
      </c>
    </row>
    <row r="704" spans="1:24" x14ac:dyDescent="0.2">
      <c r="A704" t="str">
        <f t="shared" si="30"/>
        <v>sample_novaseq-16S-B-C07-L4_SICap-P5-C7-P5D2-BHI-C4R1-yesBile-rep2-day2</v>
      </c>
      <c r="B704" s="1" t="s">
        <v>300</v>
      </c>
      <c r="C704" s="3" t="s">
        <v>876</v>
      </c>
      <c r="D704" s="3" t="s">
        <v>1328</v>
      </c>
      <c r="E704" t="s">
        <v>20</v>
      </c>
      <c r="F704" t="s">
        <v>143</v>
      </c>
      <c r="G704" t="s">
        <v>71</v>
      </c>
      <c r="H704" t="str">
        <f t="shared" si="31"/>
        <v>07</v>
      </c>
      <c r="I704" t="str">
        <f t="shared" si="32"/>
        <v>C</v>
      </c>
      <c r="J704" t="s">
        <v>144</v>
      </c>
      <c r="K704" t="s">
        <v>65</v>
      </c>
      <c r="L704" t="s">
        <v>142</v>
      </c>
      <c r="M704" t="s">
        <v>41</v>
      </c>
      <c r="N704">
        <v>2</v>
      </c>
      <c r="O704">
        <v>2</v>
      </c>
      <c r="P704" t="s">
        <v>145</v>
      </c>
      <c r="Q704" t="s">
        <v>28</v>
      </c>
      <c r="R704" t="s">
        <v>28</v>
      </c>
      <c r="S704" t="s">
        <v>28</v>
      </c>
      <c r="T704" t="s">
        <v>28</v>
      </c>
      <c r="U704" t="s">
        <v>28</v>
      </c>
      <c r="V704" t="s">
        <v>28</v>
      </c>
      <c r="W704">
        <v>4</v>
      </c>
      <c r="X704" t="s">
        <v>146</v>
      </c>
    </row>
    <row r="705" spans="1:24" x14ac:dyDescent="0.2">
      <c r="A705" t="str">
        <f t="shared" si="30"/>
        <v>sample_novaseq-16S-B-C08-L4_SICap-P5-C8-P5D2-BHI-C4R2-yesBile-rep2-day2</v>
      </c>
      <c r="B705" s="1" t="s">
        <v>301</v>
      </c>
      <c r="C705" s="3" t="s">
        <v>877</v>
      </c>
      <c r="D705" s="3" t="s">
        <v>1328</v>
      </c>
      <c r="E705" t="s">
        <v>20</v>
      </c>
      <c r="F705" t="s">
        <v>143</v>
      </c>
      <c r="G705" t="s">
        <v>72</v>
      </c>
      <c r="H705" t="str">
        <f t="shared" si="31"/>
        <v>08</v>
      </c>
      <c r="I705" t="str">
        <f t="shared" si="32"/>
        <v>C</v>
      </c>
      <c r="J705" t="s">
        <v>144</v>
      </c>
      <c r="K705" t="s">
        <v>65</v>
      </c>
      <c r="L705" t="s">
        <v>142</v>
      </c>
      <c r="M705" t="s">
        <v>43</v>
      </c>
      <c r="N705">
        <v>2</v>
      </c>
      <c r="O705">
        <v>2</v>
      </c>
      <c r="P705" t="s">
        <v>145</v>
      </c>
      <c r="Q705" t="s">
        <v>28</v>
      </c>
      <c r="R705" t="s">
        <v>28</v>
      </c>
      <c r="S705" t="s">
        <v>28</v>
      </c>
      <c r="T705" t="s">
        <v>28</v>
      </c>
      <c r="U705" t="s">
        <v>28</v>
      </c>
      <c r="V705" t="s">
        <v>28</v>
      </c>
      <c r="W705">
        <v>4</v>
      </c>
      <c r="X705" t="s">
        <v>146</v>
      </c>
    </row>
    <row r="706" spans="1:24" x14ac:dyDescent="0.2">
      <c r="A706" t="str">
        <f t="shared" si="30"/>
        <v>sample_novaseq-16S-B-C09-L4_SICap-P5-C9-P5D2-BHI-S1R2-yesBile-rep2-day2</v>
      </c>
      <c r="B706" s="1" t="s">
        <v>302</v>
      </c>
      <c r="C706" s="3" t="s">
        <v>878</v>
      </c>
      <c r="D706" s="3" t="s">
        <v>1328</v>
      </c>
      <c r="E706" t="s">
        <v>20</v>
      </c>
      <c r="F706" t="s">
        <v>143</v>
      </c>
      <c r="G706" t="s">
        <v>73</v>
      </c>
      <c r="H706" t="str">
        <f t="shared" si="31"/>
        <v>09</v>
      </c>
      <c r="I706" t="str">
        <f t="shared" si="32"/>
        <v>C</v>
      </c>
      <c r="J706" t="s">
        <v>144</v>
      </c>
      <c r="K706" t="s">
        <v>65</v>
      </c>
      <c r="L706" t="s">
        <v>142</v>
      </c>
      <c r="M706" t="s">
        <v>45</v>
      </c>
      <c r="N706">
        <v>2</v>
      </c>
      <c r="O706">
        <v>2</v>
      </c>
      <c r="P706" t="s">
        <v>145</v>
      </c>
      <c r="Q706" t="s">
        <v>28</v>
      </c>
      <c r="R706" t="s">
        <v>28</v>
      </c>
      <c r="S706" t="s">
        <v>28</v>
      </c>
      <c r="T706" t="s">
        <v>28</v>
      </c>
      <c r="U706" t="s">
        <v>28</v>
      </c>
      <c r="V706" t="s">
        <v>28</v>
      </c>
      <c r="W706">
        <v>4</v>
      </c>
      <c r="X706" t="s">
        <v>146</v>
      </c>
    </row>
    <row r="707" spans="1:24" x14ac:dyDescent="0.2">
      <c r="A707" t="str">
        <f t="shared" ref="A707:A770" si="33">_xlfn.CONCAT("sample_novaseq-",C707)</f>
        <v>sample_novaseq-16S-B-C10-L4_SICap-P5-C10-P5D2-BHI-StoolPool-yesBile-rep2-day2</v>
      </c>
      <c r="B707" s="1" t="s">
        <v>303</v>
      </c>
      <c r="C707" s="3" t="s">
        <v>879</v>
      </c>
      <c r="D707" s="3" t="s">
        <v>1328</v>
      </c>
      <c r="E707" t="s">
        <v>20</v>
      </c>
      <c r="F707" t="s">
        <v>143</v>
      </c>
      <c r="G707" t="s">
        <v>74</v>
      </c>
      <c r="H707" t="str">
        <f t="shared" ref="H707:H770" si="34">RIGHT(G707,2)</f>
        <v>10</v>
      </c>
      <c r="I707" t="str">
        <f t="shared" ref="I707:I770" si="35">LEFT(G707)</f>
        <v>C</v>
      </c>
      <c r="J707" t="s">
        <v>144</v>
      </c>
      <c r="K707" t="s">
        <v>65</v>
      </c>
      <c r="L707" t="s">
        <v>142</v>
      </c>
      <c r="M707" t="s">
        <v>47</v>
      </c>
      <c r="N707">
        <v>2</v>
      </c>
      <c r="O707">
        <v>2</v>
      </c>
      <c r="P707" t="s">
        <v>145</v>
      </c>
      <c r="Q707" t="s">
        <v>28</v>
      </c>
      <c r="R707" t="s">
        <v>28</v>
      </c>
      <c r="S707" t="s">
        <v>28</v>
      </c>
      <c r="T707" t="s">
        <v>28</v>
      </c>
      <c r="U707" t="s">
        <v>28</v>
      </c>
      <c r="V707" t="s">
        <v>28</v>
      </c>
      <c r="W707">
        <v>4</v>
      </c>
      <c r="X707" t="s">
        <v>146</v>
      </c>
    </row>
    <row r="708" spans="1:24" x14ac:dyDescent="0.2">
      <c r="A708" t="str">
        <f t="shared" si="33"/>
        <v>sample_novaseq-16S-B-C11-L4_SICap-P5-C11-P5D2-BHI-SIPool-yesBile-rep2-day2</v>
      </c>
      <c r="B708" s="1" t="s">
        <v>304</v>
      </c>
      <c r="C708" s="3" t="s">
        <v>880</v>
      </c>
      <c r="D708" s="3" t="s">
        <v>1328</v>
      </c>
      <c r="E708" t="s">
        <v>20</v>
      </c>
      <c r="F708" t="s">
        <v>143</v>
      </c>
      <c r="G708" t="s">
        <v>75</v>
      </c>
      <c r="H708" t="str">
        <f t="shared" si="34"/>
        <v>11</v>
      </c>
      <c r="I708" t="str">
        <f t="shared" si="35"/>
        <v>C</v>
      </c>
      <c r="J708" t="s">
        <v>144</v>
      </c>
      <c r="K708" t="s">
        <v>65</v>
      </c>
      <c r="L708" t="s">
        <v>142</v>
      </c>
      <c r="M708" t="s">
        <v>49</v>
      </c>
      <c r="N708">
        <v>2</v>
      </c>
      <c r="O708">
        <v>2</v>
      </c>
      <c r="P708" t="s">
        <v>145</v>
      </c>
      <c r="Q708" t="s">
        <v>28</v>
      </c>
      <c r="R708" t="s">
        <v>28</v>
      </c>
      <c r="S708" t="s">
        <v>28</v>
      </c>
      <c r="T708" t="s">
        <v>28</v>
      </c>
      <c r="U708" t="s">
        <v>28</v>
      </c>
      <c r="V708" t="s">
        <v>28</v>
      </c>
      <c r="W708">
        <v>4</v>
      </c>
      <c r="X708" t="s">
        <v>146</v>
      </c>
    </row>
    <row r="709" spans="1:24" x14ac:dyDescent="0.2">
      <c r="A709" t="str">
        <f t="shared" si="33"/>
        <v>sample_novaseq-16S-B-C12-L4_SICap-P5-C12-P5D2-BHI-Media-yesBile-rep2-day2</v>
      </c>
      <c r="B709" s="1" t="s">
        <v>305</v>
      </c>
      <c r="C709" s="3" t="s">
        <v>881</v>
      </c>
      <c r="D709" s="3" t="s">
        <v>1328</v>
      </c>
      <c r="E709" t="s">
        <v>20</v>
      </c>
      <c r="F709" t="s">
        <v>143</v>
      </c>
      <c r="G709" t="s">
        <v>76</v>
      </c>
      <c r="H709" t="str">
        <f t="shared" si="34"/>
        <v>12</v>
      </c>
      <c r="I709" t="str">
        <f t="shared" si="35"/>
        <v>C</v>
      </c>
      <c r="J709" t="s">
        <v>144</v>
      </c>
      <c r="K709" t="s">
        <v>65</v>
      </c>
      <c r="L709" t="s">
        <v>142</v>
      </c>
      <c r="M709" t="s">
        <v>6</v>
      </c>
      <c r="N709">
        <v>2</v>
      </c>
      <c r="O709">
        <v>2</v>
      </c>
      <c r="P709" t="s">
        <v>145</v>
      </c>
      <c r="Q709" t="s">
        <v>28</v>
      </c>
      <c r="R709" t="s">
        <v>28</v>
      </c>
      <c r="S709" t="s">
        <v>28</v>
      </c>
      <c r="T709" t="s">
        <v>28</v>
      </c>
      <c r="U709" t="s">
        <v>28</v>
      </c>
      <c r="V709" t="s">
        <v>28</v>
      </c>
      <c r="W709">
        <v>4</v>
      </c>
      <c r="X709" t="s">
        <v>146</v>
      </c>
    </row>
    <row r="710" spans="1:24" x14ac:dyDescent="0.2">
      <c r="A710" t="str">
        <f t="shared" si="33"/>
        <v>sample_novaseq-16S-B-D01-L4_SICap-P5-D1-P5D2-GAM-C1R1-yesBile-rep2-day2</v>
      </c>
      <c r="B710" s="1" t="s">
        <v>306</v>
      </c>
      <c r="C710" s="3" t="s">
        <v>882</v>
      </c>
      <c r="D710" s="3" t="s">
        <v>1328</v>
      </c>
      <c r="E710" t="s">
        <v>20</v>
      </c>
      <c r="F710" t="s">
        <v>143</v>
      </c>
      <c r="G710" t="s">
        <v>77</v>
      </c>
      <c r="H710" t="str">
        <f t="shared" si="34"/>
        <v>01</v>
      </c>
      <c r="I710" t="str">
        <f t="shared" si="35"/>
        <v>D</v>
      </c>
      <c r="J710" t="s">
        <v>144</v>
      </c>
      <c r="K710" t="s">
        <v>78</v>
      </c>
      <c r="L710" t="s">
        <v>142</v>
      </c>
      <c r="M710" t="s">
        <v>26</v>
      </c>
      <c r="N710">
        <v>2</v>
      </c>
      <c r="O710">
        <v>2</v>
      </c>
      <c r="P710" t="s">
        <v>145</v>
      </c>
      <c r="Q710" t="s">
        <v>28</v>
      </c>
      <c r="R710" t="s">
        <v>28</v>
      </c>
      <c r="S710" t="s">
        <v>28</v>
      </c>
      <c r="T710" t="s">
        <v>28</v>
      </c>
      <c r="U710" t="s">
        <v>28</v>
      </c>
      <c r="V710" t="s">
        <v>28</v>
      </c>
      <c r="W710">
        <v>4</v>
      </c>
      <c r="X710" t="s">
        <v>146</v>
      </c>
    </row>
    <row r="711" spans="1:24" x14ac:dyDescent="0.2">
      <c r="A711" t="str">
        <f t="shared" si="33"/>
        <v>sample_novaseq-16S-B-D02-L4_SICap-P5-D2-P5D2-GAM-C1R2-yesBile-rep2-day2</v>
      </c>
      <c r="B711" s="1" t="s">
        <v>307</v>
      </c>
      <c r="C711" s="3" t="s">
        <v>883</v>
      </c>
      <c r="D711" s="3" t="s">
        <v>1328</v>
      </c>
      <c r="E711" t="s">
        <v>20</v>
      </c>
      <c r="F711" t="s">
        <v>143</v>
      </c>
      <c r="G711" t="s">
        <v>79</v>
      </c>
      <c r="H711" t="str">
        <f t="shared" si="34"/>
        <v>02</v>
      </c>
      <c r="I711" t="str">
        <f t="shared" si="35"/>
        <v>D</v>
      </c>
      <c r="J711" t="s">
        <v>144</v>
      </c>
      <c r="K711" t="s">
        <v>78</v>
      </c>
      <c r="L711" t="s">
        <v>142</v>
      </c>
      <c r="M711" t="s">
        <v>31</v>
      </c>
      <c r="N711">
        <v>2</v>
      </c>
      <c r="O711">
        <v>2</v>
      </c>
      <c r="P711" t="s">
        <v>145</v>
      </c>
      <c r="Q711" t="s">
        <v>28</v>
      </c>
      <c r="R711" t="s">
        <v>28</v>
      </c>
      <c r="S711" t="s">
        <v>28</v>
      </c>
      <c r="T711" t="s">
        <v>28</v>
      </c>
      <c r="U711" t="s">
        <v>28</v>
      </c>
      <c r="V711" t="s">
        <v>28</v>
      </c>
      <c r="W711">
        <v>4</v>
      </c>
      <c r="X711" t="s">
        <v>146</v>
      </c>
    </row>
    <row r="712" spans="1:24" x14ac:dyDescent="0.2">
      <c r="A712" t="str">
        <f t="shared" si="33"/>
        <v>sample_novaseq-16S-B-D03-L4_SICap-P5-D3-P5D2-GAM-C2R1-yesBile-rep2-day2</v>
      </c>
      <c r="B712" s="1" t="s">
        <v>308</v>
      </c>
      <c r="C712" s="3" t="s">
        <v>884</v>
      </c>
      <c r="D712" s="3" t="s">
        <v>1328</v>
      </c>
      <c r="E712" t="s">
        <v>20</v>
      </c>
      <c r="F712" t="s">
        <v>143</v>
      </c>
      <c r="G712" t="s">
        <v>80</v>
      </c>
      <c r="H712" t="str">
        <f t="shared" si="34"/>
        <v>03</v>
      </c>
      <c r="I712" t="str">
        <f t="shared" si="35"/>
        <v>D</v>
      </c>
      <c r="J712" t="s">
        <v>144</v>
      </c>
      <c r="K712" t="s">
        <v>78</v>
      </c>
      <c r="L712" t="s">
        <v>142</v>
      </c>
      <c r="M712" t="s">
        <v>33</v>
      </c>
      <c r="N712">
        <v>2</v>
      </c>
      <c r="O712">
        <v>2</v>
      </c>
      <c r="P712" t="s">
        <v>145</v>
      </c>
      <c r="Q712" t="s">
        <v>28</v>
      </c>
      <c r="R712" t="s">
        <v>28</v>
      </c>
      <c r="S712" t="s">
        <v>28</v>
      </c>
      <c r="T712" t="s">
        <v>28</v>
      </c>
      <c r="U712" t="s">
        <v>28</v>
      </c>
      <c r="V712" t="s">
        <v>28</v>
      </c>
      <c r="W712">
        <v>4</v>
      </c>
      <c r="X712" t="s">
        <v>146</v>
      </c>
    </row>
    <row r="713" spans="1:24" x14ac:dyDescent="0.2">
      <c r="A713" t="str">
        <f t="shared" si="33"/>
        <v>sample_novaseq-16S-B-D04-L4_SICap-P5-D4-P5D2-GAM-C2R2-yesBile-rep2-day2</v>
      </c>
      <c r="B713" s="1" t="s">
        <v>309</v>
      </c>
      <c r="C713" s="3" t="s">
        <v>885</v>
      </c>
      <c r="D713" s="3" t="s">
        <v>1328</v>
      </c>
      <c r="E713" t="s">
        <v>20</v>
      </c>
      <c r="F713" t="s">
        <v>143</v>
      </c>
      <c r="G713" t="s">
        <v>81</v>
      </c>
      <c r="H713" t="str">
        <f t="shared" si="34"/>
        <v>04</v>
      </c>
      <c r="I713" t="str">
        <f t="shared" si="35"/>
        <v>D</v>
      </c>
      <c r="J713" t="s">
        <v>144</v>
      </c>
      <c r="K713" t="s">
        <v>78</v>
      </c>
      <c r="L713" t="s">
        <v>142</v>
      </c>
      <c r="M713" t="s">
        <v>35</v>
      </c>
      <c r="N713">
        <v>2</v>
      </c>
      <c r="O713">
        <v>2</v>
      </c>
      <c r="P713" t="s">
        <v>145</v>
      </c>
      <c r="Q713" t="s">
        <v>28</v>
      </c>
      <c r="R713" t="s">
        <v>28</v>
      </c>
      <c r="S713" t="s">
        <v>28</v>
      </c>
      <c r="T713" t="s">
        <v>28</v>
      </c>
      <c r="U713" t="s">
        <v>28</v>
      </c>
      <c r="V713" t="s">
        <v>28</v>
      </c>
      <c r="W713">
        <v>4</v>
      </c>
      <c r="X713" t="s">
        <v>146</v>
      </c>
    </row>
    <row r="714" spans="1:24" x14ac:dyDescent="0.2">
      <c r="A714" t="str">
        <f t="shared" si="33"/>
        <v>sample_novaseq-16S-B-D05-L4_SICap-P5-D5-P5D2-GAM-C3R1-yesBile-rep2-day2</v>
      </c>
      <c r="B714" s="1" t="s">
        <v>310</v>
      </c>
      <c r="C714" s="3" t="s">
        <v>886</v>
      </c>
      <c r="D714" s="3" t="s">
        <v>1328</v>
      </c>
      <c r="E714" t="s">
        <v>20</v>
      </c>
      <c r="F714" t="s">
        <v>143</v>
      </c>
      <c r="G714" t="s">
        <v>82</v>
      </c>
      <c r="H714" t="str">
        <f t="shared" si="34"/>
        <v>05</v>
      </c>
      <c r="I714" t="str">
        <f t="shared" si="35"/>
        <v>D</v>
      </c>
      <c r="J714" t="s">
        <v>144</v>
      </c>
      <c r="K714" t="s">
        <v>78</v>
      </c>
      <c r="L714" t="s">
        <v>142</v>
      </c>
      <c r="M714" t="s">
        <v>37</v>
      </c>
      <c r="N714">
        <v>2</v>
      </c>
      <c r="O714">
        <v>2</v>
      </c>
      <c r="P714" t="s">
        <v>145</v>
      </c>
      <c r="Q714" t="s">
        <v>28</v>
      </c>
      <c r="R714" t="s">
        <v>28</v>
      </c>
      <c r="S714" t="s">
        <v>28</v>
      </c>
      <c r="T714" t="s">
        <v>28</v>
      </c>
      <c r="U714" t="s">
        <v>28</v>
      </c>
      <c r="V714" t="s">
        <v>28</v>
      </c>
      <c r="W714">
        <v>4</v>
      </c>
      <c r="X714" t="s">
        <v>146</v>
      </c>
    </row>
    <row r="715" spans="1:24" x14ac:dyDescent="0.2">
      <c r="A715" t="str">
        <f t="shared" si="33"/>
        <v>sample_novaseq-16S-B-D06-L4_SICap-P5-D6-P5D2-GAM-C3R2-yesBile-rep2-day2</v>
      </c>
      <c r="B715" s="1" t="s">
        <v>311</v>
      </c>
      <c r="C715" s="3" t="s">
        <v>887</v>
      </c>
      <c r="D715" s="3" t="s">
        <v>1328</v>
      </c>
      <c r="E715" t="s">
        <v>20</v>
      </c>
      <c r="F715" t="s">
        <v>143</v>
      </c>
      <c r="G715" t="s">
        <v>83</v>
      </c>
      <c r="H715" t="str">
        <f t="shared" si="34"/>
        <v>06</v>
      </c>
      <c r="I715" t="str">
        <f t="shared" si="35"/>
        <v>D</v>
      </c>
      <c r="J715" t="s">
        <v>144</v>
      </c>
      <c r="K715" t="s">
        <v>78</v>
      </c>
      <c r="L715" t="s">
        <v>142</v>
      </c>
      <c r="M715" t="s">
        <v>39</v>
      </c>
      <c r="N715">
        <v>2</v>
      </c>
      <c r="O715">
        <v>2</v>
      </c>
      <c r="P715" t="s">
        <v>145</v>
      </c>
      <c r="Q715" t="s">
        <v>28</v>
      </c>
      <c r="R715" t="s">
        <v>28</v>
      </c>
      <c r="S715" t="s">
        <v>28</v>
      </c>
      <c r="T715" t="s">
        <v>28</v>
      </c>
      <c r="U715" t="s">
        <v>28</v>
      </c>
      <c r="V715" t="s">
        <v>28</v>
      </c>
      <c r="W715">
        <v>4</v>
      </c>
      <c r="X715" t="s">
        <v>146</v>
      </c>
    </row>
    <row r="716" spans="1:24" x14ac:dyDescent="0.2">
      <c r="A716" t="str">
        <f t="shared" si="33"/>
        <v>sample_novaseq-16S-B-D07-L4_SICap-P5-D7-P5D2-GAM-C4R1-yesBile-rep2-day2</v>
      </c>
      <c r="B716" s="1" t="s">
        <v>312</v>
      </c>
      <c r="C716" s="3" t="s">
        <v>888</v>
      </c>
      <c r="D716" s="3" t="s">
        <v>1328</v>
      </c>
      <c r="E716" t="s">
        <v>20</v>
      </c>
      <c r="F716" t="s">
        <v>143</v>
      </c>
      <c r="G716" t="s">
        <v>84</v>
      </c>
      <c r="H716" t="str">
        <f t="shared" si="34"/>
        <v>07</v>
      </c>
      <c r="I716" t="str">
        <f t="shared" si="35"/>
        <v>D</v>
      </c>
      <c r="J716" t="s">
        <v>144</v>
      </c>
      <c r="K716" t="s">
        <v>78</v>
      </c>
      <c r="L716" t="s">
        <v>142</v>
      </c>
      <c r="M716" t="s">
        <v>41</v>
      </c>
      <c r="N716">
        <v>2</v>
      </c>
      <c r="O716">
        <v>2</v>
      </c>
      <c r="P716" t="s">
        <v>145</v>
      </c>
      <c r="Q716" t="s">
        <v>28</v>
      </c>
      <c r="R716" t="s">
        <v>28</v>
      </c>
      <c r="S716" t="s">
        <v>28</v>
      </c>
      <c r="T716" t="s">
        <v>28</v>
      </c>
      <c r="U716" t="s">
        <v>28</v>
      </c>
      <c r="V716" t="s">
        <v>28</v>
      </c>
      <c r="W716">
        <v>4</v>
      </c>
      <c r="X716" t="s">
        <v>146</v>
      </c>
    </row>
    <row r="717" spans="1:24" x14ac:dyDescent="0.2">
      <c r="A717" t="str">
        <f t="shared" si="33"/>
        <v>sample_novaseq-16S-B-D08-L4_SICap-P5-D8-P5D2-GAM-C4R2-yesBile-rep2-day2</v>
      </c>
      <c r="B717" s="1" t="s">
        <v>313</v>
      </c>
      <c r="C717" s="3" t="s">
        <v>889</v>
      </c>
      <c r="D717" s="3" t="s">
        <v>1328</v>
      </c>
      <c r="E717" t="s">
        <v>20</v>
      </c>
      <c r="F717" t="s">
        <v>143</v>
      </c>
      <c r="G717" t="s">
        <v>85</v>
      </c>
      <c r="H717" t="str">
        <f t="shared" si="34"/>
        <v>08</v>
      </c>
      <c r="I717" t="str">
        <f t="shared" si="35"/>
        <v>D</v>
      </c>
      <c r="J717" t="s">
        <v>144</v>
      </c>
      <c r="K717" t="s">
        <v>78</v>
      </c>
      <c r="L717" t="s">
        <v>142</v>
      </c>
      <c r="M717" t="s">
        <v>43</v>
      </c>
      <c r="N717">
        <v>2</v>
      </c>
      <c r="O717">
        <v>2</v>
      </c>
      <c r="P717" t="s">
        <v>145</v>
      </c>
      <c r="Q717" t="s">
        <v>28</v>
      </c>
      <c r="R717" t="s">
        <v>28</v>
      </c>
      <c r="S717" t="s">
        <v>28</v>
      </c>
      <c r="T717" t="s">
        <v>28</v>
      </c>
      <c r="U717" t="s">
        <v>28</v>
      </c>
      <c r="V717" t="s">
        <v>28</v>
      </c>
      <c r="W717">
        <v>4</v>
      </c>
      <c r="X717" t="s">
        <v>146</v>
      </c>
    </row>
    <row r="718" spans="1:24" x14ac:dyDescent="0.2">
      <c r="A718" t="str">
        <f t="shared" si="33"/>
        <v>sample_novaseq-16S-B-D09-L4_SICap-P5-D9-P5D2-GAM-S1R2-yesBile-rep2-day2</v>
      </c>
      <c r="B718" s="1" t="s">
        <v>314</v>
      </c>
      <c r="C718" s="3" t="s">
        <v>890</v>
      </c>
      <c r="D718" s="3" t="s">
        <v>1328</v>
      </c>
      <c r="E718" t="s">
        <v>20</v>
      </c>
      <c r="F718" t="s">
        <v>143</v>
      </c>
      <c r="G718" t="s">
        <v>86</v>
      </c>
      <c r="H718" t="str">
        <f t="shared" si="34"/>
        <v>09</v>
      </c>
      <c r="I718" t="str">
        <f t="shared" si="35"/>
        <v>D</v>
      </c>
      <c r="J718" t="s">
        <v>144</v>
      </c>
      <c r="K718" t="s">
        <v>78</v>
      </c>
      <c r="L718" t="s">
        <v>142</v>
      </c>
      <c r="M718" t="s">
        <v>45</v>
      </c>
      <c r="N718">
        <v>2</v>
      </c>
      <c r="O718">
        <v>2</v>
      </c>
      <c r="P718" t="s">
        <v>145</v>
      </c>
      <c r="Q718" t="s">
        <v>28</v>
      </c>
      <c r="R718" t="s">
        <v>28</v>
      </c>
      <c r="S718" t="s">
        <v>28</v>
      </c>
      <c r="T718" t="s">
        <v>28</v>
      </c>
      <c r="U718" t="s">
        <v>28</v>
      </c>
      <c r="V718" t="s">
        <v>28</v>
      </c>
      <c r="W718">
        <v>4</v>
      </c>
      <c r="X718" t="s">
        <v>146</v>
      </c>
    </row>
    <row r="719" spans="1:24" x14ac:dyDescent="0.2">
      <c r="A719" t="str">
        <f t="shared" si="33"/>
        <v>sample_novaseq-16S-B-D10-L4_SICap-P5-D10-P5D2-GAM-StoolPool-yesBile-rep2-day2</v>
      </c>
      <c r="B719" s="1" t="s">
        <v>315</v>
      </c>
      <c r="C719" s="3" t="s">
        <v>891</v>
      </c>
      <c r="D719" s="3" t="s">
        <v>1328</v>
      </c>
      <c r="E719" t="s">
        <v>20</v>
      </c>
      <c r="F719" t="s">
        <v>143</v>
      </c>
      <c r="G719" t="s">
        <v>87</v>
      </c>
      <c r="H719" t="str">
        <f t="shared" si="34"/>
        <v>10</v>
      </c>
      <c r="I719" t="str">
        <f t="shared" si="35"/>
        <v>D</v>
      </c>
      <c r="J719" t="s">
        <v>144</v>
      </c>
      <c r="K719" t="s">
        <v>78</v>
      </c>
      <c r="L719" t="s">
        <v>142</v>
      </c>
      <c r="M719" t="s">
        <v>47</v>
      </c>
      <c r="N719">
        <v>2</v>
      </c>
      <c r="O719">
        <v>2</v>
      </c>
      <c r="P719" t="s">
        <v>145</v>
      </c>
      <c r="Q719" t="s">
        <v>28</v>
      </c>
      <c r="R719" t="s">
        <v>28</v>
      </c>
      <c r="S719" t="s">
        <v>28</v>
      </c>
      <c r="T719" t="s">
        <v>28</v>
      </c>
      <c r="U719" t="s">
        <v>28</v>
      </c>
      <c r="V719" t="s">
        <v>28</v>
      </c>
      <c r="W719">
        <v>4</v>
      </c>
      <c r="X719" t="s">
        <v>146</v>
      </c>
    </row>
    <row r="720" spans="1:24" x14ac:dyDescent="0.2">
      <c r="A720" t="str">
        <f t="shared" si="33"/>
        <v>sample_novaseq-16S-B-D11-L4_SICap-P5-D11-P5D2-GAM-SIPool-yesBile-rep2-day2</v>
      </c>
      <c r="B720" s="1" t="s">
        <v>316</v>
      </c>
      <c r="C720" s="3" t="s">
        <v>892</v>
      </c>
      <c r="D720" s="3" t="s">
        <v>1328</v>
      </c>
      <c r="E720" t="s">
        <v>20</v>
      </c>
      <c r="F720" t="s">
        <v>143</v>
      </c>
      <c r="G720" t="s">
        <v>88</v>
      </c>
      <c r="H720" t="str">
        <f t="shared" si="34"/>
        <v>11</v>
      </c>
      <c r="I720" t="str">
        <f t="shared" si="35"/>
        <v>D</v>
      </c>
      <c r="J720" t="s">
        <v>144</v>
      </c>
      <c r="K720" t="s">
        <v>78</v>
      </c>
      <c r="L720" t="s">
        <v>142</v>
      </c>
      <c r="M720" t="s">
        <v>49</v>
      </c>
      <c r="N720">
        <v>2</v>
      </c>
      <c r="O720">
        <v>2</v>
      </c>
      <c r="P720" t="s">
        <v>145</v>
      </c>
      <c r="Q720" t="s">
        <v>28</v>
      </c>
      <c r="R720" t="s">
        <v>28</v>
      </c>
      <c r="S720" t="s">
        <v>28</v>
      </c>
      <c r="T720" t="s">
        <v>28</v>
      </c>
      <c r="U720" t="s">
        <v>28</v>
      </c>
      <c r="V720" t="s">
        <v>28</v>
      </c>
      <c r="W720">
        <v>4</v>
      </c>
      <c r="X720" t="s">
        <v>146</v>
      </c>
    </row>
    <row r="721" spans="1:24" x14ac:dyDescent="0.2">
      <c r="A721" t="str">
        <f t="shared" si="33"/>
        <v>sample_novaseq-16S-B-D12-L4_SICap-P5-D12-P5D2-GAM-Media-yesBile-rep2-day2</v>
      </c>
      <c r="B721" s="1" t="s">
        <v>317</v>
      </c>
      <c r="C721" s="3" t="s">
        <v>893</v>
      </c>
      <c r="D721" s="3" t="s">
        <v>1328</v>
      </c>
      <c r="E721" t="s">
        <v>20</v>
      </c>
      <c r="F721" t="s">
        <v>143</v>
      </c>
      <c r="G721" t="s">
        <v>89</v>
      </c>
      <c r="H721" t="str">
        <f t="shared" si="34"/>
        <v>12</v>
      </c>
      <c r="I721" t="str">
        <f t="shared" si="35"/>
        <v>D</v>
      </c>
      <c r="J721" t="s">
        <v>144</v>
      </c>
      <c r="K721" t="s">
        <v>78</v>
      </c>
      <c r="L721" t="s">
        <v>142</v>
      </c>
      <c r="M721" t="s">
        <v>6</v>
      </c>
      <c r="N721">
        <v>2</v>
      </c>
      <c r="O721">
        <v>2</v>
      </c>
      <c r="P721" t="s">
        <v>145</v>
      </c>
      <c r="Q721" t="s">
        <v>28</v>
      </c>
      <c r="R721" t="s">
        <v>28</v>
      </c>
      <c r="S721" t="s">
        <v>28</v>
      </c>
      <c r="T721" t="s">
        <v>28</v>
      </c>
      <c r="U721" t="s">
        <v>28</v>
      </c>
      <c r="V721" t="s">
        <v>28</v>
      </c>
      <c r="W721">
        <v>4</v>
      </c>
      <c r="X721" t="s">
        <v>146</v>
      </c>
    </row>
    <row r="722" spans="1:24" x14ac:dyDescent="0.2">
      <c r="A722" t="str">
        <f t="shared" si="33"/>
        <v>sample_novaseq-16S-B-E01-L4_SICap-P5-E1-P5D2-BB-C1R1-yesBile-rep2-day2</v>
      </c>
      <c r="B722" s="1" t="s">
        <v>318</v>
      </c>
      <c r="C722" s="3" t="s">
        <v>894</v>
      </c>
      <c r="D722" s="3" t="s">
        <v>1328</v>
      </c>
      <c r="E722" t="s">
        <v>20</v>
      </c>
      <c r="F722" t="s">
        <v>143</v>
      </c>
      <c r="G722" t="s">
        <v>90</v>
      </c>
      <c r="H722" t="str">
        <f t="shared" si="34"/>
        <v>01</v>
      </c>
      <c r="I722" t="str">
        <f t="shared" si="35"/>
        <v>E</v>
      </c>
      <c r="J722" t="s">
        <v>144</v>
      </c>
      <c r="K722" t="s">
        <v>91</v>
      </c>
      <c r="L722" t="s">
        <v>142</v>
      </c>
      <c r="M722" t="s">
        <v>26</v>
      </c>
      <c r="N722">
        <v>2</v>
      </c>
      <c r="O722">
        <v>2</v>
      </c>
      <c r="P722" t="s">
        <v>145</v>
      </c>
      <c r="Q722" t="s">
        <v>28</v>
      </c>
      <c r="R722" t="s">
        <v>28</v>
      </c>
      <c r="S722" t="s">
        <v>28</v>
      </c>
      <c r="T722" t="s">
        <v>28</v>
      </c>
      <c r="U722" t="s">
        <v>28</v>
      </c>
      <c r="V722" t="s">
        <v>28</v>
      </c>
      <c r="W722">
        <v>4</v>
      </c>
      <c r="X722" t="s">
        <v>146</v>
      </c>
    </row>
    <row r="723" spans="1:24" x14ac:dyDescent="0.2">
      <c r="A723" t="str">
        <f t="shared" si="33"/>
        <v>sample_novaseq-16S-B-E02-L4_SICap-P5-E2-P5D2-BB-C1R2-yesBile-rep2-day2</v>
      </c>
      <c r="B723" s="1" t="s">
        <v>319</v>
      </c>
      <c r="C723" s="3" t="s">
        <v>895</v>
      </c>
      <c r="D723" s="3" t="s">
        <v>1328</v>
      </c>
      <c r="E723" t="s">
        <v>20</v>
      </c>
      <c r="F723" t="s">
        <v>143</v>
      </c>
      <c r="G723" t="s">
        <v>92</v>
      </c>
      <c r="H723" t="str">
        <f t="shared" si="34"/>
        <v>02</v>
      </c>
      <c r="I723" t="str">
        <f t="shared" si="35"/>
        <v>E</v>
      </c>
      <c r="J723" t="s">
        <v>144</v>
      </c>
      <c r="K723" t="s">
        <v>91</v>
      </c>
      <c r="L723" t="s">
        <v>142</v>
      </c>
      <c r="M723" t="s">
        <v>31</v>
      </c>
      <c r="N723">
        <v>2</v>
      </c>
      <c r="O723">
        <v>2</v>
      </c>
      <c r="P723" t="s">
        <v>145</v>
      </c>
      <c r="Q723" t="s">
        <v>28</v>
      </c>
      <c r="R723" t="s">
        <v>28</v>
      </c>
      <c r="S723" t="s">
        <v>28</v>
      </c>
      <c r="T723" t="s">
        <v>28</v>
      </c>
      <c r="U723" t="s">
        <v>28</v>
      </c>
      <c r="V723" t="s">
        <v>28</v>
      </c>
      <c r="W723">
        <v>4</v>
      </c>
      <c r="X723" t="s">
        <v>146</v>
      </c>
    </row>
    <row r="724" spans="1:24" x14ac:dyDescent="0.2">
      <c r="A724" t="str">
        <f t="shared" si="33"/>
        <v>sample_novaseq-16S-B-E03-L4_SICap-P5-E3-P5D2-BB-C2R1-yesBile-rep2-day2</v>
      </c>
      <c r="B724" s="1" t="s">
        <v>320</v>
      </c>
      <c r="C724" s="3" t="s">
        <v>896</v>
      </c>
      <c r="D724" s="3" t="s">
        <v>1328</v>
      </c>
      <c r="E724" t="s">
        <v>20</v>
      </c>
      <c r="F724" t="s">
        <v>143</v>
      </c>
      <c r="G724" t="s">
        <v>93</v>
      </c>
      <c r="H724" t="str">
        <f t="shared" si="34"/>
        <v>03</v>
      </c>
      <c r="I724" t="str">
        <f t="shared" si="35"/>
        <v>E</v>
      </c>
      <c r="J724" t="s">
        <v>144</v>
      </c>
      <c r="K724" t="s">
        <v>91</v>
      </c>
      <c r="L724" t="s">
        <v>142</v>
      </c>
      <c r="M724" t="s">
        <v>33</v>
      </c>
      <c r="N724">
        <v>2</v>
      </c>
      <c r="O724">
        <v>2</v>
      </c>
      <c r="P724" t="s">
        <v>145</v>
      </c>
      <c r="Q724" t="s">
        <v>28</v>
      </c>
      <c r="R724" t="s">
        <v>28</v>
      </c>
      <c r="S724" t="s">
        <v>28</v>
      </c>
      <c r="T724" t="s">
        <v>28</v>
      </c>
      <c r="U724" t="s">
        <v>28</v>
      </c>
      <c r="V724" t="s">
        <v>28</v>
      </c>
      <c r="W724">
        <v>4</v>
      </c>
      <c r="X724" t="s">
        <v>146</v>
      </c>
    </row>
    <row r="725" spans="1:24" x14ac:dyDescent="0.2">
      <c r="A725" t="str">
        <f t="shared" si="33"/>
        <v>sample_novaseq-16S-B-E04-L4_SICap-P5-E4-P5D2-BB-C2R2-yesBile-rep2-day2</v>
      </c>
      <c r="B725" s="1" t="s">
        <v>321</v>
      </c>
      <c r="C725" s="3" t="s">
        <v>897</v>
      </c>
      <c r="D725" s="3" t="s">
        <v>1328</v>
      </c>
      <c r="E725" t="s">
        <v>20</v>
      </c>
      <c r="F725" t="s">
        <v>143</v>
      </c>
      <c r="G725" t="s">
        <v>94</v>
      </c>
      <c r="H725" t="str">
        <f t="shared" si="34"/>
        <v>04</v>
      </c>
      <c r="I725" t="str">
        <f t="shared" si="35"/>
        <v>E</v>
      </c>
      <c r="J725" t="s">
        <v>144</v>
      </c>
      <c r="K725" t="s">
        <v>91</v>
      </c>
      <c r="L725" t="s">
        <v>142</v>
      </c>
      <c r="M725" t="s">
        <v>35</v>
      </c>
      <c r="N725">
        <v>2</v>
      </c>
      <c r="O725">
        <v>2</v>
      </c>
      <c r="P725" t="s">
        <v>145</v>
      </c>
      <c r="Q725" t="s">
        <v>28</v>
      </c>
      <c r="R725" t="s">
        <v>28</v>
      </c>
      <c r="S725" t="s">
        <v>28</v>
      </c>
      <c r="T725" t="s">
        <v>28</v>
      </c>
      <c r="U725" t="s">
        <v>28</v>
      </c>
      <c r="V725" t="s">
        <v>28</v>
      </c>
      <c r="W725">
        <v>4</v>
      </c>
      <c r="X725" t="s">
        <v>146</v>
      </c>
    </row>
    <row r="726" spans="1:24" x14ac:dyDescent="0.2">
      <c r="A726" t="str">
        <f t="shared" si="33"/>
        <v>sample_novaseq-16S-B-E05-L4_SICap-P5-E5-P5D2-BB-C3R1-yesBile-rep2-day2</v>
      </c>
      <c r="B726" s="1" t="s">
        <v>322</v>
      </c>
      <c r="C726" s="3" t="s">
        <v>898</v>
      </c>
      <c r="D726" s="3" t="s">
        <v>1328</v>
      </c>
      <c r="E726" t="s">
        <v>20</v>
      </c>
      <c r="F726" t="s">
        <v>143</v>
      </c>
      <c r="G726" t="s">
        <v>95</v>
      </c>
      <c r="H726" t="str">
        <f t="shared" si="34"/>
        <v>05</v>
      </c>
      <c r="I726" t="str">
        <f t="shared" si="35"/>
        <v>E</v>
      </c>
      <c r="J726" t="s">
        <v>144</v>
      </c>
      <c r="K726" t="s">
        <v>91</v>
      </c>
      <c r="L726" t="s">
        <v>142</v>
      </c>
      <c r="M726" t="s">
        <v>37</v>
      </c>
      <c r="N726">
        <v>2</v>
      </c>
      <c r="O726">
        <v>2</v>
      </c>
      <c r="P726" t="s">
        <v>145</v>
      </c>
      <c r="Q726" t="s">
        <v>28</v>
      </c>
      <c r="R726" t="s">
        <v>28</v>
      </c>
      <c r="S726" t="s">
        <v>28</v>
      </c>
      <c r="T726" t="s">
        <v>28</v>
      </c>
      <c r="U726" t="s">
        <v>28</v>
      </c>
      <c r="V726" t="s">
        <v>28</v>
      </c>
      <c r="W726">
        <v>4</v>
      </c>
      <c r="X726" t="s">
        <v>146</v>
      </c>
    </row>
    <row r="727" spans="1:24" x14ac:dyDescent="0.2">
      <c r="A727" t="str">
        <f t="shared" si="33"/>
        <v>sample_novaseq-16S-B-E06-L4_SICap-P5-E6-P5D2-BB-C3R2-yesBile-rep2-day2</v>
      </c>
      <c r="B727" s="1" t="s">
        <v>323</v>
      </c>
      <c r="C727" s="3" t="s">
        <v>899</v>
      </c>
      <c r="D727" s="3" t="s">
        <v>1328</v>
      </c>
      <c r="E727" t="s">
        <v>20</v>
      </c>
      <c r="F727" t="s">
        <v>143</v>
      </c>
      <c r="G727" t="s">
        <v>96</v>
      </c>
      <c r="H727" t="str">
        <f t="shared" si="34"/>
        <v>06</v>
      </c>
      <c r="I727" t="str">
        <f t="shared" si="35"/>
        <v>E</v>
      </c>
      <c r="J727" t="s">
        <v>144</v>
      </c>
      <c r="K727" t="s">
        <v>91</v>
      </c>
      <c r="L727" t="s">
        <v>142</v>
      </c>
      <c r="M727" t="s">
        <v>39</v>
      </c>
      <c r="N727">
        <v>2</v>
      </c>
      <c r="O727">
        <v>2</v>
      </c>
      <c r="P727" t="s">
        <v>145</v>
      </c>
      <c r="Q727" t="s">
        <v>28</v>
      </c>
      <c r="R727" t="s">
        <v>28</v>
      </c>
      <c r="S727" t="s">
        <v>28</v>
      </c>
      <c r="T727" t="s">
        <v>28</v>
      </c>
      <c r="U727" t="s">
        <v>28</v>
      </c>
      <c r="V727" t="s">
        <v>28</v>
      </c>
      <c r="W727">
        <v>4</v>
      </c>
      <c r="X727" t="s">
        <v>146</v>
      </c>
    </row>
    <row r="728" spans="1:24" x14ac:dyDescent="0.2">
      <c r="A728" t="str">
        <f t="shared" si="33"/>
        <v>sample_novaseq-16S-B-E07-L4_SICap-P5-E7-P5D2-BB-C4R1-yesBile-rep2-day2</v>
      </c>
      <c r="B728" s="1" t="s">
        <v>324</v>
      </c>
      <c r="C728" s="3" t="s">
        <v>900</v>
      </c>
      <c r="D728" s="3" t="s">
        <v>1328</v>
      </c>
      <c r="E728" t="s">
        <v>20</v>
      </c>
      <c r="F728" t="s">
        <v>143</v>
      </c>
      <c r="G728" t="s">
        <v>97</v>
      </c>
      <c r="H728" t="str">
        <f t="shared" si="34"/>
        <v>07</v>
      </c>
      <c r="I728" t="str">
        <f t="shared" si="35"/>
        <v>E</v>
      </c>
      <c r="J728" t="s">
        <v>144</v>
      </c>
      <c r="K728" t="s">
        <v>91</v>
      </c>
      <c r="L728" t="s">
        <v>142</v>
      </c>
      <c r="M728" t="s">
        <v>41</v>
      </c>
      <c r="N728">
        <v>2</v>
      </c>
      <c r="O728">
        <v>2</v>
      </c>
      <c r="P728" t="s">
        <v>145</v>
      </c>
      <c r="Q728" t="s">
        <v>28</v>
      </c>
      <c r="R728" t="s">
        <v>28</v>
      </c>
      <c r="S728" t="s">
        <v>28</v>
      </c>
      <c r="T728" t="s">
        <v>28</v>
      </c>
      <c r="U728" t="s">
        <v>28</v>
      </c>
      <c r="V728" t="s">
        <v>28</v>
      </c>
      <c r="W728">
        <v>4</v>
      </c>
      <c r="X728" t="s">
        <v>146</v>
      </c>
    </row>
    <row r="729" spans="1:24" x14ac:dyDescent="0.2">
      <c r="A729" t="str">
        <f t="shared" si="33"/>
        <v>sample_novaseq-16S-B-E08-L4_SICap-P5-E8-P5D2-BB-C4R2-yesBile-rep2-day2</v>
      </c>
      <c r="B729" s="1" t="s">
        <v>325</v>
      </c>
      <c r="C729" s="3" t="s">
        <v>901</v>
      </c>
      <c r="D729" s="3" t="s">
        <v>1328</v>
      </c>
      <c r="E729" t="s">
        <v>20</v>
      </c>
      <c r="F729" t="s">
        <v>143</v>
      </c>
      <c r="G729" t="s">
        <v>98</v>
      </c>
      <c r="H729" t="str">
        <f t="shared" si="34"/>
        <v>08</v>
      </c>
      <c r="I729" t="str">
        <f t="shared" si="35"/>
        <v>E</v>
      </c>
      <c r="J729" t="s">
        <v>144</v>
      </c>
      <c r="K729" t="s">
        <v>91</v>
      </c>
      <c r="L729" t="s">
        <v>142</v>
      </c>
      <c r="M729" t="s">
        <v>43</v>
      </c>
      <c r="N729">
        <v>2</v>
      </c>
      <c r="O729">
        <v>2</v>
      </c>
      <c r="P729" t="s">
        <v>145</v>
      </c>
      <c r="Q729" t="s">
        <v>28</v>
      </c>
      <c r="R729" t="s">
        <v>28</v>
      </c>
      <c r="S729" t="s">
        <v>28</v>
      </c>
      <c r="T729" t="s">
        <v>28</v>
      </c>
      <c r="U729" t="s">
        <v>28</v>
      </c>
      <c r="V729" t="s">
        <v>28</v>
      </c>
      <c r="W729">
        <v>4</v>
      </c>
      <c r="X729" t="s">
        <v>146</v>
      </c>
    </row>
    <row r="730" spans="1:24" x14ac:dyDescent="0.2">
      <c r="A730" t="str">
        <f t="shared" si="33"/>
        <v>sample_novaseq-16S-B-E09-L4_SICap-P5-E9-P5D2-BB-S1R2-yesBile-rep2-day2</v>
      </c>
      <c r="B730" s="1" t="s">
        <v>326</v>
      </c>
      <c r="C730" s="3" t="s">
        <v>902</v>
      </c>
      <c r="D730" s="3" t="s">
        <v>1328</v>
      </c>
      <c r="E730" t="s">
        <v>20</v>
      </c>
      <c r="F730" t="s">
        <v>143</v>
      </c>
      <c r="G730" t="s">
        <v>99</v>
      </c>
      <c r="H730" t="str">
        <f t="shared" si="34"/>
        <v>09</v>
      </c>
      <c r="I730" t="str">
        <f t="shared" si="35"/>
        <v>E</v>
      </c>
      <c r="J730" t="s">
        <v>144</v>
      </c>
      <c r="K730" t="s">
        <v>91</v>
      </c>
      <c r="L730" t="s">
        <v>142</v>
      </c>
      <c r="M730" t="s">
        <v>45</v>
      </c>
      <c r="N730">
        <v>2</v>
      </c>
      <c r="O730">
        <v>2</v>
      </c>
      <c r="P730" t="s">
        <v>145</v>
      </c>
      <c r="Q730" t="s">
        <v>28</v>
      </c>
      <c r="R730" t="s">
        <v>28</v>
      </c>
      <c r="S730" t="s">
        <v>28</v>
      </c>
      <c r="T730" t="s">
        <v>28</v>
      </c>
      <c r="U730" t="s">
        <v>28</v>
      </c>
      <c r="V730" t="s">
        <v>28</v>
      </c>
      <c r="W730">
        <v>4</v>
      </c>
      <c r="X730" t="s">
        <v>146</v>
      </c>
    </row>
    <row r="731" spans="1:24" x14ac:dyDescent="0.2">
      <c r="A731" t="str">
        <f t="shared" si="33"/>
        <v>sample_novaseq-16S-B-E10-L4_SICap-P5-E10-P5D2-BB-StoolPool-yesBile-rep2-day2</v>
      </c>
      <c r="B731" s="1" t="s">
        <v>327</v>
      </c>
      <c r="C731" s="3" t="s">
        <v>903</v>
      </c>
      <c r="D731" s="3" t="s">
        <v>1328</v>
      </c>
      <c r="E731" t="s">
        <v>20</v>
      </c>
      <c r="F731" t="s">
        <v>143</v>
      </c>
      <c r="G731" t="s">
        <v>100</v>
      </c>
      <c r="H731" t="str">
        <f t="shared" si="34"/>
        <v>10</v>
      </c>
      <c r="I731" t="str">
        <f t="shared" si="35"/>
        <v>E</v>
      </c>
      <c r="J731" t="s">
        <v>144</v>
      </c>
      <c r="K731" t="s">
        <v>91</v>
      </c>
      <c r="L731" t="s">
        <v>142</v>
      </c>
      <c r="M731" t="s">
        <v>47</v>
      </c>
      <c r="N731">
        <v>2</v>
      </c>
      <c r="O731">
        <v>2</v>
      </c>
      <c r="P731" t="s">
        <v>145</v>
      </c>
      <c r="Q731" t="s">
        <v>28</v>
      </c>
      <c r="R731" t="s">
        <v>28</v>
      </c>
      <c r="S731" t="s">
        <v>28</v>
      </c>
      <c r="T731" t="s">
        <v>28</v>
      </c>
      <c r="U731" t="s">
        <v>28</v>
      </c>
      <c r="V731" t="s">
        <v>28</v>
      </c>
      <c r="W731">
        <v>4</v>
      </c>
      <c r="X731" t="s">
        <v>146</v>
      </c>
    </row>
    <row r="732" spans="1:24" x14ac:dyDescent="0.2">
      <c r="A732" t="str">
        <f t="shared" si="33"/>
        <v>sample_novaseq-16S-B-E11-L4_SICap-P5-E11-P5D2-BB-SIPool-yesBile-rep2-day2</v>
      </c>
      <c r="B732" s="1" t="s">
        <v>328</v>
      </c>
      <c r="C732" s="3" t="s">
        <v>904</v>
      </c>
      <c r="D732" s="3" t="s">
        <v>1328</v>
      </c>
      <c r="E732" t="s">
        <v>20</v>
      </c>
      <c r="F732" t="s">
        <v>143</v>
      </c>
      <c r="G732" t="s">
        <v>101</v>
      </c>
      <c r="H732" t="str">
        <f t="shared" si="34"/>
        <v>11</v>
      </c>
      <c r="I732" t="str">
        <f t="shared" si="35"/>
        <v>E</v>
      </c>
      <c r="J732" t="s">
        <v>144</v>
      </c>
      <c r="K732" t="s">
        <v>91</v>
      </c>
      <c r="L732" t="s">
        <v>142</v>
      </c>
      <c r="M732" t="s">
        <v>49</v>
      </c>
      <c r="N732">
        <v>2</v>
      </c>
      <c r="O732">
        <v>2</v>
      </c>
      <c r="P732" t="s">
        <v>145</v>
      </c>
      <c r="Q732" t="s">
        <v>28</v>
      </c>
      <c r="R732" t="s">
        <v>28</v>
      </c>
      <c r="S732" t="s">
        <v>28</v>
      </c>
      <c r="T732" t="s">
        <v>28</v>
      </c>
      <c r="U732" t="s">
        <v>28</v>
      </c>
      <c r="V732" t="s">
        <v>28</v>
      </c>
      <c r="W732">
        <v>4</v>
      </c>
      <c r="X732" t="s">
        <v>146</v>
      </c>
    </row>
    <row r="733" spans="1:24" x14ac:dyDescent="0.2">
      <c r="A733" t="str">
        <f t="shared" si="33"/>
        <v>sample_novaseq-16S-B-E12-L4_SICap-P5-E12-P5D2-BB-Media-yesBile-rep2-day2</v>
      </c>
      <c r="B733" s="1" t="s">
        <v>329</v>
      </c>
      <c r="C733" s="3" t="s">
        <v>905</v>
      </c>
      <c r="D733" s="3" t="s">
        <v>1328</v>
      </c>
      <c r="E733" t="s">
        <v>20</v>
      </c>
      <c r="F733" t="s">
        <v>143</v>
      </c>
      <c r="G733" t="s">
        <v>102</v>
      </c>
      <c r="H733" t="str">
        <f t="shared" si="34"/>
        <v>12</v>
      </c>
      <c r="I733" t="str">
        <f t="shared" si="35"/>
        <v>E</v>
      </c>
      <c r="J733" t="s">
        <v>144</v>
      </c>
      <c r="K733" t="s">
        <v>91</v>
      </c>
      <c r="L733" t="s">
        <v>142</v>
      </c>
      <c r="M733" t="s">
        <v>6</v>
      </c>
      <c r="N733">
        <v>2</v>
      </c>
      <c r="O733">
        <v>2</v>
      </c>
      <c r="P733" t="s">
        <v>145</v>
      </c>
      <c r="Q733" t="s">
        <v>28</v>
      </c>
      <c r="R733" t="s">
        <v>28</v>
      </c>
      <c r="S733" t="s">
        <v>28</v>
      </c>
      <c r="T733" t="s">
        <v>28</v>
      </c>
      <c r="U733" t="s">
        <v>28</v>
      </c>
      <c r="V733" t="s">
        <v>28</v>
      </c>
      <c r="W733">
        <v>4</v>
      </c>
      <c r="X733" t="s">
        <v>146</v>
      </c>
    </row>
    <row r="734" spans="1:24" x14ac:dyDescent="0.2">
      <c r="A734" t="str">
        <f t="shared" si="33"/>
        <v>sample_novaseq-16S-B-F01-L4_SICap-P5-F1-P5D2-YCFAG-C1R1-yesBile-rep2-day2</v>
      </c>
      <c r="B734" s="1" t="s">
        <v>330</v>
      </c>
      <c r="C734" s="3" t="s">
        <v>906</v>
      </c>
      <c r="D734" s="3" t="s">
        <v>1328</v>
      </c>
      <c r="E734" t="s">
        <v>20</v>
      </c>
      <c r="F734" t="s">
        <v>143</v>
      </c>
      <c r="G734" t="s">
        <v>103</v>
      </c>
      <c r="H734" t="str">
        <f t="shared" si="34"/>
        <v>01</v>
      </c>
      <c r="I734" t="str">
        <f t="shared" si="35"/>
        <v>F</v>
      </c>
      <c r="J734" t="s">
        <v>144</v>
      </c>
      <c r="K734" t="s">
        <v>104</v>
      </c>
      <c r="L734" t="s">
        <v>142</v>
      </c>
      <c r="M734" t="s">
        <v>26</v>
      </c>
      <c r="N734">
        <v>2</v>
      </c>
      <c r="O734">
        <v>2</v>
      </c>
      <c r="P734" t="s">
        <v>145</v>
      </c>
      <c r="Q734" t="s">
        <v>28</v>
      </c>
      <c r="R734" t="s">
        <v>28</v>
      </c>
      <c r="S734" t="s">
        <v>28</v>
      </c>
      <c r="T734" t="s">
        <v>28</v>
      </c>
      <c r="U734" t="s">
        <v>28</v>
      </c>
      <c r="V734" t="s">
        <v>28</v>
      </c>
      <c r="W734">
        <v>4</v>
      </c>
      <c r="X734" t="s">
        <v>146</v>
      </c>
    </row>
    <row r="735" spans="1:24" x14ac:dyDescent="0.2">
      <c r="A735" t="str">
        <f t="shared" si="33"/>
        <v>sample_novaseq-16S-B-F02-L4_SICap-P5-F2-P5D2-YCFAG-C1R2-yesBile-rep2-day2</v>
      </c>
      <c r="B735" s="1" t="s">
        <v>331</v>
      </c>
      <c r="C735" s="3" t="s">
        <v>907</v>
      </c>
      <c r="D735" s="3" t="s">
        <v>1328</v>
      </c>
      <c r="E735" t="s">
        <v>20</v>
      </c>
      <c r="F735" t="s">
        <v>143</v>
      </c>
      <c r="G735" t="s">
        <v>105</v>
      </c>
      <c r="H735" t="str">
        <f t="shared" si="34"/>
        <v>02</v>
      </c>
      <c r="I735" t="str">
        <f t="shared" si="35"/>
        <v>F</v>
      </c>
      <c r="J735" t="s">
        <v>144</v>
      </c>
      <c r="K735" t="s">
        <v>104</v>
      </c>
      <c r="L735" t="s">
        <v>142</v>
      </c>
      <c r="M735" t="s">
        <v>31</v>
      </c>
      <c r="N735">
        <v>2</v>
      </c>
      <c r="O735">
        <v>2</v>
      </c>
      <c r="P735" t="s">
        <v>145</v>
      </c>
      <c r="Q735" t="s">
        <v>28</v>
      </c>
      <c r="R735" t="s">
        <v>28</v>
      </c>
      <c r="S735" t="s">
        <v>28</v>
      </c>
      <c r="T735" t="s">
        <v>28</v>
      </c>
      <c r="U735" t="s">
        <v>28</v>
      </c>
      <c r="V735" t="s">
        <v>28</v>
      </c>
      <c r="W735">
        <v>4</v>
      </c>
      <c r="X735" t="s">
        <v>146</v>
      </c>
    </row>
    <row r="736" spans="1:24" x14ac:dyDescent="0.2">
      <c r="A736" t="str">
        <f t="shared" si="33"/>
        <v>sample_novaseq-16S-B-F03-L4_SICap-P5-F3-P5D2-YCFAG-C2R1-yesBile-rep2-day2</v>
      </c>
      <c r="B736" s="1" t="s">
        <v>332</v>
      </c>
      <c r="C736" s="3" t="s">
        <v>908</v>
      </c>
      <c r="D736" s="3" t="s">
        <v>1328</v>
      </c>
      <c r="E736" t="s">
        <v>20</v>
      </c>
      <c r="F736" t="s">
        <v>143</v>
      </c>
      <c r="G736" t="s">
        <v>106</v>
      </c>
      <c r="H736" t="str">
        <f t="shared" si="34"/>
        <v>03</v>
      </c>
      <c r="I736" t="str">
        <f t="shared" si="35"/>
        <v>F</v>
      </c>
      <c r="J736" t="s">
        <v>144</v>
      </c>
      <c r="K736" t="s">
        <v>104</v>
      </c>
      <c r="L736" t="s">
        <v>142</v>
      </c>
      <c r="M736" t="s">
        <v>33</v>
      </c>
      <c r="N736">
        <v>2</v>
      </c>
      <c r="O736">
        <v>2</v>
      </c>
      <c r="P736" t="s">
        <v>145</v>
      </c>
      <c r="Q736" t="s">
        <v>28</v>
      </c>
      <c r="R736" t="s">
        <v>28</v>
      </c>
      <c r="S736" t="s">
        <v>28</v>
      </c>
      <c r="T736" t="s">
        <v>28</v>
      </c>
      <c r="U736" t="s">
        <v>28</v>
      </c>
      <c r="V736" t="s">
        <v>28</v>
      </c>
      <c r="W736">
        <v>4</v>
      </c>
      <c r="X736" t="s">
        <v>146</v>
      </c>
    </row>
    <row r="737" spans="1:24" x14ac:dyDescent="0.2">
      <c r="A737" t="str">
        <f t="shared" si="33"/>
        <v>sample_novaseq-16S-B-F04-L4_SICap-P5-F4-P5D2-YCFAG-C2R2-yesBile-rep2-day2</v>
      </c>
      <c r="B737" s="1" t="s">
        <v>333</v>
      </c>
      <c r="C737" s="3" t="s">
        <v>909</v>
      </c>
      <c r="D737" s="3" t="s">
        <v>1328</v>
      </c>
      <c r="E737" t="s">
        <v>20</v>
      </c>
      <c r="F737" t="s">
        <v>143</v>
      </c>
      <c r="G737" t="s">
        <v>107</v>
      </c>
      <c r="H737" t="str">
        <f t="shared" si="34"/>
        <v>04</v>
      </c>
      <c r="I737" t="str">
        <f t="shared" si="35"/>
        <v>F</v>
      </c>
      <c r="J737" t="s">
        <v>144</v>
      </c>
      <c r="K737" t="s">
        <v>104</v>
      </c>
      <c r="L737" t="s">
        <v>142</v>
      </c>
      <c r="M737" t="s">
        <v>35</v>
      </c>
      <c r="N737">
        <v>2</v>
      </c>
      <c r="O737">
        <v>2</v>
      </c>
      <c r="P737" t="s">
        <v>145</v>
      </c>
      <c r="Q737" t="s">
        <v>28</v>
      </c>
      <c r="R737" t="s">
        <v>28</v>
      </c>
      <c r="S737" t="s">
        <v>28</v>
      </c>
      <c r="T737" t="s">
        <v>28</v>
      </c>
      <c r="U737" t="s">
        <v>28</v>
      </c>
      <c r="V737" t="s">
        <v>28</v>
      </c>
      <c r="W737">
        <v>4</v>
      </c>
      <c r="X737" t="s">
        <v>146</v>
      </c>
    </row>
    <row r="738" spans="1:24" x14ac:dyDescent="0.2">
      <c r="A738" t="str">
        <f t="shared" si="33"/>
        <v>sample_novaseq-16S-B-F05-L4_SICap-P5-F5-P5D2-YCFAG-C3R1-yesBile-rep2-day2</v>
      </c>
      <c r="B738" s="1" t="s">
        <v>334</v>
      </c>
      <c r="C738" s="3" t="s">
        <v>910</v>
      </c>
      <c r="D738" s="3" t="s">
        <v>1328</v>
      </c>
      <c r="E738" t="s">
        <v>20</v>
      </c>
      <c r="F738" t="s">
        <v>143</v>
      </c>
      <c r="G738" t="s">
        <v>108</v>
      </c>
      <c r="H738" t="str">
        <f t="shared" si="34"/>
        <v>05</v>
      </c>
      <c r="I738" t="str">
        <f t="shared" si="35"/>
        <v>F</v>
      </c>
      <c r="J738" t="s">
        <v>144</v>
      </c>
      <c r="K738" t="s">
        <v>104</v>
      </c>
      <c r="L738" t="s">
        <v>142</v>
      </c>
      <c r="M738" t="s">
        <v>37</v>
      </c>
      <c r="N738">
        <v>2</v>
      </c>
      <c r="O738">
        <v>2</v>
      </c>
      <c r="P738" t="s">
        <v>145</v>
      </c>
      <c r="Q738" t="s">
        <v>28</v>
      </c>
      <c r="R738" t="s">
        <v>28</v>
      </c>
      <c r="S738" t="s">
        <v>28</v>
      </c>
      <c r="T738" t="s">
        <v>28</v>
      </c>
      <c r="U738" t="s">
        <v>28</v>
      </c>
      <c r="V738" t="s">
        <v>28</v>
      </c>
      <c r="W738">
        <v>4</v>
      </c>
      <c r="X738" t="s">
        <v>146</v>
      </c>
    </row>
    <row r="739" spans="1:24" x14ac:dyDescent="0.2">
      <c r="A739" t="str">
        <f t="shared" si="33"/>
        <v>sample_novaseq-16S-B-F06-L4_SICap-P5-F6-P5D2-YCFAG-C3R2-yesBile-rep2-day2</v>
      </c>
      <c r="B739" s="1" t="s">
        <v>335</v>
      </c>
      <c r="C739" s="3" t="s">
        <v>911</v>
      </c>
      <c r="D739" s="3" t="s">
        <v>1328</v>
      </c>
      <c r="E739" t="s">
        <v>20</v>
      </c>
      <c r="F739" t="s">
        <v>143</v>
      </c>
      <c r="G739" t="s">
        <v>109</v>
      </c>
      <c r="H739" t="str">
        <f t="shared" si="34"/>
        <v>06</v>
      </c>
      <c r="I739" t="str">
        <f t="shared" si="35"/>
        <v>F</v>
      </c>
      <c r="J739" t="s">
        <v>144</v>
      </c>
      <c r="K739" t="s">
        <v>104</v>
      </c>
      <c r="L739" t="s">
        <v>142</v>
      </c>
      <c r="M739" t="s">
        <v>39</v>
      </c>
      <c r="N739">
        <v>2</v>
      </c>
      <c r="O739">
        <v>2</v>
      </c>
      <c r="P739" t="s">
        <v>145</v>
      </c>
      <c r="Q739" t="s">
        <v>28</v>
      </c>
      <c r="R739" t="s">
        <v>28</v>
      </c>
      <c r="S739" t="s">
        <v>28</v>
      </c>
      <c r="T739" t="s">
        <v>28</v>
      </c>
      <c r="U739" t="s">
        <v>28</v>
      </c>
      <c r="V739" t="s">
        <v>28</v>
      </c>
      <c r="W739">
        <v>4</v>
      </c>
      <c r="X739" t="s">
        <v>146</v>
      </c>
    </row>
    <row r="740" spans="1:24" x14ac:dyDescent="0.2">
      <c r="A740" t="str">
        <f t="shared" si="33"/>
        <v>sample_novaseq-16S-B-F07-L4_SICap-P5-F7-P5D2-YCFAG-C4R1-yesBile-rep2-day2</v>
      </c>
      <c r="B740" s="1" t="s">
        <v>336</v>
      </c>
      <c r="C740" s="3" t="s">
        <v>912</v>
      </c>
      <c r="D740" s="3" t="s">
        <v>1328</v>
      </c>
      <c r="E740" t="s">
        <v>20</v>
      </c>
      <c r="F740" t="s">
        <v>143</v>
      </c>
      <c r="G740" t="s">
        <v>110</v>
      </c>
      <c r="H740" t="str">
        <f t="shared" si="34"/>
        <v>07</v>
      </c>
      <c r="I740" t="str">
        <f t="shared" si="35"/>
        <v>F</v>
      </c>
      <c r="J740" t="s">
        <v>144</v>
      </c>
      <c r="K740" t="s">
        <v>104</v>
      </c>
      <c r="L740" t="s">
        <v>142</v>
      </c>
      <c r="M740" t="s">
        <v>41</v>
      </c>
      <c r="N740">
        <v>2</v>
      </c>
      <c r="O740">
        <v>2</v>
      </c>
      <c r="P740" t="s">
        <v>145</v>
      </c>
      <c r="Q740" t="s">
        <v>28</v>
      </c>
      <c r="R740" t="s">
        <v>28</v>
      </c>
      <c r="S740" t="s">
        <v>28</v>
      </c>
      <c r="T740" t="s">
        <v>28</v>
      </c>
      <c r="U740" t="s">
        <v>28</v>
      </c>
      <c r="V740" t="s">
        <v>28</v>
      </c>
      <c r="W740">
        <v>4</v>
      </c>
      <c r="X740" t="s">
        <v>146</v>
      </c>
    </row>
    <row r="741" spans="1:24" x14ac:dyDescent="0.2">
      <c r="A741" t="str">
        <f t="shared" si="33"/>
        <v>sample_novaseq-16S-B-F08-L4_SICap-P5-F8-P5D2-YCFAG-C4R2-yesBile-rep2-day2</v>
      </c>
      <c r="B741" s="1" t="s">
        <v>337</v>
      </c>
      <c r="C741" s="3" t="s">
        <v>913</v>
      </c>
      <c r="D741" s="3" t="s">
        <v>1328</v>
      </c>
      <c r="E741" t="s">
        <v>20</v>
      </c>
      <c r="F741" t="s">
        <v>143</v>
      </c>
      <c r="G741" t="s">
        <v>111</v>
      </c>
      <c r="H741" t="str">
        <f t="shared" si="34"/>
        <v>08</v>
      </c>
      <c r="I741" t="str">
        <f t="shared" si="35"/>
        <v>F</v>
      </c>
      <c r="J741" t="s">
        <v>144</v>
      </c>
      <c r="K741" t="s">
        <v>104</v>
      </c>
      <c r="L741" t="s">
        <v>142</v>
      </c>
      <c r="M741" t="s">
        <v>43</v>
      </c>
      <c r="N741">
        <v>2</v>
      </c>
      <c r="O741">
        <v>2</v>
      </c>
      <c r="P741" t="s">
        <v>145</v>
      </c>
      <c r="Q741" t="s">
        <v>28</v>
      </c>
      <c r="R741" t="s">
        <v>28</v>
      </c>
      <c r="S741" t="s">
        <v>28</v>
      </c>
      <c r="T741" t="s">
        <v>28</v>
      </c>
      <c r="U741" t="s">
        <v>28</v>
      </c>
      <c r="V741" t="s">
        <v>28</v>
      </c>
      <c r="W741">
        <v>4</v>
      </c>
      <c r="X741" t="s">
        <v>146</v>
      </c>
    </row>
    <row r="742" spans="1:24" x14ac:dyDescent="0.2">
      <c r="A742" t="str">
        <f t="shared" si="33"/>
        <v>sample_novaseq-16S-B-F09-L4_SICap-P5-F9-P5D2-YCFAG-S1R2-yesBile-rep2-day2</v>
      </c>
      <c r="B742" s="1" t="s">
        <v>338</v>
      </c>
      <c r="C742" s="3" t="s">
        <v>914</v>
      </c>
      <c r="D742" s="3" t="s">
        <v>1328</v>
      </c>
      <c r="E742" t="s">
        <v>20</v>
      </c>
      <c r="F742" t="s">
        <v>143</v>
      </c>
      <c r="G742" t="s">
        <v>112</v>
      </c>
      <c r="H742" t="str">
        <f t="shared" si="34"/>
        <v>09</v>
      </c>
      <c r="I742" t="str">
        <f t="shared" si="35"/>
        <v>F</v>
      </c>
      <c r="J742" t="s">
        <v>144</v>
      </c>
      <c r="K742" t="s">
        <v>104</v>
      </c>
      <c r="L742" t="s">
        <v>142</v>
      </c>
      <c r="M742" t="s">
        <v>45</v>
      </c>
      <c r="N742">
        <v>2</v>
      </c>
      <c r="O742">
        <v>2</v>
      </c>
      <c r="P742" t="s">
        <v>145</v>
      </c>
      <c r="Q742" t="s">
        <v>28</v>
      </c>
      <c r="R742" t="s">
        <v>28</v>
      </c>
      <c r="S742" t="s">
        <v>28</v>
      </c>
      <c r="T742" t="s">
        <v>28</v>
      </c>
      <c r="U742" t="s">
        <v>28</v>
      </c>
      <c r="V742" t="s">
        <v>28</v>
      </c>
      <c r="W742">
        <v>4</v>
      </c>
      <c r="X742" t="s">
        <v>146</v>
      </c>
    </row>
    <row r="743" spans="1:24" x14ac:dyDescent="0.2">
      <c r="A743" t="str">
        <f t="shared" si="33"/>
        <v>sample_novaseq-16S-B-F10-L4_SICap-P5-F10-P5D2-YCFAG-StoolPool-yesBile-rep2-day2</v>
      </c>
      <c r="B743" s="1" t="s">
        <v>339</v>
      </c>
      <c r="C743" s="3" t="s">
        <v>915</v>
      </c>
      <c r="D743" s="3" t="s">
        <v>1328</v>
      </c>
      <c r="E743" t="s">
        <v>20</v>
      </c>
      <c r="F743" t="s">
        <v>143</v>
      </c>
      <c r="G743" t="s">
        <v>113</v>
      </c>
      <c r="H743" t="str">
        <f t="shared" si="34"/>
        <v>10</v>
      </c>
      <c r="I743" t="str">
        <f t="shared" si="35"/>
        <v>F</v>
      </c>
      <c r="J743" t="s">
        <v>144</v>
      </c>
      <c r="K743" t="s">
        <v>104</v>
      </c>
      <c r="L743" t="s">
        <v>142</v>
      </c>
      <c r="M743" t="s">
        <v>47</v>
      </c>
      <c r="N743">
        <v>2</v>
      </c>
      <c r="O743">
        <v>2</v>
      </c>
      <c r="P743" t="s">
        <v>145</v>
      </c>
      <c r="Q743" t="s">
        <v>28</v>
      </c>
      <c r="R743" t="s">
        <v>28</v>
      </c>
      <c r="S743" t="s">
        <v>28</v>
      </c>
      <c r="T743" t="s">
        <v>28</v>
      </c>
      <c r="U743" t="s">
        <v>28</v>
      </c>
      <c r="V743" t="s">
        <v>28</v>
      </c>
      <c r="W743">
        <v>4</v>
      </c>
      <c r="X743" t="s">
        <v>146</v>
      </c>
    </row>
    <row r="744" spans="1:24" x14ac:dyDescent="0.2">
      <c r="A744" t="str">
        <f t="shared" si="33"/>
        <v>sample_novaseq-16S-B-F11-L4_SICap-P5-F11-P5D2-YCFAG-SIPool-yesBile-rep2-day2</v>
      </c>
      <c r="B744" s="1" t="s">
        <v>340</v>
      </c>
      <c r="C744" s="3" t="s">
        <v>916</v>
      </c>
      <c r="D744" s="3" t="s">
        <v>1328</v>
      </c>
      <c r="E744" t="s">
        <v>20</v>
      </c>
      <c r="F744" t="s">
        <v>143</v>
      </c>
      <c r="G744" t="s">
        <v>114</v>
      </c>
      <c r="H744" t="str">
        <f t="shared" si="34"/>
        <v>11</v>
      </c>
      <c r="I744" t="str">
        <f t="shared" si="35"/>
        <v>F</v>
      </c>
      <c r="J744" t="s">
        <v>144</v>
      </c>
      <c r="K744" t="s">
        <v>104</v>
      </c>
      <c r="L744" t="s">
        <v>142</v>
      </c>
      <c r="M744" t="s">
        <v>49</v>
      </c>
      <c r="N744">
        <v>2</v>
      </c>
      <c r="O744">
        <v>2</v>
      </c>
      <c r="P744" t="s">
        <v>145</v>
      </c>
      <c r="Q744" t="s">
        <v>28</v>
      </c>
      <c r="R744" t="s">
        <v>28</v>
      </c>
      <c r="S744" t="s">
        <v>28</v>
      </c>
      <c r="T744" t="s">
        <v>28</v>
      </c>
      <c r="U744" t="s">
        <v>28</v>
      </c>
      <c r="V744" t="s">
        <v>28</v>
      </c>
      <c r="W744">
        <v>4</v>
      </c>
      <c r="X744" t="s">
        <v>146</v>
      </c>
    </row>
    <row r="745" spans="1:24" x14ac:dyDescent="0.2">
      <c r="A745" t="str">
        <f t="shared" si="33"/>
        <v>sample_novaseq-16S-B-F12-L4_SICap-P5-F12-P5D2-YCFAG-Media-yesBile-rep2-day2</v>
      </c>
      <c r="B745" s="1" t="s">
        <v>341</v>
      </c>
      <c r="C745" s="3" t="s">
        <v>917</v>
      </c>
      <c r="D745" s="3" t="s">
        <v>1328</v>
      </c>
      <c r="E745" t="s">
        <v>20</v>
      </c>
      <c r="F745" t="s">
        <v>143</v>
      </c>
      <c r="G745" t="s">
        <v>115</v>
      </c>
      <c r="H745" t="str">
        <f t="shared" si="34"/>
        <v>12</v>
      </c>
      <c r="I745" t="str">
        <f t="shared" si="35"/>
        <v>F</v>
      </c>
      <c r="J745" t="s">
        <v>144</v>
      </c>
      <c r="K745" t="s">
        <v>104</v>
      </c>
      <c r="L745" t="s">
        <v>142</v>
      </c>
      <c r="M745" t="s">
        <v>6</v>
      </c>
      <c r="N745">
        <v>2</v>
      </c>
      <c r="O745">
        <v>2</v>
      </c>
      <c r="P745" t="s">
        <v>145</v>
      </c>
      <c r="Q745" t="s">
        <v>28</v>
      </c>
      <c r="R745" t="s">
        <v>28</v>
      </c>
      <c r="S745" t="s">
        <v>28</v>
      </c>
      <c r="T745" t="s">
        <v>28</v>
      </c>
      <c r="U745" t="s">
        <v>28</v>
      </c>
      <c r="V745" t="s">
        <v>28</v>
      </c>
      <c r="W745">
        <v>4</v>
      </c>
      <c r="X745" t="s">
        <v>146</v>
      </c>
    </row>
    <row r="746" spans="1:24" x14ac:dyDescent="0.2">
      <c r="A746" t="str">
        <f t="shared" si="33"/>
        <v>sample_novaseq-16S-B-G01-L4_SICap-P5-G1-P5D2-TYG-C1R1-yesBile-rep2-day2</v>
      </c>
      <c r="B746" s="1" t="s">
        <v>342</v>
      </c>
      <c r="C746" s="3" t="s">
        <v>918</v>
      </c>
      <c r="D746" s="3" t="s">
        <v>1328</v>
      </c>
      <c r="E746" t="s">
        <v>20</v>
      </c>
      <c r="F746" t="s">
        <v>143</v>
      </c>
      <c r="G746" t="s">
        <v>116</v>
      </c>
      <c r="H746" t="str">
        <f t="shared" si="34"/>
        <v>01</v>
      </c>
      <c r="I746" t="str">
        <f t="shared" si="35"/>
        <v>G</v>
      </c>
      <c r="J746" t="s">
        <v>144</v>
      </c>
      <c r="K746" t="s">
        <v>117</v>
      </c>
      <c r="L746" t="s">
        <v>142</v>
      </c>
      <c r="M746" t="s">
        <v>26</v>
      </c>
      <c r="N746">
        <v>2</v>
      </c>
      <c r="O746">
        <v>2</v>
      </c>
      <c r="P746" t="s">
        <v>145</v>
      </c>
      <c r="Q746" t="s">
        <v>28</v>
      </c>
      <c r="R746" t="s">
        <v>28</v>
      </c>
      <c r="S746" t="s">
        <v>28</v>
      </c>
      <c r="T746" t="s">
        <v>28</v>
      </c>
      <c r="U746" t="s">
        <v>28</v>
      </c>
      <c r="V746" t="s">
        <v>28</v>
      </c>
      <c r="W746">
        <v>4</v>
      </c>
      <c r="X746" t="s">
        <v>146</v>
      </c>
    </row>
    <row r="747" spans="1:24" x14ac:dyDescent="0.2">
      <c r="A747" t="str">
        <f t="shared" si="33"/>
        <v>sample_novaseq-16S-B-G02-L4_SICap-P5-G2-P5D2-TYG-C1R2-yesBile-rep2-day2</v>
      </c>
      <c r="B747" s="1" t="s">
        <v>343</v>
      </c>
      <c r="C747" s="3" t="s">
        <v>919</v>
      </c>
      <c r="D747" s="3" t="s">
        <v>1328</v>
      </c>
      <c r="E747" t="s">
        <v>20</v>
      </c>
      <c r="F747" t="s">
        <v>143</v>
      </c>
      <c r="G747" t="s">
        <v>118</v>
      </c>
      <c r="H747" t="str">
        <f t="shared" si="34"/>
        <v>02</v>
      </c>
      <c r="I747" t="str">
        <f t="shared" si="35"/>
        <v>G</v>
      </c>
      <c r="J747" t="s">
        <v>144</v>
      </c>
      <c r="K747" t="s">
        <v>117</v>
      </c>
      <c r="L747" t="s">
        <v>142</v>
      </c>
      <c r="M747" t="s">
        <v>31</v>
      </c>
      <c r="N747">
        <v>2</v>
      </c>
      <c r="O747">
        <v>2</v>
      </c>
      <c r="P747" t="s">
        <v>145</v>
      </c>
      <c r="Q747" t="s">
        <v>28</v>
      </c>
      <c r="R747" t="s">
        <v>28</v>
      </c>
      <c r="S747" t="s">
        <v>28</v>
      </c>
      <c r="T747" t="s">
        <v>28</v>
      </c>
      <c r="U747" t="s">
        <v>28</v>
      </c>
      <c r="V747" t="s">
        <v>28</v>
      </c>
      <c r="W747">
        <v>4</v>
      </c>
      <c r="X747" t="s">
        <v>146</v>
      </c>
    </row>
    <row r="748" spans="1:24" x14ac:dyDescent="0.2">
      <c r="A748" t="str">
        <f t="shared" si="33"/>
        <v>sample_novaseq-16S-B-G03-L4_SICap-P5-G3-P5D2-TYG-C2R1-yesBile-rep2-day2</v>
      </c>
      <c r="B748" s="1" t="s">
        <v>344</v>
      </c>
      <c r="C748" s="3" t="s">
        <v>920</v>
      </c>
      <c r="D748" s="3" t="s">
        <v>1328</v>
      </c>
      <c r="E748" t="s">
        <v>20</v>
      </c>
      <c r="F748" t="s">
        <v>143</v>
      </c>
      <c r="G748" t="s">
        <v>119</v>
      </c>
      <c r="H748" t="str">
        <f t="shared" si="34"/>
        <v>03</v>
      </c>
      <c r="I748" t="str">
        <f t="shared" si="35"/>
        <v>G</v>
      </c>
      <c r="J748" t="s">
        <v>144</v>
      </c>
      <c r="K748" t="s">
        <v>117</v>
      </c>
      <c r="L748" t="s">
        <v>142</v>
      </c>
      <c r="M748" t="s">
        <v>33</v>
      </c>
      <c r="N748">
        <v>2</v>
      </c>
      <c r="O748">
        <v>2</v>
      </c>
      <c r="P748" t="s">
        <v>145</v>
      </c>
      <c r="Q748" t="s">
        <v>28</v>
      </c>
      <c r="R748" t="s">
        <v>28</v>
      </c>
      <c r="S748" t="s">
        <v>28</v>
      </c>
      <c r="T748" t="s">
        <v>28</v>
      </c>
      <c r="U748" t="s">
        <v>28</v>
      </c>
      <c r="V748" t="s">
        <v>28</v>
      </c>
      <c r="W748">
        <v>4</v>
      </c>
      <c r="X748" t="s">
        <v>146</v>
      </c>
    </row>
    <row r="749" spans="1:24" x14ac:dyDescent="0.2">
      <c r="A749" t="str">
        <f t="shared" si="33"/>
        <v>sample_novaseq-16S-B-G04-L4_SICap-P5-G4-P5D2-TYG-C2R2-yesBile-rep2-day2</v>
      </c>
      <c r="B749" s="1" t="s">
        <v>345</v>
      </c>
      <c r="C749" s="3" t="s">
        <v>921</v>
      </c>
      <c r="D749" s="3" t="s">
        <v>1328</v>
      </c>
      <c r="E749" t="s">
        <v>20</v>
      </c>
      <c r="F749" t="s">
        <v>143</v>
      </c>
      <c r="G749" t="s">
        <v>120</v>
      </c>
      <c r="H749" t="str">
        <f t="shared" si="34"/>
        <v>04</v>
      </c>
      <c r="I749" t="str">
        <f t="shared" si="35"/>
        <v>G</v>
      </c>
      <c r="J749" t="s">
        <v>144</v>
      </c>
      <c r="K749" t="s">
        <v>117</v>
      </c>
      <c r="L749" t="s">
        <v>142</v>
      </c>
      <c r="M749" t="s">
        <v>35</v>
      </c>
      <c r="N749">
        <v>2</v>
      </c>
      <c r="O749">
        <v>2</v>
      </c>
      <c r="P749" t="s">
        <v>145</v>
      </c>
      <c r="Q749" t="s">
        <v>28</v>
      </c>
      <c r="R749" t="s">
        <v>28</v>
      </c>
      <c r="S749" t="s">
        <v>28</v>
      </c>
      <c r="T749" t="s">
        <v>28</v>
      </c>
      <c r="U749" t="s">
        <v>28</v>
      </c>
      <c r="V749" t="s">
        <v>28</v>
      </c>
      <c r="W749">
        <v>4</v>
      </c>
      <c r="X749" t="s">
        <v>146</v>
      </c>
    </row>
    <row r="750" spans="1:24" x14ac:dyDescent="0.2">
      <c r="A750" t="str">
        <f t="shared" si="33"/>
        <v>sample_novaseq-16S-B-G05-L4_SICap-P5-G5-P5D2-TYG-C3R1-yesBile-rep2-day2</v>
      </c>
      <c r="B750" s="1" t="s">
        <v>346</v>
      </c>
      <c r="C750" s="3" t="s">
        <v>922</v>
      </c>
      <c r="D750" s="3" t="s">
        <v>1328</v>
      </c>
      <c r="E750" t="s">
        <v>20</v>
      </c>
      <c r="F750" t="s">
        <v>143</v>
      </c>
      <c r="G750" t="s">
        <v>121</v>
      </c>
      <c r="H750" t="str">
        <f t="shared" si="34"/>
        <v>05</v>
      </c>
      <c r="I750" t="str">
        <f t="shared" si="35"/>
        <v>G</v>
      </c>
      <c r="J750" t="s">
        <v>144</v>
      </c>
      <c r="K750" t="s">
        <v>117</v>
      </c>
      <c r="L750" t="s">
        <v>142</v>
      </c>
      <c r="M750" t="s">
        <v>37</v>
      </c>
      <c r="N750">
        <v>2</v>
      </c>
      <c r="O750">
        <v>2</v>
      </c>
      <c r="P750" t="s">
        <v>145</v>
      </c>
      <c r="Q750" t="s">
        <v>28</v>
      </c>
      <c r="R750" t="s">
        <v>28</v>
      </c>
      <c r="S750" t="s">
        <v>28</v>
      </c>
      <c r="T750" t="s">
        <v>28</v>
      </c>
      <c r="U750" t="s">
        <v>28</v>
      </c>
      <c r="V750" t="s">
        <v>28</v>
      </c>
      <c r="W750">
        <v>4</v>
      </c>
      <c r="X750" t="s">
        <v>146</v>
      </c>
    </row>
    <row r="751" spans="1:24" x14ac:dyDescent="0.2">
      <c r="A751" t="str">
        <f t="shared" si="33"/>
        <v>sample_novaseq-16S-B-G06-L4_SICap-P5-G6-P5D2-TYG-C3R2-yesBile-rep2-day2</v>
      </c>
      <c r="B751" s="1" t="s">
        <v>347</v>
      </c>
      <c r="C751" s="3" t="s">
        <v>923</v>
      </c>
      <c r="D751" s="3" t="s">
        <v>1328</v>
      </c>
      <c r="E751" t="s">
        <v>20</v>
      </c>
      <c r="F751" t="s">
        <v>143</v>
      </c>
      <c r="G751" t="s">
        <v>122</v>
      </c>
      <c r="H751" t="str">
        <f t="shared" si="34"/>
        <v>06</v>
      </c>
      <c r="I751" t="str">
        <f t="shared" si="35"/>
        <v>G</v>
      </c>
      <c r="J751" t="s">
        <v>144</v>
      </c>
      <c r="K751" t="s">
        <v>117</v>
      </c>
      <c r="L751" t="s">
        <v>142</v>
      </c>
      <c r="M751" t="s">
        <v>39</v>
      </c>
      <c r="N751">
        <v>2</v>
      </c>
      <c r="O751">
        <v>2</v>
      </c>
      <c r="P751" t="s">
        <v>145</v>
      </c>
      <c r="Q751" t="s">
        <v>28</v>
      </c>
      <c r="R751" t="s">
        <v>28</v>
      </c>
      <c r="S751" t="s">
        <v>28</v>
      </c>
      <c r="T751" t="s">
        <v>28</v>
      </c>
      <c r="U751" t="s">
        <v>28</v>
      </c>
      <c r="V751" t="s">
        <v>28</v>
      </c>
      <c r="W751">
        <v>4</v>
      </c>
      <c r="X751" t="s">
        <v>146</v>
      </c>
    </row>
    <row r="752" spans="1:24" x14ac:dyDescent="0.2">
      <c r="A752" t="str">
        <f t="shared" si="33"/>
        <v>sample_novaseq-16S-B-G07-L4_SICap-P5-G7-P5D2-TYG-C4R1-yesBile-rep2-day2</v>
      </c>
      <c r="B752" s="1" t="s">
        <v>348</v>
      </c>
      <c r="C752" s="3" t="s">
        <v>924</v>
      </c>
      <c r="D752" s="3" t="s">
        <v>1328</v>
      </c>
      <c r="E752" t="s">
        <v>20</v>
      </c>
      <c r="F752" t="s">
        <v>143</v>
      </c>
      <c r="G752" t="s">
        <v>123</v>
      </c>
      <c r="H752" t="str">
        <f t="shared" si="34"/>
        <v>07</v>
      </c>
      <c r="I752" t="str">
        <f t="shared" si="35"/>
        <v>G</v>
      </c>
      <c r="J752" t="s">
        <v>144</v>
      </c>
      <c r="K752" t="s">
        <v>117</v>
      </c>
      <c r="L752" t="s">
        <v>142</v>
      </c>
      <c r="M752" t="s">
        <v>41</v>
      </c>
      <c r="N752">
        <v>2</v>
      </c>
      <c r="O752">
        <v>2</v>
      </c>
      <c r="P752" t="s">
        <v>145</v>
      </c>
      <c r="Q752" t="s">
        <v>28</v>
      </c>
      <c r="R752" t="s">
        <v>28</v>
      </c>
      <c r="S752" t="s">
        <v>28</v>
      </c>
      <c r="T752" t="s">
        <v>28</v>
      </c>
      <c r="U752" t="s">
        <v>28</v>
      </c>
      <c r="V752" t="s">
        <v>28</v>
      </c>
      <c r="W752">
        <v>4</v>
      </c>
      <c r="X752" t="s">
        <v>146</v>
      </c>
    </row>
    <row r="753" spans="1:24" x14ac:dyDescent="0.2">
      <c r="A753" t="str">
        <f t="shared" si="33"/>
        <v>sample_novaseq-16S-B-G08-L4_SICap-P5-G8-P5D2-TYG-C4R2-yesBile-rep2-day2</v>
      </c>
      <c r="B753" s="1" t="s">
        <v>349</v>
      </c>
      <c r="C753" s="3" t="s">
        <v>925</v>
      </c>
      <c r="D753" s="3" t="s">
        <v>1328</v>
      </c>
      <c r="E753" t="s">
        <v>20</v>
      </c>
      <c r="F753" t="s">
        <v>143</v>
      </c>
      <c r="G753" t="s">
        <v>124</v>
      </c>
      <c r="H753" t="str">
        <f t="shared" si="34"/>
        <v>08</v>
      </c>
      <c r="I753" t="str">
        <f t="shared" si="35"/>
        <v>G</v>
      </c>
      <c r="J753" t="s">
        <v>144</v>
      </c>
      <c r="K753" t="s">
        <v>117</v>
      </c>
      <c r="L753" t="s">
        <v>142</v>
      </c>
      <c r="M753" t="s">
        <v>43</v>
      </c>
      <c r="N753">
        <v>2</v>
      </c>
      <c r="O753">
        <v>2</v>
      </c>
      <c r="P753" t="s">
        <v>145</v>
      </c>
      <c r="Q753" t="s">
        <v>28</v>
      </c>
      <c r="R753" t="s">
        <v>28</v>
      </c>
      <c r="S753" t="s">
        <v>28</v>
      </c>
      <c r="T753" t="s">
        <v>28</v>
      </c>
      <c r="U753" t="s">
        <v>28</v>
      </c>
      <c r="V753" t="s">
        <v>28</v>
      </c>
      <c r="W753">
        <v>4</v>
      </c>
      <c r="X753" t="s">
        <v>146</v>
      </c>
    </row>
    <row r="754" spans="1:24" x14ac:dyDescent="0.2">
      <c r="A754" t="str">
        <f t="shared" si="33"/>
        <v>sample_novaseq-16S-B-G09-L4_SICap-P5-G9-P5D2-TYG-S1R2-yesBile-rep2-day2</v>
      </c>
      <c r="B754" s="1" t="s">
        <v>350</v>
      </c>
      <c r="C754" s="3" t="s">
        <v>926</v>
      </c>
      <c r="D754" s="3" t="s">
        <v>1328</v>
      </c>
      <c r="E754" t="s">
        <v>20</v>
      </c>
      <c r="F754" t="s">
        <v>143</v>
      </c>
      <c r="G754" t="s">
        <v>125</v>
      </c>
      <c r="H754" t="str">
        <f t="shared" si="34"/>
        <v>09</v>
      </c>
      <c r="I754" t="str">
        <f t="shared" si="35"/>
        <v>G</v>
      </c>
      <c r="J754" t="s">
        <v>144</v>
      </c>
      <c r="K754" t="s">
        <v>117</v>
      </c>
      <c r="L754" t="s">
        <v>142</v>
      </c>
      <c r="M754" t="s">
        <v>45</v>
      </c>
      <c r="N754">
        <v>2</v>
      </c>
      <c r="O754">
        <v>2</v>
      </c>
      <c r="P754" t="s">
        <v>145</v>
      </c>
      <c r="Q754" t="s">
        <v>28</v>
      </c>
      <c r="R754" t="s">
        <v>28</v>
      </c>
      <c r="S754" t="s">
        <v>28</v>
      </c>
      <c r="T754" t="s">
        <v>28</v>
      </c>
      <c r="U754" t="s">
        <v>28</v>
      </c>
      <c r="V754" t="s">
        <v>28</v>
      </c>
      <c r="W754">
        <v>4</v>
      </c>
      <c r="X754" t="s">
        <v>146</v>
      </c>
    </row>
    <row r="755" spans="1:24" x14ac:dyDescent="0.2">
      <c r="A755" t="str">
        <f t="shared" si="33"/>
        <v>sample_novaseq-16S-B-G10-L4_SICap-P5-G10-P5D2-TYG-StoolPool-yesBile-rep2-day2</v>
      </c>
      <c r="B755" s="1" t="s">
        <v>351</v>
      </c>
      <c r="C755" s="3" t="s">
        <v>927</v>
      </c>
      <c r="D755" s="3" t="s">
        <v>1328</v>
      </c>
      <c r="E755" t="s">
        <v>20</v>
      </c>
      <c r="F755" t="s">
        <v>143</v>
      </c>
      <c r="G755" t="s">
        <v>126</v>
      </c>
      <c r="H755" t="str">
        <f t="shared" si="34"/>
        <v>10</v>
      </c>
      <c r="I755" t="str">
        <f t="shared" si="35"/>
        <v>G</v>
      </c>
      <c r="J755" t="s">
        <v>144</v>
      </c>
      <c r="K755" t="s">
        <v>117</v>
      </c>
      <c r="L755" t="s">
        <v>142</v>
      </c>
      <c r="M755" t="s">
        <v>47</v>
      </c>
      <c r="N755">
        <v>2</v>
      </c>
      <c r="O755">
        <v>2</v>
      </c>
      <c r="P755" t="s">
        <v>145</v>
      </c>
      <c r="Q755" t="s">
        <v>28</v>
      </c>
      <c r="R755" t="s">
        <v>28</v>
      </c>
      <c r="S755" t="s">
        <v>28</v>
      </c>
      <c r="T755" t="s">
        <v>28</v>
      </c>
      <c r="U755" t="s">
        <v>28</v>
      </c>
      <c r="V755" t="s">
        <v>28</v>
      </c>
      <c r="W755">
        <v>4</v>
      </c>
      <c r="X755" t="s">
        <v>146</v>
      </c>
    </row>
    <row r="756" spans="1:24" x14ac:dyDescent="0.2">
      <c r="A756" t="str">
        <f t="shared" si="33"/>
        <v>sample_novaseq-16S-B-G11-L4_SICap-P5-G11-P5D2-TYG-SIPool-yesBile-rep2-day2</v>
      </c>
      <c r="B756" s="1" t="s">
        <v>352</v>
      </c>
      <c r="C756" s="3" t="s">
        <v>928</v>
      </c>
      <c r="D756" s="3" t="s">
        <v>1328</v>
      </c>
      <c r="E756" t="s">
        <v>20</v>
      </c>
      <c r="F756" t="s">
        <v>143</v>
      </c>
      <c r="G756" t="s">
        <v>127</v>
      </c>
      <c r="H756" t="str">
        <f t="shared" si="34"/>
        <v>11</v>
      </c>
      <c r="I756" t="str">
        <f t="shared" si="35"/>
        <v>G</v>
      </c>
      <c r="J756" t="s">
        <v>144</v>
      </c>
      <c r="K756" t="s">
        <v>117</v>
      </c>
      <c r="L756" t="s">
        <v>142</v>
      </c>
      <c r="M756" t="s">
        <v>49</v>
      </c>
      <c r="N756">
        <v>2</v>
      </c>
      <c r="O756">
        <v>2</v>
      </c>
      <c r="P756" t="s">
        <v>145</v>
      </c>
      <c r="Q756" t="s">
        <v>28</v>
      </c>
      <c r="R756" t="s">
        <v>28</v>
      </c>
      <c r="S756" t="s">
        <v>28</v>
      </c>
      <c r="T756" t="s">
        <v>28</v>
      </c>
      <c r="U756" t="s">
        <v>28</v>
      </c>
      <c r="V756" t="s">
        <v>28</v>
      </c>
      <c r="W756">
        <v>4</v>
      </c>
      <c r="X756" t="s">
        <v>146</v>
      </c>
    </row>
    <row r="757" spans="1:24" x14ac:dyDescent="0.2">
      <c r="A757" t="str">
        <f t="shared" si="33"/>
        <v>sample_novaseq-16S-B-G12-L4_SICap-P5-G12-P5D2-TYG-Media-yesBile-rep2-day2</v>
      </c>
      <c r="B757" s="1" t="s">
        <v>353</v>
      </c>
      <c r="C757" s="3" t="s">
        <v>929</v>
      </c>
      <c r="D757" s="3" t="s">
        <v>1328</v>
      </c>
      <c r="E757" t="s">
        <v>20</v>
      </c>
      <c r="F757" t="s">
        <v>143</v>
      </c>
      <c r="G757" t="s">
        <v>128</v>
      </c>
      <c r="H757" t="str">
        <f t="shared" si="34"/>
        <v>12</v>
      </c>
      <c r="I757" t="str">
        <f t="shared" si="35"/>
        <v>G</v>
      </c>
      <c r="J757" t="s">
        <v>144</v>
      </c>
      <c r="K757" t="s">
        <v>117</v>
      </c>
      <c r="L757" t="s">
        <v>142</v>
      </c>
      <c r="M757" t="s">
        <v>6</v>
      </c>
      <c r="N757">
        <v>2</v>
      </c>
      <c r="O757">
        <v>2</v>
      </c>
      <c r="P757" t="s">
        <v>145</v>
      </c>
      <c r="Q757" t="s">
        <v>28</v>
      </c>
      <c r="R757" t="s">
        <v>28</v>
      </c>
      <c r="S757" t="s">
        <v>28</v>
      </c>
      <c r="T757" t="s">
        <v>28</v>
      </c>
      <c r="U757" t="s">
        <v>28</v>
      </c>
      <c r="V757" t="s">
        <v>28</v>
      </c>
      <c r="W757">
        <v>4</v>
      </c>
      <c r="X757" t="s">
        <v>146</v>
      </c>
    </row>
    <row r="758" spans="1:24" x14ac:dyDescent="0.2">
      <c r="A758" t="str">
        <f t="shared" si="33"/>
        <v>sample_novaseq-16S-B-H01-L4_SICap-P5-H1-P5D2-RCM-C1R1-yesBile-rep2-day2</v>
      </c>
      <c r="B758" s="1" t="s">
        <v>354</v>
      </c>
      <c r="C758" s="3" t="s">
        <v>930</v>
      </c>
      <c r="D758" s="3" t="s">
        <v>1328</v>
      </c>
      <c r="E758" t="s">
        <v>20</v>
      </c>
      <c r="F758" t="s">
        <v>143</v>
      </c>
      <c r="G758" t="s">
        <v>129</v>
      </c>
      <c r="H758" t="str">
        <f t="shared" si="34"/>
        <v>01</v>
      </c>
      <c r="I758" t="str">
        <f t="shared" si="35"/>
        <v>H</v>
      </c>
      <c r="J758" t="s">
        <v>144</v>
      </c>
      <c r="K758" t="s">
        <v>130</v>
      </c>
      <c r="L758" t="s">
        <v>142</v>
      </c>
      <c r="M758" t="s">
        <v>26</v>
      </c>
      <c r="N758">
        <v>2</v>
      </c>
      <c r="O758">
        <v>2</v>
      </c>
      <c r="P758" t="s">
        <v>145</v>
      </c>
      <c r="Q758" t="s">
        <v>28</v>
      </c>
      <c r="R758" t="s">
        <v>28</v>
      </c>
      <c r="S758" t="s">
        <v>28</v>
      </c>
      <c r="T758" t="s">
        <v>28</v>
      </c>
      <c r="U758" t="s">
        <v>28</v>
      </c>
      <c r="V758" t="s">
        <v>28</v>
      </c>
      <c r="W758">
        <v>4</v>
      </c>
      <c r="X758" t="s">
        <v>146</v>
      </c>
    </row>
    <row r="759" spans="1:24" x14ac:dyDescent="0.2">
      <c r="A759" t="str">
        <f t="shared" si="33"/>
        <v>sample_novaseq-16S-B-H02-L4_SICap-P5-H2-P5D2-RCM-C1R2-yesBile-rep2-day2</v>
      </c>
      <c r="B759" s="1" t="s">
        <v>355</v>
      </c>
      <c r="C759" s="3" t="s">
        <v>931</v>
      </c>
      <c r="D759" s="3" t="s">
        <v>1328</v>
      </c>
      <c r="E759" t="s">
        <v>20</v>
      </c>
      <c r="F759" t="s">
        <v>143</v>
      </c>
      <c r="G759" t="s">
        <v>131</v>
      </c>
      <c r="H759" t="str">
        <f t="shared" si="34"/>
        <v>02</v>
      </c>
      <c r="I759" t="str">
        <f t="shared" si="35"/>
        <v>H</v>
      </c>
      <c r="J759" t="s">
        <v>144</v>
      </c>
      <c r="K759" t="s">
        <v>130</v>
      </c>
      <c r="L759" t="s">
        <v>142</v>
      </c>
      <c r="M759" t="s">
        <v>31</v>
      </c>
      <c r="N759">
        <v>2</v>
      </c>
      <c r="O759">
        <v>2</v>
      </c>
      <c r="P759" t="s">
        <v>145</v>
      </c>
      <c r="Q759" t="s">
        <v>28</v>
      </c>
      <c r="R759" t="s">
        <v>28</v>
      </c>
      <c r="S759" t="s">
        <v>28</v>
      </c>
      <c r="T759" t="s">
        <v>28</v>
      </c>
      <c r="U759" t="s">
        <v>28</v>
      </c>
      <c r="V759" t="s">
        <v>28</v>
      </c>
      <c r="W759">
        <v>4</v>
      </c>
      <c r="X759" t="s">
        <v>146</v>
      </c>
    </row>
    <row r="760" spans="1:24" x14ac:dyDescent="0.2">
      <c r="A760" t="str">
        <f t="shared" si="33"/>
        <v>sample_novaseq-16S-B-H03-L4_SICap-P5-H3-P5D2-RCM-C2R1-yesBile-rep2-day2</v>
      </c>
      <c r="B760" s="1" t="s">
        <v>356</v>
      </c>
      <c r="C760" s="3" t="s">
        <v>932</v>
      </c>
      <c r="D760" s="3" t="s">
        <v>1328</v>
      </c>
      <c r="E760" t="s">
        <v>20</v>
      </c>
      <c r="F760" t="s">
        <v>143</v>
      </c>
      <c r="G760" t="s">
        <v>132</v>
      </c>
      <c r="H760" t="str">
        <f t="shared" si="34"/>
        <v>03</v>
      </c>
      <c r="I760" t="str">
        <f t="shared" si="35"/>
        <v>H</v>
      </c>
      <c r="J760" t="s">
        <v>144</v>
      </c>
      <c r="K760" t="s">
        <v>130</v>
      </c>
      <c r="L760" t="s">
        <v>142</v>
      </c>
      <c r="M760" t="s">
        <v>33</v>
      </c>
      <c r="N760">
        <v>2</v>
      </c>
      <c r="O760">
        <v>2</v>
      </c>
      <c r="P760" t="s">
        <v>145</v>
      </c>
      <c r="Q760" t="s">
        <v>28</v>
      </c>
      <c r="R760" t="s">
        <v>28</v>
      </c>
      <c r="S760" t="s">
        <v>28</v>
      </c>
      <c r="T760" t="s">
        <v>28</v>
      </c>
      <c r="U760" t="s">
        <v>28</v>
      </c>
      <c r="V760" t="s">
        <v>28</v>
      </c>
      <c r="W760">
        <v>4</v>
      </c>
      <c r="X760" t="s">
        <v>146</v>
      </c>
    </row>
    <row r="761" spans="1:24" x14ac:dyDescent="0.2">
      <c r="A761" t="str">
        <f t="shared" si="33"/>
        <v>sample_novaseq-16S-B-H04-L4_SICap-P5-H4-P5D2-RCM-C2R2-yesBile-rep2-day2</v>
      </c>
      <c r="B761" s="1" t="s">
        <v>357</v>
      </c>
      <c r="C761" s="3" t="s">
        <v>933</v>
      </c>
      <c r="D761" s="3" t="s">
        <v>1328</v>
      </c>
      <c r="E761" t="s">
        <v>20</v>
      </c>
      <c r="F761" t="s">
        <v>143</v>
      </c>
      <c r="G761" t="s">
        <v>133</v>
      </c>
      <c r="H761" t="str">
        <f t="shared" si="34"/>
        <v>04</v>
      </c>
      <c r="I761" t="str">
        <f t="shared" si="35"/>
        <v>H</v>
      </c>
      <c r="J761" t="s">
        <v>144</v>
      </c>
      <c r="K761" t="s">
        <v>130</v>
      </c>
      <c r="L761" t="s">
        <v>142</v>
      </c>
      <c r="M761" t="s">
        <v>35</v>
      </c>
      <c r="N761">
        <v>2</v>
      </c>
      <c r="O761">
        <v>2</v>
      </c>
      <c r="P761" t="s">
        <v>145</v>
      </c>
      <c r="Q761" t="s">
        <v>28</v>
      </c>
      <c r="R761" t="s">
        <v>28</v>
      </c>
      <c r="S761" t="s">
        <v>28</v>
      </c>
      <c r="T761" t="s">
        <v>28</v>
      </c>
      <c r="U761" t="s">
        <v>28</v>
      </c>
      <c r="V761" t="s">
        <v>28</v>
      </c>
      <c r="W761">
        <v>4</v>
      </c>
      <c r="X761" t="s">
        <v>146</v>
      </c>
    </row>
    <row r="762" spans="1:24" x14ac:dyDescent="0.2">
      <c r="A762" t="str">
        <f t="shared" si="33"/>
        <v>sample_novaseq-16S-B-H05-L4_SICap-P5-H5-P5D2-RCM-C3R1-yesBile-rep2-day2</v>
      </c>
      <c r="B762" s="1" t="s">
        <v>358</v>
      </c>
      <c r="C762" s="3" t="s">
        <v>934</v>
      </c>
      <c r="D762" s="3" t="s">
        <v>1328</v>
      </c>
      <c r="E762" t="s">
        <v>20</v>
      </c>
      <c r="F762" t="s">
        <v>143</v>
      </c>
      <c r="G762" t="s">
        <v>134</v>
      </c>
      <c r="H762" t="str">
        <f t="shared" si="34"/>
        <v>05</v>
      </c>
      <c r="I762" t="str">
        <f t="shared" si="35"/>
        <v>H</v>
      </c>
      <c r="J762" t="s">
        <v>144</v>
      </c>
      <c r="K762" t="s">
        <v>130</v>
      </c>
      <c r="L762" t="s">
        <v>142</v>
      </c>
      <c r="M762" t="s">
        <v>37</v>
      </c>
      <c r="N762">
        <v>2</v>
      </c>
      <c r="O762">
        <v>2</v>
      </c>
      <c r="P762" t="s">
        <v>145</v>
      </c>
      <c r="Q762" t="s">
        <v>28</v>
      </c>
      <c r="R762" t="s">
        <v>28</v>
      </c>
      <c r="S762" t="s">
        <v>28</v>
      </c>
      <c r="T762" t="s">
        <v>28</v>
      </c>
      <c r="U762" t="s">
        <v>28</v>
      </c>
      <c r="V762" t="s">
        <v>28</v>
      </c>
      <c r="W762">
        <v>4</v>
      </c>
      <c r="X762" t="s">
        <v>146</v>
      </c>
    </row>
    <row r="763" spans="1:24" x14ac:dyDescent="0.2">
      <c r="A763" t="str">
        <f t="shared" si="33"/>
        <v>sample_novaseq-16S-B-H06-L4_SICap-P5-H6-P5D2-RCM-C3R2-yesBile-rep2-day2</v>
      </c>
      <c r="B763" s="1" t="s">
        <v>359</v>
      </c>
      <c r="C763" s="3" t="s">
        <v>935</v>
      </c>
      <c r="D763" s="3" t="s">
        <v>1328</v>
      </c>
      <c r="E763" t="s">
        <v>20</v>
      </c>
      <c r="F763" t="s">
        <v>143</v>
      </c>
      <c r="G763" t="s">
        <v>135</v>
      </c>
      <c r="H763" t="str">
        <f t="shared" si="34"/>
        <v>06</v>
      </c>
      <c r="I763" t="str">
        <f t="shared" si="35"/>
        <v>H</v>
      </c>
      <c r="J763" t="s">
        <v>144</v>
      </c>
      <c r="K763" t="s">
        <v>130</v>
      </c>
      <c r="L763" t="s">
        <v>142</v>
      </c>
      <c r="M763" t="s">
        <v>39</v>
      </c>
      <c r="N763">
        <v>2</v>
      </c>
      <c r="O763">
        <v>2</v>
      </c>
      <c r="P763" t="s">
        <v>145</v>
      </c>
      <c r="Q763" t="s">
        <v>28</v>
      </c>
      <c r="R763" t="s">
        <v>28</v>
      </c>
      <c r="S763" t="s">
        <v>28</v>
      </c>
      <c r="T763" t="s">
        <v>28</v>
      </c>
      <c r="U763" t="s">
        <v>28</v>
      </c>
      <c r="V763" t="s">
        <v>28</v>
      </c>
      <c r="W763">
        <v>4</v>
      </c>
      <c r="X763" t="s">
        <v>146</v>
      </c>
    </row>
    <row r="764" spans="1:24" x14ac:dyDescent="0.2">
      <c r="A764" t="str">
        <f t="shared" si="33"/>
        <v>sample_novaseq-16S-B-H07-L4_SICap-P5-H7-P5D2-RCM-C4R1-yesBile-rep2-day2</v>
      </c>
      <c r="B764" s="1" t="s">
        <v>360</v>
      </c>
      <c r="C764" s="3" t="s">
        <v>936</v>
      </c>
      <c r="D764" s="3" t="s">
        <v>1328</v>
      </c>
      <c r="E764" t="s">
        <v>20</v>
      </c>
      <c r="F764" t="s">
        <v>143</v>
      </c>
      <c r="G764" t="s">
        <v>136</v>
      </c>
      <c r="H764" t="str">
        <f t="shared" si="34"/>
        <v>07</v>
      </c>
      <c r="I764" t="str">
        <f t="shared" si="35"/>
        <v>H</v>
      </c>
      <c r="J764" t="s">
        <v>144</v>
      </c>
      <c r="K764" t="s">
        <v>130</v>
      </c>
      <c r="L764" t="s">
        <v>142</v>
      </c>
      <c r="M764" t="s">
        <v>41</v>
      </c>
      <c r="N764">
        <v>2</v>
      </c>
      <c r="O764">
        <v>2</v>
      </c>
      <c r="P764" t="s">
        <v>145</v>
      </c>
      <c r="Q764" t="s">
        <v>28</v>
      </c>
      <c r="R764" t="s">
        <v>28</v>
      </c>
      <c r="S764" t="s">
        <v>28</v>
      </c>
      <c r="T764" t="s">
        <v>28</v>
      </c>
      <c r="U764" t="s">
        <v>28</v>
      </c>
      <c r="V764" t="s">
        <v>28</v>
      </c>
      <c r="W764">
        <v>4</v>
      </c>
      <c r="X764" t="s">
        <v>146</v>
      </c>
    </row>
    <row r="765" spans="1:24" x14ac:dyDescent="0.2">
      <c r="A765" t="str">
        <f t="shared" si="33"/>
        <v>sample_novaseq-16S-B-H08-L4_SICap-P5-H8-P5D2-RCM-C4R2-yesBile-rep2-day2</v>
      </c>
      <c r="B765" s="1" t="s">
        <v>361</v>
      </c>
      <c r="C765" s="3" t="s">
        <v>937</v>
      </c>
      <c r="D765" s="3" t="s">
        <v>1328</v>
      </c>
      <c r="E765" t="s">
        <v>20</v>
      </c>
      <c r="F765" t="s">
        <v>143</v>
      </c>
      <c r="G765" t="s">
        <v>137</v>
      </c>
      <c r="H765" t="str">
        <f t="shared" si="34"/>
        <v>08</v>
      </c>
      <c r="I765" t="str">
        <f t="shared" si="35"/>
        <v>H</v>
      </c>
      <c r="J765" t="s">
        <v>144</v>
      </c>
      <c r="K765" t="s">
        <v>130</v>
      </c>
      <c r="L765" t="s">
        <v>142</v>
      </c>
      <c r="M765" t="s">
        <v>43</v>
      </c>
      <c r="N765">
        <v>2</v>
      </c>
      <c r="O765">
        <v>2</v>
      </c>
      <c r="P765" t="s">
        <v>145</v>
      </c>
      <c r="Q765" t="s">
        <v>28</v>
      </c>
      <c r="R765" t="s">
        <v>28</v>
      </c>
      <c r="S765" t="s">
        <v>28</v>
      </c>
      <c r="T765" t="s">
        <v>28</v>
      </c>
      <c r="U765" t="s">
        <v>28</v>
      </c>
      <c r="V765" t="s">
        <v>28</v>
      </c>
      <c r="W765">
        <v>4</v>
      </c>
      <c r="X765" t="s">
        <v>146</v>
      </c>
    </row>
    <row r="766" spans="1:24" x14ac:dyDescent="0.2">
      <c r="A766" t="str">
        <f t="shared" si="33"/>
        <v>sample_novaseq-16S-B-H09-L4_SICap-P5-H9-P5D2-RCM-S1R2-yesBile-rep2-day2</v>
      </c>
      <c r="B766" s="1" t="s">
        <v>362</v>
      </c>
      <c r="C766" s="3" t="s">
        <v>938</v>
      </c>
      <c r="D766" s="3" t="s">
        <v>1328</v>
      </c>
      <c r="E766" t="s">
        <v>20</v>
      </c>
      <c r="F766" t="s">
        <v>143</v>
      </c>
      <c r="G766" t="s">
        <v>138</v>
      </c>
      <c r="H766" t="str">
        <f t="shared" si="34"/>
        <v>09</v>
      </c>
      <c r="I766" t="str">
        <f t="shared" si="35"/>
        <v>H</v>
      </c>
      <c r="J766" t="s">
        <v>144</v>
      </c>
      <c r="K766" t="s">
        <v>130</v>
      </c>
      <c r="L766" t="s">
        <v>142</v>
      </c>
      <c r="M766" t="s">
        <v>45</v>
      </c>
      <c r="N766">
        <v>2</v>
      </c>
      <c r="O766">
        <v>2</v>
      </c>
      <c r="P766" t="s">
        <v>145</v>
      </c>
      <c r="Q766" t="s">
        <v>28</v>
      </c>
      <c r="R766" t="s">
        <v>28</v>
      </c>
      <c r="S766" t="s">
        <v>28</v>
      </c>
      <c r="T766" t="s">
        <v>28</v>
      </c>
      <c r="U766" t="s">
        <v>28</v>
      </c>
      <c r="V766" t="s">
        <v>28</v>
      </c>
      <c r="W766">
        <v>4</v>
      </c>
      <c r="X766" t="s">
        <v>146</v>
      </c>
    </row>
    <row r="767" spans="1:24" x14ac:dyDescent="0.2">
      <c r="A767" t="str">
        <f t="shared" si="33"/>
        <v>sample_novaseq-16S-B-H10-L4_SICap-P5-H10-P5D2-RCM-StoolPool-yesBile-rep2-day2</v>
      </c>
      <c r="B767" s="1" t="s">
        <v>363</v>
      </c>
      <c r="C767" s="3" t="s">
        <v>939</v>
      </c>
      <c r="D767" s="3" t="s">
        <v>1328</v>
      </c>
      <c r="E767" t="s">
        <v>20</v>
      </c>
      <c r="F767" t="s">
        <v>143</v>
      </c>
      <c r="G767" t="s">
        <v>139</v>
      </c>
      <c r="H767" t="str">
        <f t="shared" si="34"/>
        <v>10</v>
      </c>
      <c r="I767" t="str">
        <f t="shared" si="35"/>
        <v>H</v>
      </c>
      <c r="J767" t="s">
        <v>144</v>
      </c>
      <c r="K767" t="s">
        <v>130</v>
      </c>
      <c r="L767" t="s">
        <v>142</v>
      </c>
      <c r="M767" t="s">
        <v>47</v>
      </c>
      <c r="N767">
        <v>2</v>
      </c>
      <c r="O767">
        <v>2</v>
      </c>
      <c r="P767" t="s">
        <v>145</v>
      </c>
      <c r="Q767" t="s">
        <v>28</v>
      </c>
      <c r="R767" t="s">
        <v>28</v>
      </c>
      <c r="S767" t="s">
        <v>28</v>
      </c>
      <c r="T767" t="s">
        <v>28</v>
      </c>
      <c r="U767" t="s">
        <v>28</v>
      </c>
      <c r="V767" t="s">
        <v>28</v>
      </c>
      <c r="W767">
        <v>4</v>
      </c>
      <c r="X767" t="s">
        <v>146</v>
      </c>
    </row>
    <row r="768" spans="1:24" x14ac:dyDescent="0.2">
      <c r="A768" t="str">
        <f t="shared" si="33"/>
        <v>sample_novaseq-16S-B-H11-L4_SICap-P5-H11-P5D2-RCM-SIPool-yesBile-rep2-day2</v>
      </c>
      <c r="B768" s="1" t="s">
        <v>364</v>
      </c>
      <c r="C768" s="3" t="s">
        <v>940</v>
      </c>
      <c r="D768" s="3" t="s">
        <v>1328</v>
      </c>
      <c r="E768" t="s">
        <v>20</v>
      </c>
      <c r="F768" t="s">
        <v>143</v>
      </c>
      <c r="G768" t="s">
        <v>140</v>
      </c>
      <c r="H768" t="str">
        <f t="shared" si="34"/>
        <v>11</v>
      </c>
      <c r="I768" t="str">
        <f t="shared" si="35"/>
        <v>H</v>
      </c>
      <c r="J768" t="s">
        <v>144</v>
      </c>
      <c r="K768" t="s">
        <v>130</v>
      </c>
      <c r="L768" t="s">
        <v>142</v>
      </c>
      <c r="M768" t="s">
        <v>49</v>
      </c>
      <c r="N768">
        <v>2</v>
      </c>
      <c r="O768">
        <v>2</v>
      </c>
      <c r="P768" t="s">
        <v>145</v>
      </c>
      <c r="Q768" t="s">
        <v>28</v>
      </c>
      <c r="R768" t="s">
        <v>28</v>
      </c>
      <c r="S768" t="s">
        <v>28</v>
      </c>
      <c r="T768" t="s">
        <v>28</v>
      </c>
      <c r="U768" t="s">
        <v>28</v>
      </c>
      <c r="V768" t="s">
        <v>28</v>
      </c>
      <c r="W768">
        <v>4</v>
      </c>
      <c r="X768" t="s">
        <v>146</v>
      </c>
    </row>
    <row r="769" spans="1:24" x14ac:dyDescent="0.2">
      <c r="A769" t="str">
        <f t="shared" si="33"/>
        <v>sample_novaseq-16S-B-H12-L4_SICap-P5-H12-P5D2-RCM-Media-yesBile-rep2-day2</v>
      </c>
      <c r="B769" s="1" t="s">
        <v>365</v>
      </c>
      <c r="C769" s="3" t="s">
        <v>941</v>
      </c>
      <c r="D769" s="3" t="s">
        <v>1328</v>
      </c>
      <c r="E769" t="s">
        <v>20</v>
      </c>
      <c r="F769" t="s">
        <v>143</v>
      </c>
      <c r="G769" t="s">
        <v>141</v>
      </c>
      <c r="H769" t="str">
        <f t="shared" si="34"/>
        <v>12</v>
      </c>
      <c r="I769" t="str">
        <f t="shared" si="35"/>
        <v>H</v>
      </c>
      <c r="J769" t="s">
        <v>144</v>
      </c>
      <c r="K769" t="s">
        <v>130</v>
      </c>
      <c r="L769" t="s">
        <v>142</v>
      </c>
      <c r="M769" t="s">
        <v>6</v>
      </c>
      <c r="N769">
        <v>2</v>
      </c>
      <c r="O769">
        <v>2</v>
      </c>
      <c r="P769" t="s">
        <v>145</v>
      </c>
      <c r="Q769" t="s">
        <v>28</v>
      </c>
      <c r="R769" t="s">
        <v>28</v>
      </c>
      <c r="S769" t="s">
        <v>28</v>
      </c>
      <c r="T769" t="s">
        <v>28</v>
      </c>
      <c r="U769" t="s">
        <v>28</v>
      </c>
      <c r="V769" t="s">
        <v>28</v>
      </c>
      <c r="W769">
        <v>4</v>
      </c>
      <c r="X769" t="s">
        <v>146</v>
      </c>
    </row>
    <row r="770" spans="1:24" x14ac:dyDescent="0.2">
      <c r="A770" t="str">
        <f t="shared" si="33"/>
        <v>sample_novaseq-16S-C-A01-L3_SICap-P12-A1-P1D14-M9-C1R1-noBile-rep1-day14</v>
      </c>
      <c r="B770" s="1" t="s">
        <v>366</v>
      </c>
      <c r="C770" s="3" t="s">
        <v>942</v>
      </c>
      <c r="D770" s="3" t="s">
        <v>1328</v>
      </c>
      <c r="E770" t="s">
        <v>20</v>
      </c>
      <c r="F770" t="s">
        <v>148</v>
      </c>
      <c r="G770" t="s">
        <v>22</v>
      </c>
      <c r="H770" t="str">
        <f t="shared" si="34"/>
        <v>01</v>
      </c>
      <c r="I770" t="str">
        <f t="shared" si="35"/>
        <v>A</v>
      </c>
      <c r="J770" t="s">
        <v>149</v>
      </c>
      <c r="K770" t="s">
        <v>24</v>
      </c>
      <c r="L770" t="s">
        <v>25</v>
      </c>
      <c r="M770" t="s">
        <v>26</v>
      </c>
      <c r="N770">
        <v>1</v>
      </c>
      <c r="O770">
        <v>14</v>
      </c>
      <c r="P770" t="s">
        <v>150</v>
      </c>
      <c r="Q770" t="s">
        <v>28</v>
      </c>
      <c r="R770" t="s">
        <v>28</v>
      </c>
      <c r="S770" t="s">
        <v>28</v>
      </c>
      <c r="T770" t="s">
        <v>28</v>
      </c>
      <c r="U770" t="s">
        <v>28</v>
      </c>
      <c r="V770" t="s">
        <v>28</v>
      </c>
      <c r="W770">
        <v>3</v>
      </c>
      <c r="X770" t="s">
        <v>147</v>
      </c>
    </row>
    <row r="771" spans="1:24" x14ac:dyDescent="0.2">
      <c r="A771" t="str">
        <f t="shared" ref="A771:A834" si="36">_xlfn.CONCAT("sample_novaseq-",C771)</f>
        <v>sample_novaseq-16S-C-A02-L3_SICap-P12-A2-P1D14-M9-C1R2-noBile-rep1-day14</v>
      </c>
      <c r="B771" s="1" t="s">
        <v>367</v>
      </c>
      <c r="C771" s="3" t="s">
        <v>943</v>
      </c>
      <c r="D771" s="3" t="s">
        <v>1328</v>
      </c>
      <c r="E771" t="s">
        <v>20</v>
      </c>
      <c r="F771" t="s">
        <v>148</v>
      </c>
      <c r="G771" t="s">
        <v>30</v>
      </c>
      <c r="H771" t="str">
        <f t="shared" ref="H771:H834" si="37">RIGHT(G771,2)</f>
        <v>02</v>
      </c>
      <c r="I771" t="str">
        <f t="shared" ref="I771:I834" si="38">LEFT(G771)</f>
        <v>A</v>
      </c>
      <c r="J771" t="s">
        <v>149</v>
      </c>
      <c r="K771" t="s">
        <v>24</v>
      </c>
      <c r="L771" t="s">
        <v>25</v>
      </c>
      <c r="M771" t="s">
        <v>31</v>
      </c>
      <c r="N771">
        <v>1</v>
      </c>
      <c r="O771">
        <v>14</v>
      </c>
      <c r="P771" t="s">
        <v>150</v>
      </c>
      <c r="Q771" t="s">
        <v>28</v>
      </c>
      <c r="R771" t="s">
        <v>28</v>
      </c>
      <c r="S771" t="s">
        <v>28</v>
      </c>
      <c r="T771" t="s">
        <v>28</v>
      </c>
      <c r="U771" t="s">
        <v>28</v>
      </c>
      <c r="V771" t="s">
        <v>28</v>
      </c>
      <c r="W771">
        <v>3</v>
      </c>
      <c r="X771" t="s">
        <v>147</v>
      </c>
    </row>
    <row r="772" spans="1:24" x14ac:dyDescent="0.2">
      <c r="A772" t="str">
        <f t="shared" si="36"/>
        <v>sample_novaseq-16S-C-A03-L3_SICap-P12-A3-P1D14-M9-C2R1-noBile-rep1-day14</v>
      </c>
      <c r="B772" s="1" t="s">
        <v>368</v>
      </c>
      <c r="C772" s="3" t="s">
        <v>944</v>
      </c>
      <c r="D772" s="3" t="s">
        <v>1328</v>
      </c>
      <c r="E772" t="s">
        <v>20</v>
      </c>
      <c r="F772" t="s">
        <v>148</v>
      </c>
      <c r="G772" t="s">
        <v>32</v>
      </c>
      <c r="H772" t="str">
        <f t="shared" si="37"/>
        <v>03</v>
      </c>
      <c r="I772" t="str">
        <f t="shared" si="38"/>
        <v>A</v>
      </c>
      <c r="J772" t="s">
        <v>149</v>
      </c>
      <c r="K772" t="s">
        <v>24</v>
      </c>
      <c r="L772" t="s">
        <v>25</v>
      </c>
      <c r="M772" t="s">
        <v>33</v>
      </c>
      <c r="N772">
        <v>1</v>
      </c>
      <c r="O772">
        <v>14</v>
      </c>
      <c r="P772" t="s">
        <v>150</v>
      </c>
      <c r="Q772" t="s">
        <v>28</v>
      </c>
      <c r="R772" t="s">
        <v>28</v>
      </c>
      <c r="S772" t="s">
        <v>28</v>
      </c>
      <c r="T772" t="s">
        <v>28</v>
      </c>
      <c r="U772" t="s">
        <v>28</v>
      </c>
      <c r="V772" t="s">
        <v>28</v>
      </c>
      <c r="W772">
        <v>3</v>
      </c>
      <c r="X772" t="s">
        <v>147</v>
      </c>
    </row>
    <row r="773" spans="1:24" x14ac:dyDescent="0.2">
      <c r="A773" t="str">
        <f t="shared" si="36"/>
        <v>sample_novaseq-16S-C-A04-L3_SICap-P12-A4-P1D14-M9-C2R2-noBile-rep1-day14</v>
      </c>
      <c r="B773" s="1" t="s">
        <v>369</v>
      </c>
      <c r="C773" s="3" t="s">
        <v>945</v>
      </c>
      <c r="D773" s="3" t="s">
        <v>1328</v>
      </c>
      <c r="E773" t="s">
        <v>20</v>
      </c>
      <c r="F773" t="s">
        <v>148</v>
      </c>
      <c r="G773" t="s">
        <v>34</v>
      </c>
      <c r="H773" t="str">
        <f t="shared" si="37"/>
        <v>04</v>
      </c>
      <c r="I773" t="str">
        <f t="shared" si="38"/>
        <v>A</v>
      </c>
      <c r="J773" t="s">
        <v>149</v>
      </c>
      <c r="K773" t="s">
        <v>24</v>
      </c>
      <c r="L773" t="s">
        <v>25</v>
      </c>
      <c r="M773" t="s">
        <v>35</v>
      </c>
      <c r="N773">
        <v>1</v>
      </c>
      <c r="O773">
        <v>14</v>
      </c>
      <c r="P773" t="s">
        <v>150</v>
      </c>
      <c r="Q773" t="s">
        <v>28</v>
      </c>
      <c r="R773" t="s">
        <v>28</v>
      </c>
      <c r="S773" t="s">
        <v>28</v>
      </c>
      <c r="T773" t="s">
        <v>28</v>
      </c>
      <c r="U773" t="s">
        <v>28</v>
      </c>
      <c r="V773" t="s">
        <v>28</v>
      </c>
      <c r="W773">
        <v>3</v>
      </c>
      <c r="X773" t="s">
        <v>147</v>
      </c>
    </row>
    <row r="774" spans="1:24" x14ac:dyDescent="0.2">
      <c r="A774" t="str">
        <f t="shared" si="36"/>
        <v>sample_novaseq-16S-C-A05-L3_SICap-P12-A5-P1D14-M9-C3R1-noBile-rep1-day14</v>
      </c>
      <c r="B774" s="1" t="s">
        <v>370</v>
      </c>
      <c r="C774" s="3" t="s">
        <v>946</v>
      </c>
      <c r="D774" s="3" t="s">
        <v>1328</v>
      </c>
      <c r="E774" t="s">
        <v>20</v>
      </c>
      <c r="F774" t="s">
        <v>148</v>
      </c>
      <c r="G774" t="s">
        <v>36</v>
      </c>
      <c r="H774" t="str">
        <f t="shared" si="37"/>
        <v>05</v>
      </c>
      <c r="I774" t="str">
        <f t="shared" si="38"/>
        <v>A</v>
      </c>
      <c r="J774" t="s">
        <v>149</v>
      </c>
      <c r="K774" t="s">
        <v>24</v>
      </c>
      <c r="L774" t="s">
        <v>25</v>
      </c>
      <c r="M774" t="s">
        <v>37</v>
      </c>
      <c r="N774">
        <v>1</v>
      </c>
      <c r="O774">
        <v>14</v>
      </c>
      <c r="P774" t="s">
        <v>150</v>
      </c>
      <c r="Q774" t="s">
        <v>28</v>
      </c>
      <c r="R774" t="s">
        <v>28</v>
      </c>
      <c r="S774" t="s">
        <v>28</v>
      </c>
      <c r="T774" t="s">
        <v>28</v>
      </c>
      <c r="U774" t="s">
        <v>28</v>
      </c>
      <c r="V774" t="s">
        <v>28</v>
      </c>
      <c r="W774">
        <v>3</v>
      </c>
      <c r="X774" t="s">
        <v>147</v>
      </c>
    </row>
    <row r="775" spans="1:24" x14ac:dyDescent="0.2">
      <c r="A775" t="str">
        <f t="shared" si="36"/>
        <v>sample_novaseq-16S-C-A06-L3_SICap-P12-A6-P1D14-M9-C3R2-noBile-rep1-day14</v>
      </c>
      <c r="B775" s="1" t="s">
        <v>371</v>
      </c>
      <c r="C775" s="3" t="s">
        <v>947</v>
      </c>
      <c r="D775" s="3" t="s">
        <v>1328</v>
      </c>
      <c r="E775" t="s">
        <v>20</v>
      </c>
      <c r="F775" t="s">
        <v>148</v>
      </c>
      <c r="G775" t="s">
        <v>38</v>
      </c>
      <c r="H775" t="str">
        <f t="shared" si="37"/>
        <v>06</v>
      </c>
      <c r="I775" t="str">
        <f t="shared" si="38"/>
        <v>A</v>
      </c>
      <c r="J775" t="s">
        <v>149</v>
      </c>
      <c r="K775" t="s">
        <v>24</v>
      </c>
      <c r="L775" t="s">
        <v>25</v>
      </c>
      <c r="M775" t="s">
        <v>39</v>
      </c>
      <c r="N775">
        <v>1</v>
      </c>
      <c r="O775">
        <v>14</v>
      </c>
      <c r="P775" t="s">
        <v>150</v>
      </c>
      <c r="Q775" t="s">
        <v>28</v>
      </c>
      <c r="R775" t="s">
        <v>28</v>
      </c>
      <c r="S775" t="s">
        <v>28</v>
      </c>
      <c r="T775" t="s">
        <v>28</v>
      </c>
      <c r="U775" t="s">
        <v>28</v>
      </c>
      <c r="V775" t="s">
        <v>28</v>
      </c>
      <c r="W775">
        <v>3</v>
      </c>
      <c r="X775" t="s">
        <v>147</v>
      </c>
    </row>
    <row r="776" spans="1:24" x14ac:dyDescent="0.2">
      <c r="A776" t="str">
        <f t="shared" si="36"/>
        <v>sample_novaseq-16S-C-A07-L3_SICap-P12-A7-P1D14-M9-C4R1-noBile-rep1-day14</v>
      </c>
      <c r="B776" s="1" t="s">
        <v>372</v>
      </c>
      <c r="C776" s="3" t="s">
        <v>948</v>
      </c>
      <c r="D776" s="3" t="s">
        <v>1328</v>
      </c>
      <c r="E776" t="s">
        <v>20</v>
      </c>
      <c r="F776" t="s">
        <v>148</v>
      </c>
      <c r="G776" t="s">
        <v>40</v>
      </c>
      <c r="H776" t="str">
        <f t="shared" si="37"/>
        <v>07</v>
      </c>
      <c r="I776" t="str">
        <f t="shared" si="38"/>
        <v>A</v>
      </c>
      <c r="J776" t="s">
        <v>149</v>
      </c>
      <c r="K776" t="s">
        <v>24</v>
      </c>
      <c r="L776" t="s">
        <v>25</v>
      </c>
      <c r="M776" t="s">
        <v>41</v>
      </c>
      <c r="N776">
        <v>1</v>
      </c>
      <c r="O776">
        <v>14</v>
      </c>
      <c r="P776" t="s">
        <v>150</v>
      </c>
      <c r="Q776" t="s">
        <v>28</v>
      </c>
      <c r="R776" t="s">
        <v>28</v>
      </c>
      <c r="S776" t="s">
        <v>28</v>
      </c>
      <c r="T776" t="s">
        <v>28</v>
      </c>
      <c r="U776" t="s">
        <v>28</v>
      </c>
      <c r="V776" t="s">
        <v>28</v>
      </c>
      <c r="W776">
        <v>3</v>
      </c>
      <c r="X776" t="s">
        <v>147</v>
      </c>
    </row>
    <row r="777" spans="1:24" x14ac:dyDescent="0.2">
      <c r="A777" t="str">
        <f t="shared" si="36"/>
        <v>sample_novaseq-16S-C-A08-L3_SICap-P12-A8-P1D14-M9-C4R2-noBile-rep1-day14</v>
      </c>
      <c r="B777" s="1" t="s">
        <v>373</v>
      </c>
      <c r="C777" s="3" t="s">
        <v>949</v>
      </c>
      <c r="D777" s="3" t="s">
        <v>1328</v>
      </c>
      <c r="E777" t="s">
        <v>20</v>
      </c>
      <c r="F777" t="s">
        <v>148</v>
      </c>
      <c r="G777" t="s">
        <v>42</v>
      </c>
      <c r="H777" t="str">
        <f t="shared" si="37"/>
        <v>08</v>
      </c>
      <c r="I777" t="str">
        <f t="shared" si="38"/>
        <v>A</v>
      </c>
      <c r="J777" t="s">
        <v>149</v>
      </c>
      <c r="K777" t="s">
        <v>24</v>
      </c>
      <c r="L777" t="s">
        <v>25</v>
      </c>
      <c r="M777" t="s">
        <v>43</v>
      </c>
      <c r="N777">
        <v>1</v>
      </c>
      <c r="O777">
        <v>14</v>
      </c>
      <c r="P777" t="s">
        <v>150</v>
      </c>
      <c r="Q777" t="s">
        <v>28</v>
      </c>
      <c r="R777" t="s">
        <v>28</v>
      </c>
      <c r="S777" t="s">
        <v>28</v>
      </c>
      <c r="T777" t="s">
        <v>28</v>
      </c>
      <c r="U777" t="s">
        <v>28</v>
      </c>
      <c r="V777" t="s">
        <v>28</v>
      </c>
      <c r="W777">
        <v>3</v>
      </c>
      <c r="X777" t="s">
        <v>147</v>
      </c>
    </row>
    <row r="778" spans="1:24" x14ac:dyDescent="0.2">
      <c r="A778" t="str">
        <f t="shared" si="36"/>
        <v>sample_novaseq-16S-C-A09-L3_SICap-P12-A9-P1D14-M9-S1R2-noBile-rep1-day14</v>
      </c>
      <c r="B778" s="1" t="s">
        <v>374</v>
      </c>
      <c r="C778" s="3" t="s">
        <v>950</v>
      </c>
      <c r="D778" s="3" t="s">
        <v>1328</v>
      </c>
      <c r="E778" t="s">
        <v>20</v>
      </c>
      <c r="F778" t="s">
        <v>148</v>
      </c>
      <c r="G778" t="s">
        <v>44</v>
      </c>
      <c r="H778" t="str">
        <f t="shared" si="37"/>
        <v>09</v>
      </c>
      <c r="I778" t="str">
        <f t="shared" si="38"/>
        <v>A</v>
      </c>
      <c r="J778" t="s">
        <v>149</v>
      </c>
      <c r="K778" t="s">
        <v>24</v>
      </c>
      <c r="L778" t="s">
        <v>25</v>
      </c>
      <c r="M778" t="s">
        <v>45</v>
      </c>
      <c r="N778">
        <v>1</v>
      </c>
      <c r="O778">
        <v>14</v>
      </c>
      <c r="P778" t="s">
        <v>150</v>
      </c>
      <c r="Q778" t="s">
        <v>28</v>
      </c>
      <c r="R778" t="s">
        <v>28</v>
      </c>
      <c r="S778" t="s">
        <v>28</v>
      </c>
      <c r="T778" t="s">
        <v>28</v>
      </c>
      <c r="U778" t="s">
        <v>28</v>
      </c>
      <c r="V778" t="s">
        <v>28</v>
      </c>
      <c r="W778">
        <v>3</v>
      </c>
      <c r="X778" t="s">
        <v>147</v>
      </c>
    </row>
    <row r="779" spans="1:24" x14ac:dyDescent="0.2">
      <c r="A779" t="str">
        <f t="shared" si="36"/>
        <v>sample_novaseq-16S-C-A10-L3_SICap-P12-A10-P1D14-M9-StoolPool-noBile-rep1-day14</v>
      </c>
      <c r="B779" s="1" t="s">
        <v>375</v>
      </c>
      <c r="C779" s="3" t="s">
        <v>951</v>
      </c>
      <c r="D779" s="3" t="s">
        <v>1328</v>
      </c>
      <c r="E779" t="s">
        <v>20</v>
      </c>
      <c r="F779" t="s">
        <v>148</v>
      </c>
      <c r="G779" t="s">
        <v>46</v>
      </c>
      <c r="H779" t="str">
        <f t="shared" si="37"/>
        <v>10</v>
      </c>
      <c r="I779" t="str">
        <f t="shared" si="38"/>
        <v>A</v>
      </c>
      <c r="J779" t="s">
        <v>149</v>
      </c>
      <c r="K779" t="s">
        <v>24</v>
      </c>
      <c r="L779" t="s">
        <v>25</v>
      </c>
      <c r="M779" t="s">
        <v>47</v>
      </c>
      <c r="N779">
        <v>1</v>
      </c>
      <c r="O779">
        <v>14</v>
      </c>
      <c r="P779" t="s">
        <v>150</v>
      </c>
      <c r="Q779" t="s">
        <v>28</v>
      </c>
      <c r="R779" t="s">
        <v>28</v>
      </c>
      <c r="S779" t="s">
        <v>28</v>
      </c>
      <c r="T779" t="s">
        <v>28</v>
      </c>
      <c r="U779" t="s">
        <v>28</v>
      </c>
      <c r="V779" t="s">
        <v>28</v>
      </c>
      <c r="W779">
        <v>3</v>
      </c>
      <c r="X779" t="s">
        <v>147</v>
      </c>
    </row>
    <row r="780" spans="1:24" x14ac:dyDescent="0.2">
      <c r="A780" t="str">
        <f t="shared" si="36"/>
        <v>sample_novaseq-16S-C-A11-L3_SICap-P12-A11-P1D14-M9-SIPool-noBile-rep1-day14</v>
      </c>
      <c r="B780" s="1" t="s">
        <v>376</v>
      </c>
      <c r="C780" s="3" t="s">
        <v>952</v>
      </c>
      <c r="D780" s="3" t="s">
        <v>1328</v>
      </c>
      <c r="E780" t="s">
        <v>20</v>
      </c>
      <c r="F780" t="s">
        <v>148</v>
      </c>
      <c r="G780" t="s">
        <v>48</v>
      </c>
      <c r="H780" t="str">
        <f t="shared" si="37"/>
        <v>11</v>
      </c>
      <c r="I780" t="str">
        <f t="shared" si="38"/>
        <v>A</v>
      </c>
      <c r="J780" t="s">
        <v>149</v>
      </c>
      <c r="K780" t="s">
        <v>24</v>
      </c>
      <c r="L780" t="s">
        <v>25</v>
      </c>
      <c r="M780" t="s">
        <v>49</v>
      </c>
      <c r="N780">
        <v>1</v>
      </c>
      <c r="O780">
        <v>14</v>
      </c>
      <c r="P780" t="s">
        <v>150</v>
      </c>
      <c r="Q780" t="s">
        <v>28</v>
      </c>
      <c r="R780" t="s">
        <v>28</v>
      </c>
      <c r="S780" t="s">
        <v>28</v>
      </c>
      <c r="T780" t="s">
        <v>28</v>
      </c>
      <c r="U780" t="s">
        <v>28</v>
      </c>
      <c r="V780" t="s">
        <v>28</v>
      </c>
      <c r="W780">
        <v>3</v>
      </c>
      <c r="X780" t="s">
        <v>147</v>
      </c>
    </row>
    <row r="781" spans="1:24" x14ac:dyDescent="0.2">
      <c r="A781" t="str">
        <f t="shared" si="36"/>
        <v>sample_novaseq-16S-C-A12-L3_SICap-P12-A12-P1D14-M9-Media-noBile-rep1-day14</v>
      </c>
      <c r="B781" s="1" t="s">
        <v>377</v>
      </c>
      <c r="C781" s="3" t="s">
        <v>953</v>
      </c>
      <c r="D781" s="3" t="s">
        <v>1328</v>
      </c>
      <c r="E781" t="s">
        <v>20</v>
      </c>
      <c r="F781" t="s">
        <v>148</v>
      </c>
      <c r="G781" t="s">
        <v>50</v>
      </c>
      <c r="H781" t="str">
        <f t="shared" si="37"/>
        <v>12</v>
      </c>
      <c r="I781" t="str">
        <f t="shared" si="38"/>
        <v>A</v>
      </c>
      <c r="J781" t="s">
        <v>149</v>
      </c>
      <c r="K781" t="s">
        <v>24</v>
      </c>
      <c r="L781" t="s">
        <v>25</v>
      </c>
      <c r="M781" t="s">
        <v>6</v>
      </c>
      <c r="N781">
        <v>1</v>
      </c>
      <c r="O781">
        <v>14</v>
      </c>
      <c r="P781" t="s">
        <v>150</v>
      </c>
      <c r="Q781" t="s">
        <v>28</v>
      </c>
      <c r="R781" t="s">
        <v>28</v>
      </c>
      <c r="S781" t="s">
        <v>28</v>
      </c>
      <c r="T781" t="s">
        <v>28</v>
      </c>
      <c r="U781" t="s">
        <v>28</v>
      </c>
      <c r="V781" t="s">
        <v>28</v>
      </c>
      <c r="W781">
        <v>3</v>
      </c>
      <c r="X781" t="s">
        <v>147</v>
      </c>
    </row>
    <row r="782" spans="1:24" x14ac:dyDescent="0.2">
      <c r="A782" t="str">
        <f t="shared" si="36"/>
        <v>sample_novaseq-16S-C-B01-L3_SICap-P12-B1-P1D14-EZ-RDM-C1R1-noBile-rep1-day14</v>
      </c>
      <c r="B782" s="1" t="s">
        <v>378</v>
      </c>
      <c r="C782" s="3" t="s">
        <v>954</v>
      </c>
      <c r="D782" s="3" t="s">
        <v>1328</v>
      </c>
      <c r="E782" t="s">
        <v>20</v>
      </c>
      <c r="F782" t="s">
        <v>148</v>
      </c>
      <c r="G782" t="s">
        <v>51</v>
      </c>
      <c r="H782" t="str">
        <f t="shared" si="37"/>
        <v>01</v>
      </c>
      <c r="I782" t="str">
        <f t="shared" si="38"/>
        <v>B</v>
      </c>
      <c r="J782" t="s">
        <v>149</v>
      </c>
      <c r="K782" t="s">
        <v>52</v>
      </c>
      <c r="L782" t="s">
        <v>25</v>
      </c>
      <c r="M782" t="s">
        <v>26</v>
      </c>
      <c r="N782">
        <v>1</v>
      </c>
      <c r="O782">
        <v>14</v>
      </c>
      <c r="P782" t="s">
        <v>150</v>
      </c>
      <c r="Q782" t="s">
        <v>28</v>
      </c>
      <c r="R782" t="s">
        <v>28</v>
      </c>
      <c r="S782" t="s">
        <v>28</v>
      </c>
      <c r="T782" t="s">
        <v>28</v>
      </c>
      <c r="U782" t="s">
        <v>28</v>
      </c>
      <c r="V782" t="s">
        <v>28</v>
      </c>
      <c r="W782">
        <v>3</v>
      </c>
      <c r="X782" t="s">
        <v>147</v>
      </c>
    </row>
    <row r="783" spans="1:24" x14ac:dyDescent="0.2">
      <c r="A783" t="str">
        <f t="shared" si="36"/>
        <v>sample_novaseq-16S-C-B02-L3_SICap-P12-B2-P1D14-EZ-RDM-C1R2-noBile-rep1-day14</v>
      </c>
      <c r="B783" s="1" t="s">
        <v>379</v>
      </c>
      <c r="C783" s="3" t="s">
        <v>955</v>
      </c>
      <c r="D783" s="3" t="s">
        <v>1328</v>
      </c>
      <c r="E783" t="s">
        <v>20</v>
      </c>
      <c r="F783" t="s">
        <v>148</v>
      </c>
      <c r="G783" t="s">
        <v>53</v>
      </c>
      <c r="H783" t="str">
        <f t="shared" si="37"/>
        <v>02</v>
      </c>
      <c r="I783" t="str">
        <f t="shared" si="38"/>
        <v>B</v>
      </c>
      <c r="J783" t="s">
        <v>149</v>
      </c>
      <c r="K783" t="s">
        <v>52</v>
      </c>
      <c r="L783" t="s">
        <v>25</v>
      </c>
      <c r="M783" t="s">
        <v>31</v>
      </c>
      <c r="N783">
        <v>1</v>
      </c>
      <c r="O783">
        <v>14</v>
      </c>
      <c r="P783" t="s">
        <v>150</v>
      </c>
      <c r="Q783" t="s">
        <v>28</v>
      </c>
      <c r="R783" t="s">
        <v>28</v>
      </c>
      <c r="S783" t="s">
        <v>28</v>
      </c>
      <c r="T783" t="s">
        <v>28</v>
      </c>
      <c r="U783" t="s">
        <v>28</v>
      </c>
      <c r="V783" t="s">
        <v>28</v>
      </c>
      <c r="W783">
        <v>3</v>
      </c>
      <c r="X783" t="s">
        <v>147</v>
      </c>
    </row>
    <row r="784" spans="1:24" x14ac:dyDescent="0.2">
      <c r="A784" t="str">
        <f t="shared" si="36"/>
        <v>sample_novaseq-16S-C-B03-L3_SICap-P12-B3-P1D14-EZ-RDM-C2R1-noBile-rep1-day14</v>
      </c>
      <c r="B784" s="1" t="s">
        <v>380</v>
      </c>
      <c r="C784" s="3" t="s">
        <v>956</v>
      </c>
      <c r="D784" s="3" t="s">
        <v>1328</v>
      </c>
      <c r="E784" t="s">
        <v>20</v>
      </c>
      <c r="F784" t="s">
        <v>148</v>
      </c>
      <c r="G784" t="s">
        <v>54</v>
      </c>
      <c r="H784" t="str">
        <f t="shared" si="37"/>
        <v>03</v>
      </c>
      <c r="I784" t="str">
        <f t="shared" si="38"/>
        <v>B</v>
      </c>
      <c r="J784" t="s">
        <v>149</v>
      </c>
      <c r="K784" t="s">
        <v>52</v>
      </c>
      <c r="L784" t="s">
        <v>25</v>
      </c>
      <c r="M784" t="s">
        <v>33</v>
      </c>
      <c r="N784">
        <v>1</v>
      </c>
      <c r="O784">
        <v>14</v>
      </c>
      <c r="P784" t="s">
        <v>150</v>
      </c>
      <c r="Q784" t="s">
        <v>28</v>
      </c>
      <c r="R784" t="s">
        <v>28</v>
      </c>
      <c r="S784" t="s">
        <v>28</v>
      </c>
      <c r="T784" t="s">
        <v>28</v>
      </c>
      <c r="U784" t="s">
        <v>28</v>
      </c>
      <c r="V784" t="s">
        <v>28</v>
      </c>
      <c r="W784">
        <v>3</v>
      </c>
      <c r="X784" t="s">
        <v>147</v>
      </c>
    </row>
    <row r="785" spans="1:24" x14ac:dyDescent="0.2">
      <c r="A785" t="str">
        <f t="shared" si="36"/>
        <v>sample_novaseq-16S-C-B04-L3_SICap-P12-B4-P1D14-EZ-RDM-C2R2-noBile-rep1-day14</v>
      </c>
      <c r="B785" s="1" t="s">
        <v>381</v>
      </c>
      <c r="C785" s="3" t="s">
        <v>957</v>
      </c>
      <c r="D785" s="3" t="s">
        <v>1328</v>
      </c>
      <c r="E785" t="s">
        <v>20</v>
      </c>
      <c r="F785" t="s">
        <v>148</v>
      </c>
      <c r="G785" t="s">
        <v>55</v>
      </c>
      <c r="H785" t="str">
        <f t="shared" si="37"/>
        <v>04</v>
      </c>
      <c r="I785" t="str">
        <f t="shared" si="38"/>
        <v>B</v>
      </c>
      <c r="J785" t="s">
        <v>149</v>
      </c>
      <c r="K785" t="s">
        <v>52</v>
      </c>
      <c r="L785" t="s">
        <v>25</v>
      </c>
      <c r="M785" t="s">
        <v>35</v>
      </c>
      <c r="N785">
        <v>1</v>
      </c>
      <c r="O785">
        <v>14</v>
      </c>
      <c r="P785" t="s">
        <v>150</v>
      </c>
      <c r="Q785" t="s">
        <v>28</v>
      </c>
      <c r="R785" t="s">
        <v>28</v>
      </c>
      <c r="S785" t="s">
        <v>28</v>
      </c>
      <c r="T785" t="s">
        <v>28</v>
      </c>
      <c r="U785" t="s">
        <v>28</v>
      </c>
      <c r="V785" t="s">
        <v>28</v>
      </c>
      <c r="W785">
        <v>3</v>
      </c>
      <c r="X785" t="s">
        <v>147</v>
      </c>
    </row>
    <row r="786" spans="1:24" x14ac:dyDescent="0.2">
      <c r="A786" t="str">
        <f t="shared" si="36"/>
        <v>sample_novaseq-16S-C-B05-L3_SICap-P12-B5-P1D14-EZ-RDM-C3R1-noBile-rep1-day14</v>
      </c>
      <c r="B786" s="1" t="s">
        <v>382</v>
      </c>
      <c r="C786" s="3" t="s">
        <v>958</v>
      </c>
      <c r="D786" s="3" t="s">
        <v>1328</v>
      </c>
      <c r="E786" t="s">
        <v>20</v>
      </c>
      <c r="F786" t="s">
        <v>148</v>
      </c>
      <c r="G786" t="s">
        <v>56</v>
      </c>
      <c r="H786" t="str">
        <f t="shared" si="37"/>
        <v>05</v>
      </c>
      <c r="I786" t="str">
        <f t="shared" si="38"/>
        <v>B</v>
      </c>
      <c r="J786" t="s">
        <v>149</v>
      </c>
      <c r="K786" t="s">
        <v>52</v>
      </c>
      <c r="L786" t="s">
        <v>25</v>
      </c>
      <c r="M786" t="s">
        <v>37</v>
      </c>
      <c r="N786">
        <v>1</v>
      </c>
      <c r="O786">
        <v>14</v>
      </c>
      <c r="P786" t="s">
        <v>150</v>
      </c>
      <c r="Q786" t="s">
        <v>28</v>
      </c>
      <c r="R786" t="s">
        <v>28</v>
      </c>
      <c r="S786" t="s">
        <v>28</v>
      </c>
      <c r="T786" t="s">
        <v>28</v>
      </c>
      <c r="U786" t="s">
        <v>28</v>
      </c>
      <c r="V786" t="s">
        <v>28</v>
      </c>
      <c r="W786">
        <v>3</v>
      </c>
      <c r="X786" t="s">
        <v>147</v>
      </c>
    </row>
    <row r="787" spans="1:24" x14ac:dyDescent="0.2">
      <c r="A787" t="str">
        <f t="shared" si="36"/>
        <v>sample_novaseq-16S-C-B06-L3_SICap-P12-B6-P1D14-EZ-RDM-C3R2-noBile-rep1-day14</v>
      </c>
      <c r="B787" s="1" t="s">
        <v>383</v>
      </c>
      <c r="C787" s="3" t="s">
        <v>959</v>
      </c>
      <c r="D787" s="3" t="s">
        <v>1328</v>
      </c>
      <c r="E787" t="s">
        <v>20</v>
      </c>
      <c r="F787" t="s">
        <v>148</v>
      </c>
      <c r="G787" t="s">
        <v>57</v>
      </c>
      <c r="H787" t="str">
        <f t="shared" si="37"/>
        <v>06</v>
      </c>
      <c r="I787" t="str">
        <f t="shared" si="38"/>
        <v>B</v>
      </c>
      <c r="J787" t="s">
        <v>149</v>
      </c>
      <c r="K787" t="s">
        <v>52</v>
      </c>
      <c r="L787" t="s">
        <v>25</v>
      </c>
      <c r="M787" t="s">
        <v>39</v>
      </c>
      <c r="N787">
        <v>1</v>
      </c>
      <c r="O787">
        <v>14</v>
      </c>
      <c r="P787" t="s">
        <v>150</v>
      </c>
      <c r="Q787" t="s">
        <v>28</v>
      </c>
      <c r="R787" t="s">
        <v>28</v>
      </c>
      <c r="S787" t="s">
        <v>28</v>
      </c>
      <c r="T787" t="s">
        <v>28</v>
      </c>
      <c r="U787" t="s">
        <v>28</v>
      </c>
      <c r="V787" t="s">
        <v>28</v>
      </c>
      <c r="W787">
        <v>3</v>
      </c>
      <c r="X787" t="s">
        <v>147</v>
      </c>
    </row>
    <row r="788" spans="1:24" x14ac:dyDescent="0.2">
      <c r="A788" t="str">
        <f t="shared" si="36"/>
        <v>sample_novaseq-16S-C-B07-L3_SICap-P12-B7-P1D14-EZ-RDM-C4R1-noBile-rep1-day14</v>
      </c>
      <c r="B788" s="1" t="s">
        <v>384</v>
      </c>
      <c r="C788" s="3" t="s">
        <v>960</v>
      </c>
      <c r="D788" s="3" t="s">
        <v>1328</v>
      </c>
      <c r="E788" t="s">
        <v>20</v>
      </c>
      <c r="F788" t="s">
        <v>148</v>
      </c>
      <c r="G788" t="s">
        <v>58</v>
      </c>
      <c r="H788" t="str">
        <f t="shared" si="37"/>
        <v>07</v>
      </c>
      <c r="I788" t="str">
        <f t="shared" si="38"/>
        <v>B</v>
      </c>
      <c r="J788" t="s">
        <v>149</v>
      </c>
      <c r="K788" t="s">
        <v>52</v>
      </c>
      <c r="L788" t="s">
        <v>25</v>
      </c>
      <c r="M788" t="s">
        <v>41</v>
      </c>
      <c r="N788">
        <v>1</v>
      </c>
      <c r="O788">
        <v>14</v>
      </c>
      <c r="P788" t="s">
        <v>150</v>
      </c>
      <c r="Q788" t="s">
        <v>28</v>
      </c>
      <c r="R788" t="s">
        <v>28</v>
      </c>
      <c r="S788" t="s">
        <v>28</v>
      </c>
      <c r="T788" t="s">
        <v>28</v>
      </c>
      <c r="U788" t="s">
        <v>28</v>
      </c>
      <c r="V788" t="s">
        <v>28</v>
      </c>
      <c r="W788">
        <v>3</v>
      </c>
      <c r="X788" t="s">
        <v>147</v>
      </c>
    </row>
    <row r="789" spans="1:24" x14ac:dyDescent="0.2">
      <c r="A789" t="str">
        <f t="shared" si="36"/>
        <v>sample_novaseq-16S-C-B08-L3_SICap-P12-B8-P1D14-EZ-RDM-C4R2-noBile-rep1-day14</v>
      </c>
      <c r="B789" s="1" t="s">
        <v>385</v>
      </c>
      <c r="C789" s="3" t="s">
        <v>961</v>
      </c>
      <c r="D789" s="3" t="s">
        <v>1328</v>
      </c>
      <c r="E789" t="s">
        <v>20</v>
      </c>
      <c r="F789" t="s">
        <v>148</v>
      </c>
      <c r="G789" t="s">
        <v>59</v>
      </c>
      <c r="H789" t="str">
        <f t="shared" si="37"/>
        <v>08</v>
      </c>
      <c r="I789" t="str">
        <f t="shared" si="38"/>
        <v>B</v>
      </c>
      <c r="J789" t="s">
        <v>149</v>
      </c>
      <c r="K789" t="s">
        <v>52</v>
      </c>
      <c r="L789" t="s">
        <v>25</v>
      </c>
      <c r="M789" t="s">
        <v>43</v>
      </c>
      <c r="N789">
        <v>1</v>
      </c>
      <c r="O789">
        <v>14</v>
      </c>
      <c r="P789" t="s">
        <v>150</v>
      </c>
      <c r="Q789" t="s">
        <v>28</v>
      </c>
      <c r="R789" t="s">
        <v>28</v>
      </c>
      <c r="S789" t="s">
        <v>28</v>
      </c>
      <c r="T789" t="s">
        <v>28</v>
      </c>
      <c r="U789" t="s">
        <v>28</v>
      </c>
      <c r="V789" t="s">
        <v>28</v>
      </c>
      <c r="W789">
        <v>3</v>
      </c>
      <c r="X789" t="s">
        <v>147</v>
      </c>
    </row>
    <row r="790" spans="1:24" x14ac:dyDescent="0.2">
      <c r="A790" t="str">
        <f t="shared" si="36"/>
        <v>sample_novaseq-16S-C-B09-L3_SICap-P12-B9-P1D14-EZ-RDM-S1R2-noBile-rep1-day14</v>
      </c>
      <c r="B790" s="1" t="s">
        <v>386</v>
      </c>
      <c r="C790" s="3" t="s">
        <v>962</v>
      </c>
      <c r="D790" s="3" t="s">
        <v>1328</v>
      </c>
      <c r="E790" t="s">
        <v>20</v>
      </c>
      <c r="F790" t="s">
        <v>148</v>
      </c>
      <c r="G790" t="s">
        <v>60</v>
      </c>
      <c r="H790" t="str">
        <f t="shared" si="37"/>
        <v>09</v>
      </c>
      <c r="I790" t="str">
        <f t="shared" si="38"/>
        <v>B</v>
      </c>
      <c r="J790" t="s">
        <v>149</v>
      </c>
      <c r="K790" t="s">
        <v>52</v>
      </c>
      <c r="L790" t="s">
        <v>25</v>
      </c>
      <c r="M790" t="s">
        <v>45</v>
      </c>
      <c r="N790">
        <v>1</v>
      </c>
      <c r="O790">
        <v>14</v>
      </c>
      <c r="P790" t="s">
        <v>150</v>
      </c>
      <c r="Q790" t="s">
        <v>28</v>
      </c>
      <c r="R790" t="s">
        <v>28</v>
      </c>
      <c r="S790" t="s">
        <v>28</v>
      </c>
      <c r="T790" t="s">
        <v>28</v>
      </c>
      <c r="U790" t="s">
        <v>28</v>
      </c>
      <c r="V790" t="s">
        <v>28</v>
      </c>
      <c r="W790">
        <v>3</v>
      </c>
      <c r="X790" t="s">
        <v>147</v>
      </c>
    </row>
    <row r="791" spans="1:24" x14ac:dyDescent="0.2">
      <c r="A791" t="str">
        <f t="shared" si="36"/>
        <v>sample_novaseq-16S-C-B10-L3_SICap-P12-B10-P1D14-EZ-RDM-StoolPool-noBile-rep1-day14</v>
      </c>
      <c r="B791" s="1" t="s">
        <v>387</v>
      </c>
      <c r="C791" s="3" t="s">
        <v>963</v>
      </c>
      <c r="D791" s="3" t="s">
        <v>1328</v>
      </c>
      <c r="E791" t="s">
        <v>20</v>
      </c>
      <c r="F791" t="s">
        <v>148</v>
      </c>
      <c r="G791" t="s">
        <v>61</v>
      </c>
      <c r="H791" t="str">
        <f t="shared" si="37"/>
        <v>10</v>
      </c>
      <c r="I791" t="str">
        <f t="shared" si="38"/>
        <v>B</v>
      </c>
      <c r="J791" t="s">
        <v>149</v>
      </c>
      <c r="K791" t="s">
        <v>52</v>
      </c>
      <c r="L791" t="s">
        <v>25</v>
      </c>
      <c r="M791" t="s">
        <v>47</v>
      </c>
      <c r="N791">
        <v>1</v>
      </c>
      <c r="O791">
        <v>14</v>
      </c>
      <c r="P791" t="s">
        <v>150</v>
      </c>
      <c r="Q791" t="s">
        <v>28</v>
      </c>
      <c r="R791" t="s">
        <v>28</v>
      </c>
      <c r="S791" t="s">
        <v>28</v>
      </c>
      <c r="T791" t="s">
        <v>28</v>
      </c>
      <c r="U791" t="s">
        <v>28</v>
      </c>
      <c r="V791" t="s">
        <v>28</v>
      </c>
      <c r="W791">
        <v>3</v>
      </c>
      <c r="X791" t="s">
        <v>147</v>
      </c>
    </row>
    <row r="792" spans="1:24" x14ac:dyDescent="0.2">
      <c r="A792" t="str">
        <f t="shared" si="36"/>
        <v>sample_novaseq-16S-C-B11-L3_SICap-P12-B11-P1D14-EZ-RDM-SIPool-noBile-rep1-day14</v>
      </c>
      <c r="B792" s="1" t="s">
        <v>388</v>
      </c>
      <c r="C792" s="3" t="s">
        <v>964</v>
      </c>
      <c r="D792" s="3" t="s">
        <v>1328</v>
      </c>
      <c r="E792" t="s">
        <v>20</v>
      </c>
      <c r="F792" t="s">
        <v>148</v>
      </c>
      <c r="G792" t="s">
        <v>62</v>
      </c>
      <c r="H792" t="str">
        <f t="shared" si="37"/>
        <v>11</v>
      </c>
      <c r="I792" t="str">
        <f t="shared" si="38"/>
        <v>B</v>
      </c>
      <c r="J792" t="s">
        <v>149</v>
      </c>
      <c r="K792" t="s">
        <v>52</v>
      </c>
      <c r="L792" t="s">
        <v>25</v>
      </c>
      <c r="M792" t="s">
        <v>49</v>
      </c>
      <c r="N792">
        <v>1</v>
      </c>
      <c r="O792">
        <v>14</v>
      </c>
      <c r="P792" t="s">
        <v>150</v>
      </c>
      <c r="Q792" t="s">
        <v>28</v>
      </c>
      <c r="R792" t="s">
        <v>28</v>
      </c>
      <c r="S792" t="s">
        <v>28</v>
      </c>
      <c r="T792" t="s">
        <v>28</v>
      </c>
      <c r="U792" t="s">
        <v>28</v>
      </c>
      <c r="V792" t="s">
        <v>28</v>
      </c>
      <c r="W792">
        <v>3</v>
      </c>
      <c r="X792" t="s">
        <v>147</v>
      </c>
    </row>
    <row r="793" spans="1:24" x14ac:dyDescent="0.2">
      <c r="A793" t="str">
        <f t="shared" si="36"/>
        <v>sample_novaseq-16S-C-B12-L3_SICap-P12-B12-P1D14-EZ-RDM-Media-noBile-rep1-day14</v>
      </c>
      <c r="B793" s="1" t="s">
        <v>389</v>
      </c>
      <c r="C793" s="3" t="s">
        <v>965</v>
      </c>
      <c r="D793" s="3" t="s">
        <v>1328</v>
      </c>
      <c r="E793" t="s">
        <v>20</v>
      </c>
      <c r="F793" t="s">
        <v>148</v>
      </c>
      <c r="G793" t="s">
        <v>63</v>
      </c>
      <c r="H793" t="str">
        <f t="shared" si="37"/>
        <v>12</v>
      </c>
      <c r="I793" t="str">
        <f t="shared" si="38"/>
        <v>B</v>
      </c>
      <c r="J793" t="s">
        <v>149</v>
      </c>
      <c r="K793" t="s">
        <v>52</v>
      </c>
      <c r="L793" t="s">
        <v>25</v>
      </c>
      <c r="M793" t="s">
        <v>6</v>
      </c>
      <c r="N793">
        <v>1</v>
      </c>
      <c r="O793">
        <v>14</v>
      </c>
      <c r="P793" t="s">
        <v>150</v>
      </c>
      <c r="Q793" t="s">
        <v>28</v>
      </c>
      <c r="R793" t="s">
        <v>28</v>
      </c>
      <c r="S793" t="s">
        <v>28</v>
      </c>
      <c r="T793" t="s">
        <v>28</v>
      </c>
      <c r="U793" t="s">
        <v>28</v>
      </c>
      <c r="V793" t="s">
        <v>28</v>
      </c>
      <c r="W793">
        <v>3</v>
      </c>
      <c r="X793" t="s">
        <v>147</v>
      </c>
    </row>
    <row r="794" spans="1:24" x14ac:dyDescent="0.2">
      <c r="A794" t="str">
        <f t="shared" si="36"/>
        <v>sample_novaseq-16S-C-C01-L3_SICap-P12-C1-P1D14-BHI-C1R1-noBile-rep1-day14</v>
      </c>
      <c r="B794" s="1" t="s">
        <v>390</v>
      </c>
      <c r="C794" s="3" t="s">
        <v>966</v>
      </c>
      <c r="D794" s="3" t="s">
        <v>1328</v>
      </c>
      <c r="E794" t="s">
        <v>20</v>
      </c>
      <c r="F794" t="s">
        <v>148</v>
      </c>
      <c r="G794" t="s">
        <v>64</v>
      </c>
      <c r="H794" t="str">
        <f t="shared" si="37"/>
        <v>01</v>
      </c>
      <c r="I794" t="str">
        <f t="shared" si="38"/>
        <v>C</v>
      </c>
      <c r="J794" t="s">
        <v>149</v>
      </c>
      <c r="K794" t="s">
        <v>65</v>
      </c>
      <c r="L794" t="s">
        <v>25</v>
      </c>
      <c r="M794" t="s">
        <v>26</v>
      </c>
      <c r="N794">
        <v>1</v>
      </c>
      <c r="O794">
        <v>14</v>
      </c>
      <c r="P794" t="s">
        <v>150</v>
      </c>
      <c r="Q794" t="s">
        <v>28</v>
      </c>
      <c r="R794" t="s">
        <v>28</v>
      </c>
      <c r="S794" t="s">
        <v>28</v>
      </c>
      <c r="T794" t="s">
        <v>28</v>
      </c>
      <c r="U794" t="s">
        <v>28</v>
      </c>
      <c r="V794" t="s">
        <v>28</v>
      </c>
      <c r="W794">
        <v>3</v>
      </c>
      <c r="X794" t="s">
        <v>147</v>
      </c>
    </row>
    <row r="795" spans="1:24" x14ac:dyDescent="0.2">
      <c r="A795" t="str">
        <f t="shared" si="36"/>
        <v>sample_novaseq-16S-C-C02-L3_SICap-P12-C2-P1D14-BHI-C1R2-noBile-rep1-day14</v>
      </c>
      <c r="B795" s="1" t="s">
        <v>391</v>
      </c>
      <c r="C795" s="3" t="s">
        <v>967</v>
      </c>
      <c r="D795" s="3" t="s">
        <v>1328</v>
      </c>
      <c r="E795" t="s">
        <v>20</v>
      </c>
      <c r="F795" t="s">
        <v>148</v>
      </c>
      <c r="G795" t="s">
        <v>66</v>
      </c>
      <c r="H795" t="str">
        <f t="shared" si="37"/>
        <v>02</v>
      </c>
      <c r="I795" t="str">
        <f t="shared" si="38"/>
        <v>C</v>
      </c>
      <c r="J795" t="s">
        <v>149</v>
      </c>
      <c r="K795" t="s">
        <v>65</v>
      </c>
      <c r="L795" t="s">
        <v>25</v>
      </c>
      <c r="M795" t="s">
        <v>31</v>
      </c>
      <c r="N795">
        <v>1</v>
      </c>
      <c r="O795">
        <v>14</v>
      </c>
      <c r="P795" t="s">
        <v>150</v>
      </c>
      <c r="Q795" t="s">
        <v>28</v>
      </c>
      <c r="R795" t="s">
        <v>28</v>
      </c>
      <c r="S795" t="s">
        <v>28</v>
      </c>
      <c r="T795" t="s">
        <v>28</v>
      </c>
      <c r="U795" t="s">
        <v>28</v>
      </c>
      <c r="V795" t="s">
        <v>28</v>
      </c>
      <c r="W795">
        <v>3</v>
      </c>
      <c r="X795" t="s">
        <v>147</v>
      </c>
    </row>
    <row r="796" spans="1:24" x14ac:dyDescent="0.2">
      <c r="A796" t="str">
        <f t="shared" si="36"/>
        <v>sample_novaseq-16S-C-C03-L3_SICap-P12-C3-P1D14-BHI-C2R1-noBile-rep1-day14</v>
      </c>
      <c r="B796" s="1" t="s">
        <v>392</v>
      </c>
      <c r="C796" s="3" t="s">
        <v>968</v>
      </c>
      <c r="D796" s="3" t="s">
        <v>1328</v>
      </c>
      <c r="E796" t="s">
        <v>20</v>
      </c>
      <c r="F796" t="s">
        <v>148</v>
      </c>
      <c r="G796" t="s">
        <v>67</v>
      </c>
      <c r="H796" t="str">
        <f t="shared" si="37"/>
        <v>03</v>
      </c>
      <c r="I796" t="str">
        <f t="shared" si="38"/>
        <v>C</v>
      </c>
      <c r="J796" t="s">
        <v>149</v>
      </c>
      <c r="K796" t="s">
        <v>65</v>
      </c>
      <c r="L796" t="s">
        <v>25</v>
      </c>
      <c r="M796" t="s">
        <v>33</v>
      </c>
      <c r="N796">
        <v>1</v>
      </c>
      <c r="O796">
        <v>14</v>
      </c>
      <c r="P796" t="s">
        <v>150</v>
      </c>
      <c r="Q796" t="s">
        <v>28</v>
      </c>
      <c r="R796" t="s">
        <v>28</v>
      </c>
      <c r="S796" t="s">
        <v>28</v>
      </c>
      <c r="T796" t="s">
        <v>28</v>
      </c>
      <c r="U796" t="s">
        <v>28</v>
      </c>
      <c r="V796" t="s">
        <v>28</v>
      </c>
      <c r="W796">
        <v>3</v>
      </c>
      <c r="X796" t="s">
        <v>147</v>
      </c>
    </row>
    <row r="797" spans="1:24" x14ac:dyDescent="0.2">
      <c r="A797" t="str">
        <f t="shared" si="36"/>
        <v>sample_novaseq-16S-C-C04-L3_SICap-P12-C4-P1D14-BHI-C2R2-noBile-rep1-day14</v>
      </c>
      <c r="B797" s="1" t="s">
        <v>393</v>
      </c>
      <c r="C797" s="3" t="s">
        <v>969</v>
      </c>
      <c r="D797" s="3" t="s">
        <v>1328</v>
      </c>
      <c r="E797" t="s">
        <v>20</v>
      </c>
      <c r="F797" t="s">
        <v>148</v>
      </c>
      <c r="G797" t="s">
        <v>68</v>
      </c>
      <c r="H797" t="str">
        <f t="shared" si="37"/>
        <v>04</v>
      </c>
      <c r="I797" t="str">
        <f t="shared" si="38"/>
        <v>C</v>
      </c>
      <c r="J797" t="s">
        <v>149</v>
      </c>
      <c r="K797" t="s">
        <v>65</v>
      </c>
      <c r="L797" t="s">
        <v>25</v>
      </c>
      <c r="M797" t="s">
        <v>35</v>
      </c>
      <c r="N797">
        <v>1</v>
      </c>
      <c r="O797">
        <v>14</v>
      </c>
      <c r="P797" t="s">
        <v>150</v>
      </c>
      <c r="Q797" t="s">
        <v>28</v>
      </c>
      <c r="R797" t="s">
        <v>28</v>
      </c>
      <c r="S797" t="s">
        <v>28</v>
      </c>
      <c r="T797" t="s">
        <v>28</v>
      </c>
      <c r="U797" t="s">
        <v>28</v>
      </c>
      <c r="V797" t="s">
        <v>28</v>
      </c>
      <c r="W797">
        <v>3</v>
      </c>
      <c r="X797" t="s">
        <v>147</v>
      </c>
    </row>
    <row r="798" spans="1:24" x14ac:dyDescent="0.2">
      <c r="A798" t="str">
        <f t="shared" si="36"/>
        <v>sample_novaseq-16S-C-C05-L3_SICap-P12-C5-P1D14-BHI-C3R1-noBile-rep1-day14</v>
      </c>
      <c r="B798" s="1" t="s">
        <v>394</v>
      </c>
      <c r="C798" s="3" t="s">
        <v>970</v>
      </c>
      <c r="D798" s="3" t="s">
        <v>1328</v>
      </c>
      <c r="E798" t="s">
        <v>20</v>
      </c>
      <c r="F798" t="s">
        <v>148</v>
      </c>
      <c r="G798" t="s">
        <v>69</v>
      </c>
      <c r="H798" t="str">
        <f t="shared" si="37"/>
        <v>05</v>
      </c>
      <c r="I798" t="str">
        <f t="shared" si="38"/>
        <v>C</v>
      </c>
      <c r="J798" t="s">
        <v>149</v>
      </c>
      <c r="K798" t="s">
        <v>65</v>
      </c>
      <c r="L798" t="s">
        <v>25</v>
      </c>
      <c r="M798" t="s">
        <v>37</v>
      </c>
      <c r="N798">
        <v>1</v>
      </c>
      <c r="O798">
        <v>14</v>
      </c>
      <c r="P798" t="s">
        <v>150</v>
      </c>
      <c r="Q798" t="s">
        <v>28</v>
      </c>
      <c r="R798" t="s">
        <v>28</v>
      </c>
      <c r="S798" t="s">
        <v>28</v>
      </c>
      <c r="T798" t="s">
        <v>28</v>
      </c>
      <c r="U798" t="s">
        <v>28</v>
      </c>
      <c r="V798" t="s">
        <v>28</v>
      </c>
      <c r="W798">
        <v>3</v>
      </c>
      <c r="X798" t="s">
        <v>147</v>
      </c>
    </row>
    <row r="799" spans="1:24" x14ac:dyDescent="0.2">
      <c r="A799" t="str">
        <f t="shared" si="36"/>
        <v>sample_novaseq-16S-C-C06-L3_SICap-P12-C6-P1D14-BHI-C3R2-noBile-rep1-day14</v>
      </c>
      <c r="B799" s="1" t="s">
        <v>395</v>
      </c>
      <c r="C799" s="3" t="s">
        <v>971</v>
      </c>
      <c r="D799" s="3" t="s">
        <v>1328</v>
      </c>
      <c r="E799" t="s">
        <v>20</v>
      </c>
      <c r="F799" t="s">
        <v>148</v>
      </c>
      <c r="G799" t="s">
        <v>70</v>
      </c>
      <c r="H799" t="str">
        <f t="shared" si="37"/>
        <v>06</v>
      </c>
      <c r="I799" t="str">
        <f t="shared" si="38"/>
        <v>C</v>
      </c>
      <c r="J799" t="s">
        <v>149</v>
      </c>
      <c r="K799" t="s">
        <v>65</v>
      </c>
      <c r="L799" t="s">
        <v>25</v>
      </c>
      <c r="M799" t="s">
        <v>39</v>
      </c>
      <c r="N799">
        <v>1</v>
      </c>
      <c r="O799">
        <v>14</v>
      </c>
      <c r="P799" t="s">
        <v>150</v>
      </c>
      <c r="Q799" t="s">
        <v>28</v>
      </c>
      <c r="R799" t="s">
        <v>28</v>
      </c>
      <c r="S799" t="s">
        <v>28</v>
      </c>
      <c r="T799" t="s">
        <v>28</v>
      </c>
      <c r="U799" t="s">
        <v>28</v>
      </c>
      <c r="V799" t="s">
        <v>28</v>
      </c>
      <c r="W799">
        <v>3</v>
      </c>
      <c r="X799" t="s">
        <v>147</v>
      </c>
    </row>
    <row r="800" spans="1:24" x14ac:dyDescent="0.2">
      <c r="A800" t="str">
        <f t="shared" si="36"/>
        <v>sample_novaseq-16S-C-C07-L3_SICap-P12-C7-P1D14-BHI-C4R1-noBile-rep1-day14</v>
      </c>
      <c r="B800" s="1" t="s">
        <v>396</v>
      </c>
      <c r="C800" s="3" t="s">
        <v>972</v>
      </c>
      <c r="D800" s="3" t="s">
        <v>1328</v>
      </c>
      <c r="E800" t="s">
        <v>20</v>
      </c>
      <c r="F800" t="s">
        <v>148</v>
      </c>
      <c r="G800" t="s">
        <v>71</v>
      </c>
      <c r="H800" t="str">
        <f t="shared" si="37"/>
        <v>07</v>
      </c>
      <c r="I800" t="str">
        <f t="shared" si="38"/>
        <v>C</v>
      </c>
      <c r="J800" t="s">
        <v>149</v>
      </c>
      <c r="K800" t="s">
        <v>65</v>
      </c>
      <c r="L800" t="s">
        <v>25</v>
      </c>
      <c r="M800" t="s">
        <v>41</v>
      </c>
      <c r="N800">
        <v>1</v>
      </c>
      <c r="O800">
        <v>14</v>
      </c>
      <c r="P800" t="s">
        <v>150</v>
      </c>
      <c r="Q800" t="s">
        <v>28</v>
      </c>
      <c r="R800" t="s">
        <v>28</v>
      </c>
      <c r="S800" t="s">
        <v>28</v>
      </c>
      <c r="T800" t="s">
        <v>28</v>
      </c>
      <c r="U800" t="s">
        <v>28</v>
      </c>
      <c r="V800" t="s">
        <v>28</v>
      </c>
      <c r="W800">
        <v>3</v>
      </c>
      <c r="X800" t="s">
        <v>147</v>
      </c>
    </row>
    <row r="801" spans="1:24" x14ac:dyDescent="0.2">
      <c r="A801" t="str">
        <f t="shared" si="36"/>
        <v>sample_novaseq-16S-C-C08-L3_SICap-P12-C8-P1D14-BHI-C4R2-noBile-rep1-day14</v>
      </c>
      <c r="B801" s="1" t="s">
        <v>397</v>
      </c>
      <c r="C801" s="3" t="s">
        <v>973</v>
      </c>
      <c r="D801" s="3" t="s">
        <v>1328</v>
      </c>
      <c r="E801" t="s">
        <v>20</v>
      </c>
      <c r="F801" t="s">
        <v>148</v>
      </c>
      <c r="G801" t="s">
        <v>72</v>
      </c>
      <c r="H801" t="str">
        <f t="shared" si="37"/>
        <v>08</v>
      </c>
      <c r="I801" t="str">
        <f t="shared" si="38"/>
        <v>C</v>
      </c>
      <c r="J801" t="s">
        <v>149</v>
      </c>
      <c r="K801" t="s">
        <v>65</v>
      </c>
      <c r="L801" t="s">
        <v>25</v>
      </c>
      <c r="M801" t="s">
        <v>43</v>
      </c>
      <c r="N801">
        <v>1</v>
      </c>
      <c r="O801">
        <v>14</v>
      </c>
      <c r="P801" t="s">
        <v>150</v>
      </c>
      <c r="Q801" t="s">
        <v>28</v>
      </c>
      <c r="R801" t="s">
        <v>28</v>
      </c>
      <c r="S801" t="s">
        <v>28</v>
      </c>
      <c r="T801" t="s">
        <v>28</v>
      </c>
      <c r="U801" t="s">
        <v>28</v>
      </c>
      <c r="V801" t="s">
        <v>28</v>
      </c>
      <c r="W801">
        <v>3</v>
      </c>
      <c r="X801" t="s">
        <v>147</v>
      </c>
    </row>
    <row r="802" spans="1:24" x14ac:dyDescent="0.2">
      <c r="A802" t="str">
        <f t="shared" si="36"/>
        <v>sample_novaseq-16S-C-C09-L3_SICap-P12-C9-P1D14-BHI-S1R2-noBile-rep1-day14</v>
      </c>
      <c r="B802" s="1" t="s">
        <v>398</v>
      </c>
      <c r="C802" s="3" t="s">
        <v>974</v>
      </c>
      <c r="D802" s="3" t="s">
        <v>1328</v>
      </c>
      <c r="E802" t="s">
        <v>20</v>
      </c>
      <c r="F802" t="s">
        <v>148</v>
      </c>
      <c r="G802" t="s">
        <v>73</v>
      </c>
      <c r="H802" t="str">
        <f t="shared" si="37"/>
        <v>09</v>
      </c>
      <c r="I802" t="str">
        <f t="shared" si="38"/>
        <v>C</v>
      </c>
      <c r="J802" t="s">
        <v>149</v>
      </c>
      <c r="K802" t="s">
        <v>65</v>
      </c>
      <c r="L802" t="s">
        <v>25</v>
      </c>
      <c r="M802" t="s">
        <v>45</v>
      </c>
      <c r="N802">
        <v>1</v>
      </c>
      <c r="O802">
        <v>14</v>
      </c>
      <c r="P802" t="s">
        <v>150</v>
      </c>
      <c r="Q802" t="s">
        <v>28</v>
      </c>
      <c r="R802" t="s">
        <v>28</v>
      </c>
      <c r="S802" t="s">
        <v>28</v>
      </c>
      <c r="T802" t="s">
        <v>28</v>
      </c>
      <c r="U802" t="s">
        <v>28</v>
      </c>
      <c r="V802" t="s">
        <v>28</v>
      </c>
      <c r="W802">
        <v>3</v>
      </c>
      <c r="X802" t="s">
        <v>147</v>
      </c>
    </row>
    <row r="803" spans="1:24" x14ac:dyDescent="0.2">
      <c r="A803" t="str">
        <f t="shared" si="36"/>
        <v>sample_novaseq-16S-C-C10-L3_SICap-P12-C10-P1D14-BHI-StoolPool-noBile-rep1-day14</v>
      </c>
      <c r="B803" s="1" t="s">
        <v>399</v>
      </c>
      <c r="C803" s="3" t="s">
        <v>975</v>
      </c>
      <c r="D803" s="3" t="s">
        <v>1328</v>
      </c>
      <c r="E803" t="s">
        <v>20</v>
      </c>
      <c r="F803" t="s">
        <v>148</v>
      </c>
      <c r="G803" t="s">
        <v>74</v>
      </c>
      <c r="H803" t="str">
        <f t="shared" si="37"/>
        <v>10</v>
      </c>
      <c r="I803" t="str">
        <f t="shared" si="38"/>
        <v>C</v>
      </c>
      <c r="J803" t="s">
        <v>149</v>
      </c>
      <c r="K803" t="s">
        <v>65</v>
      </c>
      <c r="L803" t="s">
        <v>25</v>
      </c>
      <c r="M803" t="s">
        <v>47</v>
      </c>
      <c r="N803">
        <v>1</v>
      </c>
      <c r="O803">
        <v>14</v>
      </c>
      <c r="P803" t="s">
        <v>150</v>
      </c>
      <c r="Q803" t="s">
        <v>28</v>
      </c>
      <c r="R803" t="s">
        <v>28</v>
      </c>
      <c r="S803" t="s">
        <v>28</v>
      </c>
      <c r="T803" t="s">
        <v>28</v>
      </c>
      <c r="U803" t="s">
        <v>28</v>
      </c>
      <c r="V803" t="s">
        <v>28</v>
      </c>
      <c r="W803">
        <v>3</v>
      </c>
      <c r="X803" t="s">
        <v>147</v>
      </c>
    </row>
    <row r="804" spans="1:24" x14ac:dyDescent="0.2">
      <c r="A804" t="str">
        <f t="shared" si="36"/>
        <v>sample_novaseq-16S-C-C11-L3_SICap-P12-C11-P1D14-BHI-SIPool-noBile-rep1-day14</v>
      </c>
      <c r="B804" s="1" t="s">
        <v>400</v>
      </c>
      <c r="C804" s="3" t="s">
        <v>976</v>
      </c>
      <c r="D804" s="3" t="s">
        <v>1328</v>
      </c>
      <c r="E804" t="s">
        <v>20</v>
      </c>
      <c r="F804" t="s">
        <v>148</v>
      </c>
      <c r="G804" t="s">
        <v>75</v>
      </c>
      <c r="H804" t="str">
        <f t="shared" si="37"/>
        <v>11</v>
      </c>
      <c r="I804" t="str">
        <f t="shared" si="38"/>
        <v>C</v>
      </c>
      <c r="J804" t="s">
        <v>149</v>
      </c>
      <c r="K804" t="s">
        <v>65</v>
      </c>
      <c r="L804" t="s">
        <v>25</v>
      </c>
      <c r="M804" t="s">
        <v>49</v>
      </c>
      <c r="N804">
        <v>1</v>
      </c>
      <c r="O804">
        <v>14</v>
      </c>
      <c r="P804" t="s">
        <v>150</v>
      </c>
      <c r="Q804" t="s">
        <v>28</v>
      </c>
      <c r="R804" t="s">
        <v>28</v>
      </c>
      <c r="S804" t="s">
        <v>28</v>
      </c>
      <c r="T804" t="s">
        <v>28</v>
      </c>
      <c r="U804" t="s">
        <v>28</v>
      </c>
      <c r="V804" t="s">
        <v>28</v>
      </c>
      <c r="W804">
        <v>3</v>
      </c>
      <c r="X804" t="s">
        <v>147</v>
      </c>
    </row>
    <row r="805" spans="1:24" x14ac:dyDescent="0.2">
      <c r="A805" t="str">
        <f t="shared" si="36"/>
        <v>sample_novaseq-16S-C-C12-L3_SICap-P12-C12-P1D14-BHI-Media-noBile-rep1-day14</v>
      </c>
      <c r="B805" s="1" t="s">
        <v>401</v>
      </c>
      <c r="C805" s="3" t="s">
        <v>977</v>
      </c>
      <c r="D805" s="3" t="s">
        <v>1328</v>
      </c>
      <c r="E805" t="s">
        <v>20</v>
      </c>
      <c r="F805" t="s">
        <v>148</v>
      </c>
      <c r="G805" t="s">
        <v>76</v>
      </c>
      <c r="H805" t="str">
        <f t="shared" si="37"/>
        <v>12</v>
      </c>
      <c r="I805" t="str">
        <f t="shared" si="38"/>
        <v>C</v>
      </c>
      <c r="J805" t="s">
        <v>149</v>
      </c>
      <c r="K805" t="s">
        <v>65</v>
      </c>
      <c r="L805" t="s">
        <v>25</v>
      </c>
      <c r="M805" t="s">
        <v>6</v>
      </c>
      <c r="N805">
        <v>1</v>
      </c>
      <c r="O805">
        <v>14</v>
      </c>
      <c r="P805" t="s">
        <v>150</v>
      </c>
      <c r="Q805" t="s">
        <v>28</v>
      </c>
      <c r="R805" t="s">
        <v>28</v>
      </c>
      <c r="S805" t="s">
        <v>28</v>
      </c>
      <c r="T805" t="s">
        <v>28</v>
      </c>
      <c r="U805" t="s">
        <v>28</v>
      </c>
      <c r="V805" t="s">
        <v>28</v>
      </c>
      <c r="W805">
        <v>3</v>
      </c>
      <c r="X805" t="s">
        <v>147</v>
      </c>
    </row>
    <row r="806" spans="1:24" x14ac:dyDescent="0.2">
      <c r="A806" t="str">
        <f t="shared" si="36"/>
        <v>sample_novaseq-16S-C-D01-L3_SICap-P12-D1-P1D14-GAM-C1R1-noBile-rep1-day14</v>
      </c>
      <c r="B806" s="1" t="s">
        <v>402</v>
      </c>
      <c r="C806" s="3" t="s">
        <v>978</v>
      </c>
      <c r="D806" s="3" t="s">
        <v>1328</v>
      </c>
      <c r="E806" t="s">
        <v>20</v>
      </c>
      <c r="F806" t="s">
        <v>148</v>
      </c>
      <c r="G806" t="s">
        <v>77</v>
      </c>
      <c r="H806" t="str">
        <f t="shared" si="37"/>
        <v>01</v>
      </c>
      <c r="I806" t="str">
        <f t="shared" si="38"/>
        <v>D</v>
      </c>
      <c r="J806" t="s">
        <v>149</v>
      </c>
      <c r="K806" t="s">
        <v>78</v>
      </c>
      <c r="L806" t="s">
        <v>25</v>
      </c>
      <c r="M806" t="s">
        <v>26</v>
      </c>
      <c r="N806">
        <v>1</v>
      </c>
      <c r="O806">
        <v>14</v>
      </c>
      <c r="P806" t="s">
        <v>150</v>
      </c>
      <c r="Q806" t="s">
        <v>28</v>
      </c>
      <c r="R806" t="s">
        <v>28</v>
      </c>
      <c r="S806" t="s">
        <v>28</v>
      </c>
      <c r="T806" t="s">
        <v>28</v>
      </c>
      <c r="U806" t="s">
        <v>28</v>
      </c>
      <c r="V806" t="s">
        <v>28</v>
      </c>
      <c r="W806">
        <v>3</v>
      </c>
      <c r="X806" t="s">
        <v>147</v>
      </c>
    </row>
    <row r="807" spans="1:24" x14ac:dyDescent="0.2">
      <c r="A807" t="str">
        <f t="shared" si="36"/>
        <v>sample_novaseq-16S-C-D02-L3_SICap-P12-D2-P1D14-GAM-C1R2-noBile-rep1-day14</v>
      </c>
      <c r="B807" s="1" t="s">
        <v>403</v>
      </c>
      <c r="C807" s="3" t="s">
        <v>979</v>
      </c>
      <c r="D807" s="3" t="s">
        <v>1328</v>
      </c>
      <c r="E807" t="s">
        <v>20</v>
      </c>
      <c r="F807" t="s">
        <v>148</v>
      </c>
      <c r="G807" t="s">
        <v>79</v>
      </c>
      <c r="H807" t="str">
        <f t="shared" si="37"/>
        <v>02</v>
      </c>
      <c r="I807" t="str">
        <f t="shared" si="38"/>
        <v>D</v>
      </c>
      <c r="J807" t="s">
        <v>149</v>
      </c>
      <c r="K807" t="s">
        <v>78</v>
      </c>
      <c r="L807" t="s">
        <v>25</v>
      </c>
      <c r="M807" t="s">
        <v>31</v>
      </c>
      <c r="N807">
        <v>1</v>
      </c>
      <c r="O807">
        <v>14</v>
      </c>
      <c r="P807" t="s">
        <v>150</v>
      </c>
      <c r="Q807" t="s">
        <v>28</v>
      </c>
      <c r="R807" t="s">
        <v>28</v>
      </c>
      <c r="S807" t="s">
        <v>28</v>
      </c>
      <c r="T807" t="s">
        <v>28</v>
      </c>
      <c r="U807" t="s">
        <v>28</v>
      </c>
      <c r="V807" t="s">
        <v>28</v>
      </c>
      <c r="W807">
        <v>3</v>
      </c>
      <c r="X807" t="s">
        <v>147</v>
      </c>
    </row>
    <row r="808" spans="1:24" x14ac:dyDescent="0.2">
      <c r="A808" t="str">
        <f t="shared" si="36"/>
        <v>sample_novaseq-16S-C-D03-L3_SICap-P12-D3-P1D14-GAM-C2R1-noBile-rep1-day14</v>
      </c>
      <c r="B808" s="1" t="s">
        <v>404</v>
      </c>
      <c r="C808" s="3" t="s">
        <v>980</v>
      </c>
      <c r="D808" s="3" t="s">
        <v>1328</v>
      </c>
      <c r="E808" t="s">
        <v>20</v>
      </c>
      <c r="F808" t="s">
        <v>148</v>
      </c>
      <c r="G808" t="s">
        <v>80</v>
      </c>
      <c r="H808" t="str">
        <f t="shared" si="37"/>
        <v>03</v>
      </c>
      <c r="I808" t="str">
        <f t="shared" si="38"/>
        <v>D</v>
      </c>
      <c r="J808" t="s">
        <v>149</v>
      </c>
      <c r="K808" t="s">
        <v>78</v>
      </c>
      <c r="L808" t="s">
        <v>25</v>
      </c>
      <c r="M808" t="s">
        <v>33</v>
      </c>
      <c r="N808">
        <v>1</v>
      </c>
      <c r="O808">
        <v>14</v>
      </c>
      <c r="P808" t="s">
        <v>150</v>
      </c>
      <c r="Q808" t="s">
        <v>28</v>
      </c>
      <c r="R808" t="s">
        <v>28</v>
      </c>
      <c r="S808" t="s">
        <v>28</v>
      </c>
      <c r="T808" t="s">
        <v>28</v>
      </c>
      <c r="U808" t="s">
        <v>28</v>
      </c>
      <c r="V808" t="s">
        <v>28</v>
      </c>
      <c r="W808">
        <v>3</v>
      </c>
      <c r="X808" t="s">
        <v>147</v>
      </c>
    </row>
    <row r="809" spans="1:24" x14ac:dyDescent="0.2">
      <c r="A809" t="str">
        <f t="shared" si="36"/>
        <v>sample_novaseq-16S-C-D04-L3_SICap-P12-D4-P1D14-GAM-C2R2-noBile-rep1-day14</v>
      </c>
      <c r="B809" s="1" t="s">
        <v>405</v>
      </c>
      <c r="C809" s="3" t="s">
        <v>981</v>
      </c>
      <c r="D809" s="3" t="s">
        <v>1328</v>
      </c>
      <c r="E809" t="s">
        <v>20</v>
      </c>
      <c r="F809" t="s">
        <v>148</v>
      </c>
      <c r="G809" t="s">
        <v>81</v>
      </c>
      <c r="H809" t="str">
        <f t="shared" si="37"/>
        <v>04</v>
      </c>
      <c r="I809" t="str">
        <f t="shared" si="38"/>
        <v>D</v>
      </c>
      <c r="J809" t="s">
        <v>149</v>
      </c>
      <c r="K809" t="s">
        <v>78</v>
      </c>
      <c r="L809" t="s">
        <v>25</v>
      </c>
      <c r="M809" t="s">
        <v>35</v>
      </c>
      <c r="N809">
        <v>1</v>
      </c>
      <c r="O809">
        <v>14</v>
      </c>
      <c r="P809" t="s">
        <v>150</v>
      </c>
      <c r="Q809" t="s">
        <v>28</v>
      </c>
      <c r="R809" t="s">
        <v>28</v>
      </c>
      <c r="S809" t="s">
        <v>28</v>
      </c>
      <c r="T809" t="s">
        <v>28</v>
      </c>
      <c r="U809" t="s">
        <v>28</v>
      </c>
      <c r="V809" t="s">
        <v>28</v>
      </c>
      <c r="W809">
        <v>3</v>
      </c>
      <c r="X809" t="s">
        <v>147</v>
      </c>
    </row>
    <row r="810" spans="1:24" x14ac:dyDescent="0.2">
      <c r="A810" t="str">
        <f t="shared" si="36"/>
        <v>sample_novaseq-16S-C-D05-L3_SICap-P12-D5-P1D14-GAM-C3R1-noBile-rep1-day14</v>
      </c>
      <c r="B810" s="1" t="s">
        <v>406</v>
      </c>
      <c r="C810" s="3" t="s">
        <v>982</v>
      </c>
      <c r="D810" s="3" t="s">
        <v>1328</v>
      </c>
      <c r="E810" t="s">
        <v>20</v>
      </c>
      <c r="F810" t="s">
        <v>148</v>
      </c>
      <c r="G810" t="s">
        <v>82</v>
      </c>
      <c r="H810" t="str">
        <f t="shared" si="37"/>
        <v>05</v>
      </c>
      <c r="I810" t="str">
        <f t="shared" si="38"/>
        <v>D</v>
      </c>
      <c r="J810" t="s">
        <v>149</v>
      </c>
      <c r="K810" t="s">
        <v>78</v>
      </c>
      <c r="L810" t="s">
        <v>25</v>
      </c>
      <c r="M810" t="s">
        <v>37</v>
      </c>
      <c r="N810">
        <v>1</v>
      </c>
      <c r="O810">
        <v>14</v>
      </c>
      <c r="P810" t="s">
        <v>150</v>
      </c>
      <c r="Q810" t="s">
        <v>28</v>
      </c>
      <c r="R810" t="s">
        <v>28</v>
      </c>
      <c r="S810" t="s">
        <v>28</v>
      </c>
      <c r="T810" t="s">
        <v>28</v>
      </c>
      <c r="U810" t="s">
        <v>28</v>
      </c>
      <c r="V810" t="s">
        <v>28</v>
      </c>
      <c r="W810">
        <v>3</v>
      </c>
      <c r="X810" t="s">
        <v>147</v>
      </c>
    </row>
    <row r="811" spans="1:24" x14ac:dyDescent="0.2">
      <c r="A811" t="str">
        <f t="shared" si="36"/>
        <v>sample_novaseq-16S-C-D06-L3_SICap-P12-D6-P1D14-GAM-C3R2-noBile-rep1-day14</v>
      </c>
      <c r="B811" s="1" t="s">
        <v>407</v>
      </c>
      <c r="C811" s="3" t="s">
        <v>983</v>
      </c>
      <c r="D811" s="3" t="s">
        <v>1328</v>
      </c>
      <c r="E811" t="s">
        <v>20</v>
      </c>
      <c r="F811" t="s">
        <v>148</v>
      </c>
      <c r="G811" t="s">
        <v>83</v>
      </c>
      <c r="H811" t="str">
        <f t="shared" si="37"/>
        <v>06</v>
      </c>
      <c r="I811" t="str">
        <f t="shared" si="38"/>
        <v>D</v>
      </c>
      <c r="J811" t="s">
        <v>149</v>
      </c>
      <c r="K811" t="s">
        <v>78</v>
      </c>
      <c r="L811" t="s">
        <v>25</v>
      </c>
      <c r="M811" t="s">
        <v>39</v>
      </c>
      <c r="N811">
        <v>1</v>
      </c>
      <c r="O811">
        <v>14</v>
      </c>
      <c r="P811" t="s">
        <v>150</v>
      </c>
      <c r="Q811" t="s">
        <v>28</v>
      </c>
      <c r="R811" t="s">
        <v>28</v>
      </c>
      <c r="S811" t="s">
        <v>28</v>
      </c>
      <c r="T811" t="s">
        <v>28</v>
      </c>
      <c r="U811" t="s">
        <v>28</v>
      </c>
      <c r="V811" t="s">
        <v>28</v>
      </c>
      <c r="W811">
        <v>3</v>
      </c>
      <c r="X811" t="s">
        <v>147</v>
      </c>
    </row>
    <row r="812" spans="1:24" x14ac:dyDescent="0.2">
      <c r="A812" t="str">
        <f t="shared" si="36"/>
        <v>sample_novaseq-16S-C-D07-L3_SICap-P12-D7-P1D14-GAM-C4R1-noBile-rep1-day14</v>
      </c>
      <c r="B812" s="1" t="s">
        <v>408</v>
      </c>
      <c r="C812" s="3" t="s">
        <v>984</v>
      </c>
      <c r="D812" s="3" t="s">
        <v>1328</v>
      </c>
      <c r="E812" t="s">
        <v>20</v>
      </c>
      <c r="F812" t="s">
        <v>148</v>
      </c>
      <c r="G812" t="s">
        <v>84</v>
      </c>
      <c r="H812" t="str">
        <f t="shared" si="37"/>
        <v>07</v>
      </c>
      <c r="I812" t="str">
        <f t="shared" si="38"/>
        <v>D</v>
      </c>
      <c r="J812" t="s">
        <v>149</v>
      </c>
      <c r="K812" t="s">
        <v>78</v>
      </c>
      <c r="L812" t="s">
        <v>25</v>
      </c>
      <c r="M812" t="s">
        <v>41</v>
      </c>
      <c r="N812">
        <v>1</v>
      </c>
      <c r="O812">
        <v>14</v>
      </c>
      <c r="P812" t="s">
        <v>150</v>
      </c>
      <c r="Q812" t="s">
        <v>28</v>
      </c>
      <c r="R812" t="s">
        <v>28</v>
      </c>
      <c r="S812" t="s">
        <v>28</v>
      </c>
      <c r="T812" t="s">
        <v>28</v>
      </c>
      <c r="U812" t="s">
        <v>28</v>
      </c>
      <c r="V812" t="s">
        <v>28</v>
      </c>
      <c r="W812">
        <v>3</v>
      </c>
      <c r="X812" t="s">
        <v>147</v>
      </c>
    </row>
    <row r="813" spans="1:24" x14ac:dyDescent="0.2">
      <c r="A813" t="str">
        <f t="shared" si="36"/>
        <v>sample_novaseq-16S-C-D08-L3_SICap-P12-D8-P1D14-GAM-C4R2-noBile-rep1-day14</v>
      </c>
      <c r="B813" s="1" t="s">
        <v>409</v>
      </c>
      <c r="C813" s="3" t="s">
        <v>985</v>
      </c>
      <c r="D813" s="3" t="s">
        <v>1328</v>
      </c>
      <c r="E813" t="s">
        <v>20</v>
      </c>
      <c r="F813" t="s">
        <v>148</v>
      </c>
      <c r="G813" t="s">
        <v>85</v>
      </c>
      <c r="H813" t="str">
        <f t="shared" si="37"/>
        <v>08</v>
      </c>
      <c r="I813" t="str">
        <f t="shared" si="38"/>
        <v>D</v>
      </c>
      <c r="J813" t="s">
        <v>149</v>
      </c>
      <c r="K813" t="s">
        <v>78</v>
      </c>
      <c r="L813" t="s">
        <v>25</v>
      </c>
      <c r="M813" t="s">
        <v>43</v>
      </c>
      <c r="N813">
        <v>1</v>
      </c>
      <c r="O813">
        <v>14</v>
      </c>
      <c r="P813" t="s">
        <v>150</v>
      </c>
      <c r="Q813" t="s">
        <v>28</v>
      </c>
      <c r="R813" t="s">
        <v>28</v>
      </c>
      <c r="S813" t="s">
        <v>28</v>
      </c>
      <c r="T813" t="s">
        <v>28</v>
      </c>
      <c r="U813" t="s">
        <v>28</v>
      </c>
      <c r="V813" t="s">
        <v>28</v>
      </c>
      <c r="W813">
        <v>3</v>
      </c>
      <c r="X813" t="s">
        <v>147</v>
      </c>
    </row>
    <row r="814" spans="1:24" x14ac:dyDescent="0.2">
      <c r="A814" t="str">
        <f t="shared" si="36"/>
        <v>sample_novaseq-16S-C-D09-L3_SICap-P12-D9-P1D14-GAM-S1R2-noBile-rep1-day14</v>
      </c>
      <c r="B814" s="1" t="s">
        <v>410</v>
      </c>
      <c r="C814" s="3" t="s">
        <v>986</v>
      </c>
      <c r="D814" s="3" t="s">
        <v>1328</v>
      </c>
      <c r="E814" t="s">
        <v>20</v>
      </c>
      <c r="F814" t="s">
        <v>148</v>
      </c>
      <c r="G814" t="s">
        <v>86</v>
      </c>
      <c r="H814" t="str">
        <f t="shared" si="37"/>
        <v>09</v>
      </c>
      <c r="I814" t="str">
        <f t="shared" si="38"/>
        <v>D</v>
      </c>
      <c r="J814" t="s">
        <v>149</v>
      </c>
      <c r="K814" t="s">
        <v>78</v>
      </c>
      <c r="L814" t="s">
        <v>25</v>
      </c>
      <c r="M814" t="s">
        <v>45</v>
      </c>
      <c r="N814">
        <v>1</v>
      </c>
      <c r="O814">
        <v>14</v>
      </c>
      <c r="P814" t="s">
        <v>150</v>
      </c>
      <c r="Q814" t="s">
        <v>28</v>
      </c>
      <c r="R814" t="s">
        <v>28</v>
      </c>
      <c r="S814" t="s">
        <v>28</v>
      </c>
      <c r="T814" t="s">
        <v>28</v>
      </c>
      <c r="U814" t="s">
        <v>28</v>
      </c>
      <c r="V814" t="s">
        <v>28</v>
      </c>
      <c r="W814">
        <v>3</v>
      </c>
      <c r="X814" t="s">
        <v>147</v>
      </c>
    </row>
    <row r="815" spans="1:24" x14ac:dyDescent="0.2">
      <c r="A815" t="str">
        <f t="shared" si="36"/>
        <v>sample_novaseq-16S-C-D10-L3_SICap-P12-D10-P1D14-GAM-StoolPool-noBile-rep1-day14</v>
      </c>
      <c r="B815" s="1" t="s">
        <v>411</v>
      </c>
      <c r="C815" s="3" t="s">
        <v>987</v>
      </c>
      <c r="D815" s="3" t="s">
        <v>1328</v>
      </c>
      <c r="E815" t="s">
        <v>20</v>
      </c>
      <c r="F815" t="s">
        <v>148</v>
      </c>
      <c r="G815" t="s">
        <v>87</v>
      </c>
      <c r="H815" t="str">
        <f t="shared" si="37"/>
        <v>10</v>
      </c>
      <c r="I815" t="str">
        <f t="shared" si="38"/>
        <v>D</v>
      </c>
      <c r="J815" t="s">
        <v>149</v>
      </c>
      <c r="K815" t="s">
        <v>78</v>
      </c>
      <c r="L815" t="s">
        <v>25</v>
      </c>
      <c r="M815" t="s">
        <v>47</v>
      </c>
      <c r="N815">
        <v>1</v>
      </c>
      <c r="O815">
        <v>14</v>
      </c>
      <c r="P815" t="s">
        <v>150</v>
      </c>
      <c r="Q815" t="s">
        <v>28</v>
      </c>
      <c r="R815" t="s">
        <v>28</v>
      </c>
      <c r="S815" t="s">
        <v>28</v>
      </c>
      <c r="T815" t="s">
        <v>28</v>
      </c>
      <c r="U815" t="s">
        <v>28</v>
      </c>
      <c r="V815" t="s">
        <v>28</v>
      </c>
      <c r="W815">
        <v>3</v>
      </c>
      <c r="X815" t="s">
        <v>147</v>
      </c>
    </row>
    <row r="816" spans="1:24" x14ac:dyDescent="0.2">
      <c r="A816" t="str">
        <f t="shared" si="36"/>
        <v>sample_novaseq-16S-C-D11-L3_SICap-P12-D11-P1D14-GAM-SIPool-noBile-rep1-day14</v>
      </c>
      <c r="B816" s="1" t="s">
        <v>412</v>
      </c>
      <c r="C816" s="3" t="s">
        <v>988</v>
      </c>
      <c r="D816" s="3" t="s">
        <v>1328</v>
      </c>
      <c r="E816" t="s">
        <v>20</v>
      </c>
      <c r="F816" t="s">
        <v>148</v>
      </c>
      <c r="G816" t="s">
        <v>88</v>
      </c>
      <c r="H816" t="str">
        <f t="shared" si="37"/>
        <v>11</v>
      </c>
      <c r="I816" t="str">
        <f t="shared" si="38"/>
        <v>D</v>
      </c>
      <c r="J816" t="s">
        <v>149</v>
      </c>
      <c r="K816" t="s">
        <v>78</v>
      </c>
      <c r="L816" t="s">
        <v>25</v>
      </c>
      <c r="M816" t="s">
        <v>49</v>
      </c>
      <c r="N816">
        <v>1</v>
      </c>
      <c r="O816">
        <v>14</v>
      </c>
      <c r="P816" t="s">
        <v>150</v>
      </c>
      <c r="Q816" t="s">
        <v>28</v>
      </c>
      <c r="R816" t="s">
        <v>28</v>
      </c>
      <c r="S816" t="s">
        <v>28</v>
      </c>
      <c r="T816" t="s">
        <v>28</v>
      </c>
      <c r="U816" t="s">
        <v>28</v>
      </c>
      <c r="V816" t="s">
        <v>28</v>
      </c>
      <c r="W816">
        <v>3</v>
      </c>
      <c r="X816" t="s">
        <v>147</v>
      </c>
    </row>
    <row r="817" spans="1:24" x14ac:dyDescent="0.2">
      <c r="A817" t="str">
        <f t="shared" si="36"/>
        <v>sample_novaseq-16S-C-D12-L3_SICap-P12-D12-P1D14-GAM-Media-noBile-rep1-day14</v>
      </c>
      <c r="B817" s="1" t="s">
        <v>413</v>
      </c>
      <c r="C817" s="3" t="s">
        <v>989</v>
      </c>
      <c r="D817" s="3" t="s">
        <v>1328</v>
      </c>
      <c r="E817" t="s">
        <v>20</v>
      </c>
      <c r="F817" t="s">
        <v>148</v>
      </c>
      <c r="G817" t="s">
        <v>89</v>
      </c>
      <c r="H817" t="str">
        <f t="shared" si="37"/>
        <v>12</v>
      </c>
      <c r="I817" t="str">
        <f t="shared" si="38"/>
        <v>D</v>
      </c>
      <c r="J817" t="s">
        <v>149</v>
      </c>
      <c r="K817" t="s">
        <v>78</v>
      </c>
      <c r="L817" t="s">
        <v>25</v>
      </c>
      <c r="M817" t="s">
        <v>6</v>
      </c>
      <c r="N817">
        <v>1</v>
      </c>
      <c r="O817">
        <v>14</v>
      </c>
      <c r="P817" t="s">
        <v>150</v>
      </c>
      <c r="Q817" t="s">
        <v>28</v>
      </c>
      <c r="R817" t="s">
        <v>28</v>
      </c>
      <c r="S817" t="s">
        <v>28</v>
      </c>
      <c r="T817" t="s">
        <v>28</v>
      </c>
      <c r="U817" t="s">
        <v>28</v>
      </c>
      <c r="V817" t="s">
        <v>28</v>
      </c>
      <c r="W817">
        <v>3</v>
      </c>
      <c r="X817" t="s">
        <v>147</v>
      </c>
    </row>
    <row r="818" spans="1:24" x14ac:dyDescent="0.2">
      <c r="A818" t="str">
        <f t="shared" si="36"/>
        <v>sample_novaseq-16S-C-E01-L3_SICap-P12-E1-P1D14-BB-C1R1-noBile-rep1-day14</v>
      </c>
      <c r="B818" s="1" t="s">
        <v>414</v>
      </c>
      <c r="C818" s="3" t="s">
        <v>990</v>
      </c>
      <c r="D818" s="3" t="s">
        <v>1328</v>
      </c>
      <c r="E818" t="s">
        <v>20</v>
      </c>
      <c r="F818" t="s">
        <v>148</v>
      </c>
      <c r="G818" t="s">
        <v>90</v>
      </c>
      <c r="H818" t="str">
        <f t="shared" si="37"/>
        <v>01</v>
      </c>
      <c r="I818" t="str">
        <f t="shared" si="38"/>
        <v>E</v>
      </c>
      <c r="J818" t="s">
        <v>149</v>
      </c>
      <c r="K818" t="s">
        <v>91</v>
      </c>
      <c r="L818" t="s">
        <v>25</v>
      </c>
      <c r="M818" t="s">
        <v>26</v>
      </c>
      <c r="N818">
        <v>1</v>
      </c>
      <c r="O818">
        <v>14</v>
      </c>
      <c r="P818" t="s">
        <v>150</v>
      </c>
      <c r="Q818" t="s">
        <v>28</v>
      </c>
      <c r="R818" t="s">
        <v>28</v>
      </c>
      <c r="S818" t="s">
        <v>28</v>
      </c>
      <c r="T818" t="s">
        <v>28</v>
      </c>
      <c r="U818" t="s">
        <v>28</v>
      </c>
      <c r="V818" t="s">
        <v>28</v>
      </c>
      <c r="W818">
        <v>3</v>
      </c>
      <c r="X818" t="s">
        <v>147</v>
      </c>
    </row>
    <row r="819" spans="1:24" x14ac:dyDescent="0.2">
      <c r="A819" t="str">
        <f t="shared" si="36"/>
        <v>sample_novaseq-16S-C-E02-L3_SICap-P12-E2-P1D14-BB-C1R2-noBile-rep1-day14</v>
      </c>
      <c r="B819" s="1" t="s">
        <v>415</v>
      </c>
      <c r="C819" s="3" t="s">
        <v>991</v>
      </c>
      <c r="D819" s="3" t="s">
        <v>1328</v>
      </c>
      <c r="E819" t="s">
        <v>20</v>
      </c>
      <c r="F819" t="s">
        <v>148</v>
      </c>
      <c r="G819" t="s">
        <v>92</v>
      </c>
      <c r="H819" t="str">
        <f t="shared" si="37"/>
        <v>02</v>
      </c>
      <c r="I819" t="str">
        <f t="shared" si="38"/>
        <v>E</v>
      </c>
      <c r="J819" t="s">
        <v>149</v>
      </c>
      <c r="K819" t="s">
        <v>91</v>
      </c>
      <c r="L819" t="s">
        <v>25</v>
      </c>
      <c r="M819" t="s">
        <v>31</v>
      </c>
      <c r="N819">
        <v>1</v>
      </c>
      <c r="O819">
        <v>14</v>
      </c>
      <c r="P819" t="s">
        <v>150</v>
      </c>
      <c r="Q819" t="s">
        <v>28</v>
      </c>
      <c r="R819" t="s">
        <v>28</v>
      </c>
      <c r="S819" t="s">
        <v>28</v>
      </c>
      <c r="T819" t="s">
        <v>28</v>
      </c>
      <c r="U819" t="s">
        <v>28</v>
      </c>
      <c r="V819" t="s">
        <v>28</v>
      </c>
      <c r="W819">
        <v>3</v>
      </c>
      <c r="X819" t="s">
        <v>147</v>
      </c>
    </row>
    <row r="820" spans="1:24" x14ac:dyDescent="0.2">
      <c r="A820" t="str">
        <f t="shared" si="36"/>
        <v>sample_novaseq-16S-C-E03-L3_SICap-P12-E3-P1D14-BB-C2R1-noBile-rep1-day14</v>
      </c>
      <c r="B820" s="1" t="s">
        <v>416</v>
      </c>
      <c r="C820" s="3" t="s">
        <v>992</v>
      </c>
      <c r="D820" s="3" t="s">
        <v>1328</v>
      </c>
      <c r="E820" t="s">
        <v>20</v>
      </c>
      <c r="F820" t="s">
        <v>148</v>
      </c>
      <c r="G820" t="s">
        <v>93</v>
      </c>
      <c r="H820" t="str">
        <f t="shared" si="37"/>
        <v>03</v>
      </c>
      <c r="I820" t="str">
        <f t="shared" si="38"/>
        <v>E</v>
      </c>
      <c r="J820" t="s">
        <v>149</v>
      </c>
      <c r="K820" t="s">
        <v>91</v>
      </c>
      <c r="L820" t="s">
        <v>25</v>
      </c>
      <c r="M820" t="s">
        <v>33</v>
      </c>
      <c r="N820">
        <v>1</v>
      </c>
      <c r="O820">
        <v>14</v>
      </c>
      <c r="P820" t="s">
        <v>150</v>
      </c>
      <c r="Q820" t="s">
        <v>28</v>
      </c>
      <c r="R820" t="s">
        <v>28</v>
      </c>
      <c r="S820" t="s">
        <v>28</v>
      </c>
      <c r="T820" t="s">
        <v>28</v>
      </c>
      <c r="U820" t="s">
        <v>28</v>
      </c>
      <c r="V820" t="s">
        <v>28</v>
      </c>
      <c r="W820">
        <v>3</v>
      </c>
      <c r="X820" t="s">
        <v>147</v>
      </c>
    </row>
    <row r="821" spans="1:24" x14ac:dyDescent="0.2">
      <c r="A821" t="str">
        <f t="shared" si="36"/>
        <v>sample_novaseq-16S-C-E04-L3_SICap-P12-E4-P1D14-BB-C2R2-noBile-rep1-day14</v>
      </c>
      <c r="B821" s="1" t="s">
        <v>417</v>
      </c>
      <c r="C821" s="3" t="s">
        <v>993</v>
      </c>
      <c r="D821" s="3" t="s">
        <v>1328</v>
      </c>
      <c r="E821" t="s">
        <v>20</v>
      </c>
      <c r="F821" t="s">
        <v>148</v>
      </c>
      <c r="G821" t="s">
        <v>94</v>
      </c>
      <c r="H821" t="str">
        <f t="shared" si="37"/>
        <v>04</v>
      </c>
      <c r="I821" t="str">
        <f t="shared" si="38"/>
        <v>E</v>
      </c>
      <c r="J821" t="s">
        <v>149</v>
      </c>
      <c r="K821" t="s">
        <v>91</v>
      </c>
      <c r="L821" t="s">
        <v>25</v>
      </c>
      <c r="M821" t="s">
        <v>35</v>
      </c>
      <c r="N821">
        <v>1</v>
      </c>
      <c r="O821">
        <v>14</v>
      </c>
      <c r="P821" t="s">
        <v>150</v>
      </c>
      <c r="Q821" t="s">
        <v>28</v>
      </c>
      <c r="R821" t="s">
        <v>28</v>
      </c>
      <c r="S821" t="s">
        <v>28</v>
      </c>
      <c r="T821" t="s">
        <v>28</v>
      </c>
      <c r="U821" t="s">
        <v>28</v>
      </c>
      <c r="V821" t="s">
        <v>28</v>
      </c>
      <c r="W821">
        <v>3</v>
      </c>
      <c r="X821" t="s">
        <v>147</v>
      </c>
    </row>
    <row r="822" spans="1:24" x14ac:dyDescent="0.2">
      <c r="A822" t="str">
        <f t="shared" si="36"/>
        <v>sample_novaseq-16S-C-E05-L3_SICap-P12-E5-P1D14-BB-C3R1-noBile-rep1-day14</v>
      </c>
      <c r="B822" s="1" t="s">
        <v>418</v>
      </c>
      <c r="C822" s="3" t="s">
        <v>994</v>
      </c>
      <c r="D822" s="3" t="s">
        <v>1328</v>
      </c>
      <c r="E822" t="s">
        <v>20</v>
      </c>
      <c r="F822" t="s">
        <v>148</v>
      </c>
      <c r="G822" t="s">
        <v>95</v>
      </c>
      <c r="H822" t="str">
        <f t="shared" si="37"/>
        <v>05</v>
      </c>
      <c r="I822" t="str">
        <f t="shared" si="38"/>
        <v>E</v>
      </c>
      <c r="J822" t="s">
        <v>149</v>
      </c>
      <c r="K822" t="s">
        <v>91</v>
      </c>
      <c r="L822" t="s">
        <v>25</v>
      </c>
      <c r="M822" t="s">
        <v>37</v>
      </c>
      <c r="N822">
        <v>1</v>
      </c>
      <c r="O822">
        <v>14</v>
      </c>
      <c r="P822" t="s">
        <v>150</v>
      </c>
      <c r="Q822" t="s">
        <v>28</v>
      </c>
      <c r="R822" t="s">
        <v>28</v>
      </c>
      <c r="S822" t="s">
        <v>28</v>
      </c>
      <c r="T822" t="s">
        <v>28</v>
      </c>
      <c r="U822" t="s">
        <v>28</v>
      </c>
      <c r="V822" t="s">
        <v>28</v>
      </c>
      <c r="W822">
        <v>3</v>
      </c>
      <c r="X822" t="s">
        <v>147</v>
      </c>
    </row>
    <row r="823" spans="1:24" x14ac:dyDescent="0.2">
      <c r="A823" t="str">
        <f t="shared" si="36"/>
        <v>sample_novaseq-16S-C-E06-L3_SICap-P12-E6-P1D14-BB-C3R2-noBile-rep1-day14</v>
      </c>
      <c r="B823" s="1" t="s">
        <v>419</v>
      </c>
      <c r="C823" s="3" t="s">
        <v>995</v>
      </c>
      <c r="D823" s="3" t="s">
        <v>1328</v>
      </c>
      <c r="E823" t="s">
        <v>20</v>
      </c>
      <c r="F823" t="s">
        <v>148</v>
      </c>
      <c r="G823" t="s">
        <v>96</v>
      </c>
      <c r="H823" t="str">
        <f t="shared" si="37"/>
        <v>06</v>
      </c>
      <c r="I823" t="str">
        <f t="shared" si="38"/>
        <v>E</v>
      </c>
      <c r="J823" t="s">
        <v>149</v>
      </c>
      <c r="K823" t="s">
        <v>91</v>
      </c>
      <c r="L823" t="s">
        <v>25</v>
      </c>
      <c r="M823" t="s">
        <v>39</v>
      </c>
      <c r="N823">
        <v>1</v>
      </c>
      <c r="O823">
        <v>14</v>
      </c>
      <c r="P823" t="s">
        <v>150</v>
      </c>
      <c r="Q823" t="s">
        <v>28</v>
      </c>
      <c r="R823" t="s">
        <v>28</v>
      </c>
      <c r="S823" t="s">
        <v>28</v>
      </c>
      <c r="T823" t="s">
        <v>28</v>
      </c>
      <c r="U823" t="s">
        <v>28</v>
      </c>
      <c r="V823" t="s">
        <v>28</v>
      </c>
      <c r="W823">
        <v>3</v>
      </c>
      <c r="X823" t="s">
        <v>147</v>
      </c>
    </row>
    <row r="824" spans="1:24" x14ac:dyDescent="0.2">
      <c r="A824" t="str">
        <f t="shared" si="36"/>
        <v>sample_novaseq-16S-C-E07-L3_SICap-P12-E7-P1D14-BB-C4R1-noBile-rep1-day14</v>
      </c>
      <c r="B824" s="1" t="s">
        <v>420</v>
      </c>
      <c r="C824" s="3" t="s">
        <v>996</v>
      </c>
      <c r="D824" s="3" t="s">
        <v>1328</v>
      </c>
      <c r="E824" t="s">
        <v>20</v>
      </c>
      <c r="F824" t="s">
        <v>148</v>
      </c>
      <c r="G824" t="s">
        <v>97</v>
      </c>
      <c r="H824" t="str">
        <f t="shared" si="37"/>
        <v>07</v>
      </c>
      <c r="I824" t="str">
        <f t="shared" si="38"/>
        <v>E</v>
      </c>
      <c r="J824" t="s">
        <v>149</v>
      </c>
      <c r="K824" t="s">
        <v>91</v>
      </c>
      <c r="L824" t="s">
        <v>25</v>
      </c>
      <c r="M824" t="s">
        <v>41</v>
      </c>
      <c r="N824">
        <v>1</v>
      </c>
      <c r="O824">
        <v>14</v>
      </c>
      <c r="P824" t="s">
        <v>150</v>
      </c>
      <c r="Q824" t="s">
        <v>28</v>
      </c>
      <c r="R824" t="s">
        <v>28</v>
      </c>
      <c r="S824" t="s">
        <v>28</v>
      </c>
      <c r="T824" t="s">
        <v>28</v>
      </c>
      <c r="U824" t="s">
        <v>28</v>
      </c>
      <c r="V824" t="s">
        <v>28</v>
      </c>
      <c r="W824">
        <v>3</v>
      </c>
      <c r="X824" t="s">
        <v>147</v>
      </c>
    </row>
    <row r="825" spans="1:24" x14ac:dyDescent="0.2">
      <c r="A825" t="str">
        <f t="shared" si="36"/>
        <v>sample_novaseq-16S-C-E08-L3_SICap-P12-E8-P1D14-BB-C4R2-noBile-rep1-day14</v>
      </c>
      <c r="B825" s="1" t="s">
        <v>421</v>
      </c>
      <c r="C825" s="3" t="s">
        <v>997</v>
      </c>
      <c r="D825" s="3" t="s">
        <v>1328</v>
      </c>
      <c r="E825" t="s">
        <v>20</v>
      </c>
      <c r="F825" t="s">
        <v>148</v>
      </c>
      <c r="G825" t="s">
        <v>98</v>
      </c>
      <c r="H825" t="str">
        <f t="shared" si="37"/>
        <v>08</v>
      </c>
      <c r="I825" t="str">
        <f t="shared" si="38"/>
        <v>E</v>
      </c>
      <c r="J825" t="s">
        <v>149</v>
      </c>
      <c r="K825" t="s">
        <v>91</v>
      </c>
      <c r="L825" t="s">
        <v>25</v>
      </c>
      <c r="M825" t="s">
        <v>43</v>
      </c>
      <c r="N825">
        <v>1</v>
      </c>
      <c r="O825">
        <v>14</v>
      </c>
      <c r="P825" t="s">
        <v>150</v>
      </c>
      <c r="Q825" t="s">
        <v>28</v>
      </c>
      <c r="R825" t="s">
        <v>28</v>
      </c>
      <c r="S825" t="s">
        <v>28</v>
      </c>
      <c r="T825" t="s">
        <v>28</v>
      </c>
      <c r="U825" t="s">
        <v>28</v>
      </c>
      <c r="V825" t="s">
        <v>28</v>
      </c>
      <c r="W825">
        <v>3</v>
      </c>
      <c r="X825" t="s">
        <v>147</v>
      </c>
    </row>
    <row r="826" spans="1:24" x14ac:dyDescent="0.2">
      <c r="A826" t="str">
        <f t="shared" si="36"/>
        <v>sample_novaseq-16S-C-E09-L3_SICap-P12-E9-P1D14-BB-S1R2-noBile-rep1-day14</v>
      </c>
      <c r="B826" s="1" t="s">
        <v>422</v>
      </c>
      <c r="C826" s="3" t="s">
        <v>998</v>
      </c>
      <c r="D826" s="3" t="s">
        <v>1328</v>
      </c>
      <c r="E826" t="s">
        <v>20</v>
      </c>
      <c r="F826" t="s">
        <v>148</v>
      </c>
      <c r="G826" t="s">
        <v>99</v>
      </c>
      <c r="H826" t="str">
        <f t="shared" si="37"/>
        <v>09</v>
      </c>
      <c r="I826" t="str">
        <f t="shared" si="38"/>
        <v>E</v>
      </c>
      <c r="J826" t="s">
        <v>149</v>
      </c>
      <c r="K826" t="s">
        <v>91</v>
      </c>
      <c r="L826" t="s">
        <v>25</v>
      </c>
      <c r="M826" t="s">
        <v>45</v>
      </c>
      <c r="N826">
        <v>1</v>
      </c>
      <c r="O826">
        <v>14</v>
      </c>
      <c r="P826" t="s">
        <v>150</v>
      </c>
      <c r="Q826" t="s">
        <v>28</v>
      </c>
      <c r="R826" t="s">
        <v>28</v>
      </c>
      <c r="S826" t="s">
        <v>28</v>
      </c>
      <c r="T826" t="s">
        <v>28</v>
      </c>
      <c r="U826" t="s">
        <v>28</v>
      </c>
      <c r="V826" t="s">
        <v>28</v>
      </c>
      <c r="W826">
        <v>3</v>
      </c>
      <c r="X826" t="s">
        <v>147</v>
      </c>
    </row>
    <row r="827" spans="1:24" x14ac:dyDescent="0.2">
      <c r="A827" t="str">
        <f t="shared" si="36"/>
        <v>sample_novaseq-16S-C-E10-L3_SICap-P12-E10-P1D14-BB-StoolPool-noBile-rep1-day14</v>
      </c>
      <c r="B827" s="1" t="s">
        <v>423</v>
      </c>
      <c r="C827" s="3" t="s">
        <v>999</v>
      </c>
      <c r="D827" s="3" t="s">
        <v>1328</v>
      </c>
      <c r="E827" t="s">
        <v>20</v>
      </c>
      <c r="F827" t="s">
        <v>148</v>
      </c>
      <c r="G827" t="s">
        <v>100</v>
      </c>
      <c r="H827" t="str">
        <f t="shared" si="37"/>
        <v>10</v>
      </c>
      <c r="I827" t="str">
        <f t="shared" si="38"/>
        <v>E</v>
      </c>
      <c r="J827" t="s">
        <v>149</v>
      </c>
      <c r="K827" t="s">
        <v>91</v>
      </c>
      <c r="L827" t="s">
        <v>25</v>
      </c>
      <c r="M827" t="s">
        <v>47</v>
      </c>
      <c r="N827">
        <v>1</v>
      </c>
      <c r="O827">
        <v>14</v>
      </c>
      <c r="P827" t="s">
        <v>150</v>
      </c>
      <c r="Q827" t="s">
        <v>28</v>
      </c>
      <c r="R827" t="s">
        <v>28</v>
      </c>
      <c r="S827" t="s">
        <v>28</v>
      </c>
      <c r="T827" t="s">
        <v>28</v>
      </c>
      <c r="U827" t="s">
        <v>28</v>
      </c>
      <c r="V827" t="s">
        <v>28</v>
      </c>
      <c r="W827">
        <v>3</v>
      </c>
      <c r="X827" t="s">
        <v>147</v>
      </c>
    </row>
    <row r="828" spans="1:24" x14ac:dyDescent="0.2">
      <c r="A828" t="str">
        <f t="shared" si="36"/>
        <v>sample_novaseq-16S-C-E11-L3_SICap-P12-E11-P1D14-BB-SIPool-noBile-rep1-day14</v>
      </c>
      <c r="B828" s="1" t="s">
        <v>424</v>
      </c>
      <c r="C828" s="3" t="s">
        <v>1000</v>
      </c>
      <c r="D828" s="3" t="s">
        <v>1328</v>
      </c>
      <c r="E828" t="s">
        <v>20</v>
      </c>
      <c r="F828" t="s">
        <v>148</v>
      </c>
      <c r="G828" t="s">
        <v>101</v>
      </c>
      <c r="H828" t="str">
        <f t="shared" si="37"/>
        <v>11</v>
      </c>
      <c r="I828" t="str">
        <f t="shared" si="38"/>
        <v>E</v>
      </c>
      <c r="J828" t="s">
        <v>149</v>
      </c>
      <c r="K828" t="s">
        <v>91</v>
      </c>
      <c r="L828" t="s">
        <v>25</v>
      </c>
      <c r="M828" t="s">
        <v>49</v>
      </c>
      <c r="N828">
        <v>1</v>
      </c>
      <c r="O828">
        <v>14</v>
      </c>
      <c r="P828" t="s">
        <v>150</v>
      </c>
      <c r="Q828" t="s">
        <v>28</v>
      </c>
      <c r="R828" t="s">
        <v>28</v>
      </c>
      <c r="S828" t="s">
        <v>28</v>
      </c>
      <c r="T828" t="s">
        <v>28</v>
      </c>
      <c r="U828" t="s">
        <v>28</v>
      </c>
      <c r="V828" t="s">
        <v>28</v>
      </c>
      <c r="W828">
        <v>3</v>
      </c>
      <c r="X828" t="s">
        <v>147</v>
      </c>
    </row>
    <row r="829" spans="1:24" x14ac:dyDescent="0.2">
      <c r="A829" t="str">
        <f t="shared" si="36"/>
        <v>sample_novaseq-16S-C-E12-L3_SICap-P12-E12-P1D14-BB-Media-noBile-rep1-day14</v>
      </c>
      <c r="B829" s="1" t="s">
        <v>425</v>
      </c>
      <c r="C829" s="3" t="s">
        <v>1001</v>
      </c>
      <c r="D829" s="3" t="s">
        <v>1328</v>
      </c>
      <c r="E829" t="s">
        <v>20</v>
      </c>
      <c r="F829" t="s">
        <v>148</v>
      </c>
      <c r="G829" t="s">
        <v>102</v>
      </c>
      <c r="H829" t="str">
        <f t="shared" si="37"/>
        <v>12</v>
      </c>
      <c r="I829" t="str">
        <f t="shared" si="38"/>
        <v>E</v>
      </c>
      <c r="J829" t="s">
        <v>149</v>
      </c>
      <c r="K829" t="s">
        <v>91</v>
      </c>
      <c r="L829" t="s">
        <v>25</v>
      </c>
      <c r="M829" t="s">
        <v>6</v>
      </c>
      <c r="N829">
        <v>1</v>
      </c>
      <c r="O829">
        <v>14</v>
      </c>
      <c r="P829" t="s">
        <v>150</v>
      </c>
      <c r="Q829" t="s">
        <v>28</v>
      </c>
      <c r="R829" t="s">
        <v>28</v>
      </c>
      <c r="S829" t="s">
        <v>28</v>
      </c>
      <c r="T829" t="s">
        <v>28</v>
      </c>
      <c r="U829" t="s">
        <v>28</v>
      </c>
      <c r="V829" t="s">
        <v>28</v>
      </c>
      <c r="W829">
        <v>3</v>
      </c>
      <c r="X829" t="s">
        <v>147</v>
      </c>
    </row>
    <row r="830" spans="1:24" x14ac:dyDescent="0.2">
      <c r="A830" t="str">
        <f t="shared" si="36"/>
        <v>sample_novaseq-16S-C-F01-L3_SICap-P12-F1-P1D14-YCFAG-C1R1-noBile-rep1-day14</v>
      </c>
      <c r="B830" s="1" t="s">
        <v>426</v>
      </c>
      <c r="C830" s="3" t="s">
        <v>1002</v>
      </c>
      <c r="D830" s="3" t="s">
        <v>1328</v>
      </c>
      <c r="E830" t="s">
        <v>20</v>
      </c>
      <c r="F830" t="s">
        <v>148</v>
      </c>
      <c r="G830" t="s">
        <v>103</v>
      </c>
      <c r="H830" t="str">
        <f t="shared" si="37"/>
        <v>01</v>
      </c>
      <c r="I830" t="str">
        <f t="shared" si="38"/>
        <v>F</v>
      </c>
      <c r="J830" t="s">
        <v>149</v>
      </c>
      <c r="K830" t="s">
        <v>104</v>
      </c>
      <c r="L830" t="s">
        <v>25</v>
      </c>
      <c r="M830" t="s">
        <v>26</v>
      </c>
      <c r="N830">
        <v>1</v>
      </c>
      <c r="O830">
        <v>14</v>
      </c>
      <c r="P830" t="s">
        <v>150</v>
      </c>
      <c r="Q830" t="s">
        <v>28</v>
      </c>
      <c r="R830" t="s">
        <v>28</v>
      </c>
      <c r="S830" t="s">
        <v>28</v>
      </c>
      <c r="T830" t="s">
        <v>28</v>
      </c>
      <c r="U830" t="s">
        <v>28</v>
      </c>
      <c r="V830" t="s">
        <v>28</v>
      </c>
      <c r="W830">
        <v>3</v>
      </c>
      <c r="X830" t="s">
        <v>147</v>
      </c>
    </row>
    <row r="831" spans="1:24" x14ac:dyDescent="0.2">
      <c r="A831" t="str">
        <f t="shared" si="36"/>
        <v>sample_novaseq-16S-C-F02-L3_SICap-P12-F2-P1D14-YCFAG-C1R2-noBile-rep1-day14</v>
      </c>
      <c r="B831" s="1" t="s">
        <v>427</v>
      </c>
      <c r="C831" s="3" t="s">
        <v>1003</v>
      </c>
      <c r="D831" s="3" t="s">
        <v>1328</v>
      </c>
      <c r="E831" t="s">
        <v>20</v>
      </c>
      <c r="F831" t="s">
        <v>148</v>
      </c>
      <c r="G831" t="s">
        <v>105</v>
      </c>
      <c r="H831" t="str">
        <f t="shared" si="37"/>
        <v>02</v>
      </c>
      <c r="I831" t="str">
        <f t="shared" si="38"/>
        <v>F</v>
      </c>
      <c r="J831" t="s">
        <v>149</v>
      </c>
      <c r="K831" t="s">
        <v>104</v>
      </c>
      <c r="L831" t="s">
        <v>25</v>
      </c>
      <c r="M831" t="s">
        <v>31</v>
      </c>
      <c r="N831">
        <v>1</v>
      </c>
      <c r="O831">
        <v>14</v>
      </c>
      <c r="P831" t="s">
        <v>150</v>
      </c>
      <c r="Q831" t="s">
        <v>28</v>
      </c>
      <c r="R831" t="s">
        <v>28</v>
      </c>
      <c r="S831" t="s">
        <v>28</v>
      </c>
      <c r="T831" t="s">
        <v>28</v>
      </c>
      <c r="U831" t="s">
        <v>28</v>
      </c>
      <c r="V831" t="s">
        <v>28</v>
      </c>
      <c r="W831">
        <v>3</v>
      </c>
      <c r="X831" t="s">
        <v>147</v>
      </c>
    </row>
    <row r="832" spans="1:24" x14ac:dyDescent="0.2">
      <c r="A832" t="str">
        <f t="shared" si="36"/>
        <v>sample_novaseq-16S-C-F03-L3_SICap-P12-F3-P1D14-YCFAG-C2R1-noBile-rep1-day14</v>
      </c>
      <c r="B832" s="1" t="s">
        <v>428</v>
      </c>
      <c r="C832" s="3" t="s">
        <v>1004</v>
      </c>
      <c r="D832" s="3" t="s">
        <v>1328</v>
      </c>
      <c r="E832" t="s">
        <v>20</v>
      </c>
      <c r="F832" t="s">
        <v>148</v>
      </c>
      <c r="G832" t="s">
        <v>106</v>
      </c>
      <c r="H832" t="str">
        <f t="shared" si="37"/>
        <v>03</v>
      </c>
      <c r="I832" t="str">
        <f t="shared" si="38"/>
        <v>F</v>
      </c>
      <c r="J832" t="s">
        <v>149</v>
      </c>
      <c r="K832" t="s">
        <v>104</v>
      </c>
      <c r="L832" t="s">
        <v>25</v>
      </c>
      <c r="M832" t="s">
        <v>33</v>
      </c>
      <c r="N832">
        <v>1</v>
      </c>
      <c r="O832">
        <v>14</v>
      </c>
      <c r="P832" t="s">
        <v>150</v>
      </c>
      <c r="Q832" t="s">
        <v>28</v>
      </c>
      <c r="R832" t="s">
        <v>28</v>
      </c>
      <c r="S832" t="s">
        <v>28</v>
      </c>
      <c r="T832" t="s">
        <v>28</v>
      </c>
      <c r="U832" t="s">
        <v>28</v>
      </c>
      <c r="V832" t="s">
        <v>28</v>
      </c>
      <c r="W832">
        <v>3</v>
      </c>
      <c r="X832" t="s">
        <v>147</v>
      </c>
    </row>
    <row r="833" spans="1:24" x14ac:dyDescent="0.2">
      <c r="A833" t="str">
        <f t="shared" si="36"/>
        <v>sample_novaseq-16S-C-F04-L3_SICap-P12-F4-P1D14-YCFAG-C2R2-noBile-rep1-day14</v>
      </c>
      <c r="B833" s="1" t="s">
        <v>429</v>
      </c>
      <c r="C833" s="3" t="s">
        <v>1005</v>
      </c>
      <c r="D833" s="3" t="s">
        <v>1328</v>
      </c>
      <c r="E833" t="s">
        <v>20</v>
      </c>
      <c r="F833" t="s">
        <v>148</v>
      </c>
      <c r="G833" t="s">
        <v>107</v>
      </c>
      <c r="H833" t="str">
        <f t="shared" si="37"/>
        <v>04</v>
      </c>
      <c r="I833" t="str">
        <f t="shared" si="38"/>
        <v>F</v>
      </c>
      <c r="J833" t="s">
        <v>149</v>
      </c>
      <c r="K833" t="s">
        <v>104</v>
      </c>
      <c r="L833" t="s">
        <v>25</v>
      </c>
      <c r="M833" t="s">
        <v>35</v>
      </c>
      <c r="N833">
        <v>1</v>
      </c>
      <c r="O833">
        <v>14</v>
      </c>
      <c r="P833" t="s">
        <v>150</v>
      </c>
      <c r="Q833" t="s">
        <v>28</v>
      </c>
      <c r="R833" t="s">
        <v>28</v>
      </c>
      <c r="S833" t="s">
        <v>28</v>
      </c>
      <c r="T833" t="s">
        <v>28</v>
      </c>
      <c r="U833" t="s">
        <v>28</v>
      </c>
      <c r="V833" t="s">
        <v>28</v>
      </c>
      <c r="W833">
        <v>3</v>
      </c>
      <c r="X833" t="s">
        <v>147</v>
      </c>
    </row>
    <row r="834" spans="1:24" x14ac:dyDescent="0.2">
      <c r="A834" t="str">
        <f t="shared" si="36"/>
        <v>sample_novaseq-16S-C-F05-L3_SICap-P12-F5-P1D14-YCFAG-C3R1-noBile-rep1-day14</v>
      </c>
      <c r="B834" s="1" t="s">
        <v>430</v>
      </c>
      <c r="C834" s="3" t="s">
        <v>1006</v>
      </c>
      <c r="D834" s="3" t="s">
        <v>1328</v>
      </c>
      <c r="E834" t="s">
        <v>20</v>
      </c>
      <c r="F834" t="s">
        <v>148</v>
      </c>
      <c r="G834" t="s">
        <v>108</v>
      </c>
      <c r="H834" t="str">
        <f t="shared" si="37"/>
        <v>05</v>
      </c>
      <c r="I834" t="str">
        <f t="shared" si="38"/>
        <v>F</v>
      </c>
      <c r="J834" t="s">
        <v>149</v>
      </c>
      <c r="K834" t="s">
        <v>104</v>
      </c>
      <c r="L834" t="s">
        <v>25</v>
      </c>
      <c r="M834" t="s">
        <v>37</v>
      </c>
      <c r="N834">
        <v>1</v>
      </c>
      <c r="O834">
        <v>14</v>
      </c>
      <c r="P834" t="s">
        <v>150</v>
      </c>
      <c r="Q834" t="s">
        <v>28</v>
      </c>
      <c r="R834" t="s">
        <v>28</v>
      </c>
      <c r="S834" t="s">
        <v>28</v>
      </c>
      <c r="T834" t="s">
        <v>28</v>
      </c>
      <c r="U834" t="s">
        <v>28</v>
      </c>
      <c r="V834" t="s">
        <v>28</v>
      </c>
      <c r="W834">
        <v>3</v>
      </c>
      <c r="X834" t="s">
        <v>147</v>
      </c>
    </row>
    <row r="835" spans="1:24" x14ac:dyDescent="0.2">
      <c r="A835" t="str">
        <f t="shared" ref="A835:A898" si="39">_xlfn.CONCAT("sample_novaseq-",C835)</f>
        <v>sample_novaseq-16S-C-F06-L3_SICap-P12-F6-P1D14-YCFAG-C3R2-noBile-rep1-day14</v>
      </c>
      <c r="B835" s="1" t="s">
        <v>431</v>
      </c>
      <c r="C835" s="3" t="s">
        <v>1007</v>
      </c>
      <c r="D835" s="3" t="s">
        <v>1328</v>
      </c>
      <c r="E835" t="s">
        <v>20</v>
      </c>
      <c r="F835" t="s">
        <v>148</v>
      </c>
      <c r="G835" t="s">
        <v>109</v>
      </c>
      <c r="H835" t="str">
        <f t="shared" ref="H835:H898" si="40">RIGHT(G835,2)</f>
        <v>06</v>
      </c>
      <c r="I835" t="str">
        <f t="shared" ref="I835:I898" si="41">LEFT(G835)</f>
        <v>F</v>
      </c>
      <c r="J835" t="s">
        <v>149</v>
      </c>
      <c r="K835" t="s">
        <v>104</v>
      </c>
      <c r="L835" t="s">
        <v>25</v>
      </c>
      <c r="M835" t="s">
        <v>39</v>
      </c>
      <c r="N835">
        <v>1</v>
      </c>
      <c r="O835">
        <v>14</v>
      </c>
      <c r="P835" t="s">
        <v>150</v>
      </c>
      <c r="Q835" t="s">
        <v>28</v>
      </c>
      <c r="R835" t="s">
        <v>28</v>
      </c>
      <c r="S835" t="s">
        <v>28</v>
      </c>
      <c r="T835" t="s">
        <v>28</v>
      </c>
      <c r="U835" t="s">
        <v>28</v>
      </c>
      <c r="V835" t="s">
        <v>28</v>
      </c>
      <c r="W835">
        <v>3</v>
      </c>
      <c r="X835" t="s">
        <v>147</v>
      </c>
    </row>
    <row r="836" spans="1:24" x14ac:dyDescent="0.2">
      <c r="A836" t="str">
        <f t="shared" si="39"/>
        <v>sample_novaseq-16S-C-F07-L3_SICap-P12-F7-P1D14-YCFAG-C4R1-noBile-rep1-day14</v>
      </c>
      <c r="B836" s="1" t="s">
        <v>432</v>
      </c>
      <c r="C836" s="3" t="s">
        <v>1008</v>
      </c>
      <c r="D836" s="3" t="s">
        <v>1328</v>
      </c>
      <c r="E836" t="s">
        <v>20</v>
      </c>
      <c r="F836" t="s">
        <v>148</v>
      </c>
      <c r="G836" t="s">
        <v>110</v>
      </c>
      <c r="H836" t="str">
        <f t="shared" si="40"/>
        <v>07</v>
      </c>
      <c r="I836" t="str">
        <f t="shared" si="41"/>
        <v>F</v>
      </c>
      <c r="J836" t="s">
        <v>149</v>
      </c>
      <c r="K836" t="s">
        <v>104</v>
      </c>
      <c r="L836" t="s">
        <v>25</v>
      </c>
      <c r="M836" t="s">
        <v>41</v>
      </c>
      <c r="N836">
        <v>1</v>
      </c>
      <c r="O836">
        <v>14</v>
      </c>
      <c r="P836" t="s">
        <v>150</v>
      </c>
      <c r="Q836" t="s">
        <v>28</v>
      </c>
      <c r="R836" t="s">
        <v>28</v>
      </c>
      <c r="S836" t="s">
        <v>28</v>
      </c>
      <c r="T836" t="s">
        <v>28</v>
      </c>
      <c r="U836" t="s">
        <v>28</v>
      </c>
      <c r="V836" t="s">
        <v>28</v>
      </c>
      <c r="W836">
        <v>3</v>
      </c>
      <c r="X836" t="s">
        <v>147</v>
      </c>
    </row>
    <row r="837" spans="1:24" x14ac:dyDescent="0.2">
      <c r="A837" t="str">
        <f t="shared" si="39"/>
        <v>sample_novaseq-16S-C-F08-L3_SICap-P12-F8-P1D14-YCFAG-C4R2-noBile-rep1-day14</v>
      </c>
      <c r="B837" s="1" t="s">
        <v>433</v>
      </c>
      <c r="C837" s="3" t="s">
        <v>1009</v>
      </c>
      <c r="D837" s="3" t="s">
        <v>1328</v>
      </c>
      <c r="E837" t="s">
        <v>20</v>
      </c>
      <c r="F837" t="s">
        <v>148</v>
      </c>
      <c r="G837" t="s">
        <v>111</v>
      </c>
      <c r="H837" t="str">
        <f t="shared" si="40"/>
        <v>08</v>
      </c>
      <c r="I837" t="str">
        <f t="shared" si="41"/>
        <v>F</v>
      </c>
      <c r="J837" t="s">
        <v>149</v>
      </c>
      <c r="K837" t="s">
        <v>104</v>
      </c>
      <c r="L837" t="s">
        <v>25</v>
      </c>
      <c r="M837" t="s">
        <v>43</v>
      </c>
      <c r="N837">
        <v>1</v>
      </c>
      <c r="O837">
        <v>14</v>
      </c>
      <c r="P837" t="s">
        <v>150</v>
      </c>
      <c r="Q837" t="s">
        <v>28</v>
      </c>
      <c r="R837" t="s">
        <v>28</v>
      </c>
      <c r="S837" t="s">
        <v>28</v>
      </c>
      <c r="T837" t="s">
        <v>28</v>
      </c>
      <c r="U837" t="s">
        <v>28</v>
      </c>
      <c r="V837" t="s">
        <v>28</v>
      </c>
      <c r="W837">
        <v>3</v>
      </c>
      <c r="X837" t="s">
        <v>147</v>
      </c>
    </row>
    <row r="838" spans="1:24" x14ac:dyDescent="0.2">
      <c r="A838" t="str">
        <f t="shared" si="39"/>
        <v>sample_novaseq-16S-C-F09-L3_SICap-P12-F9-P1D14-YCFAG-S1R2-noBile-rep1-day14</v>
      </c>
      <c r="B838" s="1" t="s">
        <v>434</v>
      </c>
      <c r="C838" s="3" t="s">
        <v>1010</v>
      </c>
      <c r="D838" s="3" t="s">
        <v>1328</v>
      </c>
      <c r="E838" t="s">
        <v>20</v>
      </c>
      <c r="F838" t="s">
        <v>148</v>
      </c>
      <c r="G838" t="s">
        <v>112</v>
      </c>
      <c r="H838" t="str">
        <f t="shared" si="40"/>
        <v>09</v>
      </c>
      <c r="I838" t="str">
        <f t="shared" si="41"/>
        <v>F</v>
      </c>
      <c r="J838" t="s">
        <v>149</v>
      </c>
      <c r="K838" t="s">
        <v>104</v>
      </c>
      <c r="L838" t="s">
        <v>25</v>
      </c>
      <c r="M838" t="s">
        <v>45</v>
      </c>
      <c r="N838">
        <v>1</v>
      </c>
      <c r="O838">
        <v>14</v>
      </c>
      <c r="P838" t="s">
        <v>150</v>
      </c>
      <c r="Q838" t="s">
        <v>28</v>
      </c>
      <c r="R838" t="s">
        <v>28</v>
      </c>
      <c r="S838" t="s">
        <v>28</v>
      </c>
      <c r="T838" t="s">
        <v>28</v>
      </c>
      <c r="U838" t="s">
        <v>28</v>
      </c>
      <c r="V838" t="s">
        <v>28</v>
      </c>
      <c r="W838">
        <v>3</v>
      </c>
      <c r="X838" t="s">
        <v>147</v>
      </c>
    </row>
    <row r="839" spans="1:24" x14ac:dyDescent="0.2">
      <c r="A839" t="str">
        <f t="shared" si="39"/>
        <v>sample_novaseq-16S-C-F10-L3_SICap-P12-F10-P1D14-YCFAG-StoolPool-noBile-rep1-day14</v>
      </c>
      <c r="B839" s="1" t="s">
        <v>435</v>
      </c>
      <c r="C839" s="3" t="s">
        <v>1011</v>
      </c>
      <c r="D839" s="3" t="s">
        <v>1328</v>
      </c>
      <c r="E839" t="s">
        <v>20</v>
      </c>
      <c r="F839" t="s">
        <v>148</v>
      </c>
      <c r="G839" t="s">
        <v>113</v>
      </c>
      <c r="H839" t="str">
        <f t="shared" si="40"/>
        <v>10</v>
      </c>
      <c r="I839" t="str">
        <f t="shared" si="41"/>
        <v>F</v>
      </c>
      <c r="J839" t="s">
        <v>149</v>
      </c>
      <c r="K839" t="s">
        <v>104</v>
      </c>
      <c r="L839" t="s">
        <v>25</v>
      </c>
      <c r="M839" t="s">
        <v>47</v>
      </c>
      <c r="N839">
        <v>1</v>
      </c>
      <c r="O839">
        <v>14</v>
      </c>
      <c r="P839" t="s">
        <v>150</v>
      </c>
      <c r="Q839" t="s">
        <v>28</v>
      </c>
      <c r="R839" t="s">
        <v>28</v>
      </c>
      <c r="S839" t="s">
        <v>28</v>
      </c>
      <c r="T839" t="s">
        <v>28</v>
      </c>
      <c r="U839" t="s">
        <v>28</v>
      </c>
      <c r="V839" t="s">
        <v>28</v>
      </c>
      <c r="W839">
        <v>3</v>
      </c>
      <c r="X839" t="s">
        <v>147</v>
      </c>
    </row>
    <row r="840" spans="1:24" x14ac:dyDescent="0.2">
      <c r="A840" t="str">
        <f t="shared" si="39"/>
        <v>sample_novaseq-16S-C-F11-L3_SICap-P12-F11-P1D14-YCFAG-SIPool-noBile-rep1-day14</v>
      </c>
      <c r="B840" s="1" t="s">
        <v>436</v>
      </c>
      <c r="C840" s="3" t="s">
        <v>1012</v>
      </c>
      <c r="D840" s="3" t="s">
        <v>1328</v>
      </c>
      <c r="E840" t="s">
        <v>20</v>
      </c>
      <c r="F840" t="s">
        <v>148</v>
      </c>
      <c r="G840" t="s">
        <v>114</v>
      </c>
      <c r="H840" t="str">
        <f t="shared" si="40"/>
        <v>11</v>
      </c>
      <c r="I840" t="str">
        <f t="shared" si="41"/>
        <v>F</v>
      </c>
      <c r="J840" t="s">
        <v>149</v>
      </c>
      <c r="K840" t="s">
        <v>104</v>
      </c>
      <c r="L840" t="s">
        <v>25</v>
      </c>
      <c r="M840" t="s">
        <v>49</v>
      </c>
      <c r="N840">
        <v>1</v>
      </c>
      <c r="O840">
        <v>14</v>
      </c>
      <c r="P840" t="s">
        <v>150</v>
      </c>
      <c r="Q840" t="s">
        <v>28</v>
      </c>
      <c r="R840" t="s">
        <v>28</v>
      </c>
      <c r="S840" t="s">
        <v>28</v>
      </c>
      <c r="T840" t="s">
        <v>28</v>
      </c>
      <c r="U840" t="s">
        <v>28</v>
      </c>
      <c r="V840" t="s">
        <v>28</v>
      </c>
      <c r="W840">
        <v>3</v>
      </c>
      <c r="X840" t="s">
        <v>147</v>
      </c>
    </row>
    <row r="841" spans="1:24" x14ac:dyDescent="0.2">
      <c r="A841" t="str">
        <f t="shared" si="39"/>
        <v>sample_novaseq-16S-C-F12-L3_SICap-P12-F12-P1D14-YCFAG-Media-noBile-rep1-day14</v>
      </c>
      <c r="B841" s="1" t="s">
        <v>437</v>
      </c>
      <c r="C841" s="3" t="s">
        <v>1013</v>
      </c>
      <c r="D841" s="3" t="s">
        <v>1328</v>
      </c>
      <c r="E841" t="s">
        <v>20</v>
      </c>
      <c r="F841" t="s">
        <v>148</v>
      </c>
      <c r="G841" t="s">
        <v>115</v>
      </c>
      <c r="H841" t="str">
        <f t="shared" si="40"/>
        <v>12</v>
      </c>
      <c r="I841" t="str">
        <f t="shared" si="41"/>
        <v>F</v>
      </c>
      <c r="J841" t="s">
        <v>149</v>
      </c>
      <c r="K841" t="s">
        <v>104</v>
      </c>
      <c r="L841" t="s">
        <v>25</v>
      </c>
      <c r="M841" t="s">
        <v>6</v>
      </c>
      <c r="N841">
        <v>1</v>
      </c>
      <c r="O841">
        <v>14</v>
      </c>
      <c r="P841" t="s">
        <v>150</v>
      </c>
      <c r="Q841" t="s">
        <v>28</v>
      </c>
      <c r="R841" t="s">
        <v>28</v>
      </c>
      <c r="S841" t="s">
        <v>28</v>
      </c>
      <c r="T841" t="s">
        <v>28</v>
      </c>
      <c r="U841" t="s">
        <v>28</v>
      </c>
      <c r="V841" t="s">
        <v>28</v>
      </c>
      <c r="W841">
        <v>3</v>
      </c>
      <c r="X841" t="s">
        <v>147</v>
      </c>
    </row>
    <row r="842" spans="1:24" x14ac:dyDescent="0.2">
      <c r="A842" t="str">
        <f t="shared" si="39"/>
        <v>sample_novaseq-16S-C-G01-L3_SICap-P12-G1-P1D14-TYG-C1R1-noBile-rep1-day14</v>
      </c>
      <c r="B842" s="1" t="s">
        <v>438</v>
      </c>
      <c r="C842" s="3" t="s">
        <v>1014</v>
      </c>
      <c r="D842" s="3" t="s">
        <v>1328</v>
      </c>
      <c r="E842" t="s">
        <v>20</v>
      </c>
      <c r="F842" t="s">
        <v>148</v>
      </c>
      <c r="G842" t="s">
        <v>116</v>
      </c>
      <c r="H842" t="str">
        <f t="shared" si="40"/>
        <v>01</v>
      </c>
      <c r="I842" t="str">
        <f t="shared" si="41"/>
        <v>G</v>
      </c>
      <c r="J842" t="s">
        <v>149</v>
      </c>
      <c r="K842" t="s">
        <v>117</v>
      </c>
      <c r="L842" t="s">
        <v>25</v>
      </c>
      <c r="M842" t="s">
        <v>26</v>
      </c>
      <c r="N842">
        <v>1</v>
      </c>
      <c r="O842">
        <v>14</v>
      </c>
      <c r="P842" t="s">
        <v>150</v>
      </c>
      <c r="Q842" t="s">
        <v>28</v>
      </c>
      <c r="R842" t="s">
        <v>28</v>
      </c>
      <c r="S842" t="s">
        <v>28</v>
      </c>
      <c r="T842" t="s">
        <v>28</v>
      </c>
      <c r="U842" t="s">
        <v>28</v>
      </c>
      <c r="V842" t="s">
        <v>28</v>
      </c>
      <c r="W842">
        <v>3</v>
      </c>
      <c r="X842" t="s">
        <v>147</v>
      </c>
    </row>
    <row r="843" spans="1:24" x14ac:dyDescent="0.2">
      <c r="A843" t="str">
        <f t="shared" si="39"/>
        <v>sample_novaseq-16S-C-G02-L3_SICap-P12-G2-P1D14-TYG-C1R2-noBile-rep1-day14</v>
      </c>
      <c r="B843" s="1" t="s">
        <v>439</v>
      </c>
      <c r="C843" s="3" t="s">
        <v>1015</v>
      </c>
      <c r="D843" s="3" t="s">
        <v>1328</v>
      </c>
      <c r="E843" t="s">
        <v>20</v>
      </c>
      <c r="F843" t="s">
        <v>148</v>
      </c>
      <c r="G843" t="s">
        <v>118</v>
      </c>
      <c r="H843" t="str">
        <f t="shared" si="40"/>
        <v>02</v>
      </c>
      <c r="I843" t="str">
        <f t="shared" si="41"/>
        <v>G</v>
      </c>
      <c r="J843" t="s">
        <v>149</v>
      </c>
      <c r="K843" t="s">
        <v>117</v>
      </c>
      <c r="L843" t="s">
        <v>25</v>
      </c>
      <c r="M843" t="s">
        <v>31</v>
      </c>
      <c r="N843">
        <v>1</v>
      </c>
      <c r="O843">
        <v>14</v>
      </c>
      <c r="P843" t="s">
        <v>150</v>
      </c>
      <c r="Q843" t="s">
        <v>28</v>
      </c>
      <c r="R843" t="s">
        <v>28</v>
      </c>
      <c r="S843" t="s">
        <v>28</v>
      </c>
      <c r="T843" t="s">
        <v>28</v>
      </c>
      <c r="U843" t="s">
        <v>28</v>
      </c>
      <c r="V843" t="s">
        <v>28</v>
      </c>
      <c r="W843">
        <v>3</v>
      </c>
      <c r="X843" t="s">
        <v>147</v>
      </c>
    </row>
    <row r="844" spans="1:24" x14ac:dyDescent="0.2">
      <c r="A844" t="str">
        <f t="shared" si="39"/>
        <v>sample_novaseq-16S-C-G03-L3_SICap-P12-G3-P1D14-TYG-C2R1-noBile-rep1-day14</v>
      </c>
      <c r="B844" s="1" t="s">
        <v>440</v>
      </c>
      <c r="C844" s="3" t="s">
        <v>1016</v>
      </c>
      <c r="D844" s="3" t="s">
        <v>1328</v>
      </c>
      <c r="E844" t="s">
        <v>20</v>
      </c>
      <c r="F844" t="s">
        <v>148</v>
      </c>
      <c r="G844" t="s">
        <v>119</v>
      </c>
      <c r="H844" t="str">
        <f t="shared" si="40"/>
        <v>03</v>
      </c>
      <c r="I844" t="str">
        <f t="shared" si="41"/>
        <v>G</v>
      </c>
      <c r="J844" t="s">
        <v>149</v>
      </c>
      <c r="K844" t="s">
        <v>117</v>
      </c>
      <c r="L844" t="s">
        <v>25</v>
      </c>
      <c r="M844" t="s">
        <v>33</v>
      </c>
      <c r="N844">
        <v>1</v>
      </c>
      <c r="O844">
        <v>14</v>
      </c>
      <c r="P844" t="s">
        <v>150</v>
      </c>
      <c r="Q844" t="s">
        <v>28</v>
      </c>
      <c r="R844" t="s">
        <v>28</v>
      </c>
      <c r="S844" t="s">
        <v>28</v>
      </c>
      <c r="T844" t="s">
        <v>28</v>
      </c>
      <c r="U844" t="s">
        <v>28</v>
      </c>
      <c r="V844" t="s">
        <v>28</v>
      </c>
      <c r="W844">
        <v>3</v>
      </c>
      <c r="X844" t="s">
        <v>147</v>
      </c>
    </row>
    <row r="845" spans="1:24" x14ac:dyDescent="0.2">
      <c r="A845" t="str">
        <f t="shared" si="39"/>
        <v>sample_novaseq-16S-C-G04-L3_SICap-P12-G4-P1D14-TYG-C2R2-noBile-rep1-day14</v>
      </c>
      <c r="B845" s="1" t="s">
        <v>441</v>
      </c>
      <c r="C845" s="3" t="s">
        <v>1017</v>
      </c>
      <c r="D845" s="3" t="s">
        <v>1328</v>
      </c>
      <c r="E845" t="s">
        <v>20</v>
      </c>
      <c r="F845" t="s">
        <v>148</v>
      </c>
      <c r="G845" t="s">
        <v>120</v>
      </c>
      <c r="H845" t="str">
        <f t="shared" si="40"/>
        <v>04</v>
      </c>
      <c r="I845" t="str">
        <f t="shared" si="41"/>
        <v>G</v>
      </c>
      <c r="J845" t="s">
        <v>149</v>
      </c>
      <c r="K845" t="s">
        <v>117</v>
      </c>
      <c r="L845" t="s">
        <v>25</v>
      </c>
      <c r="M845" t="s">
        <v>35</v>
      </c>
      <c r="N845">
        <v>1</v>
      </c>
      <c r="O845">
        <v>14</v>
      </c>
      <c r="P845" t="s">
        <v>150</v>
      </c>
      <c r="Q845" t="s">
        <v>28</v>
      </c>
      <c r="R845" t="s">
        <v>28</v>
      </c>
      <c r="S845" t="s">
        <v>28</v>
      </c>
      <c r="T845" t="s">
        <v>28</v>
      </c>
      <c r="U845" t="s">
        <v>28</v>
      </c>
      <c r="V845" t="s">
        <v>28</v>
      </c>
      <c r="W845">
        <v>3</v>
      </c>
      <c r="X845" t="s">
        <v>147</v>
      </c>
    </row>
    <row r="846" spans="1:24" x14ac:dyDescent="0.2">
      <c r="A846" t="str">
        <f t="shared" si="39"/>
        <v>sample_novaseq-16S-C-G05-L3_SICap-P12-G5-P1D14-TYG-C3R1-noBile-rep1-day14</v>
      </c>
      <c r="B846" s="1" t="s">
        <v>442</v>
      </c>
      <c r="C846" s="3" t="s">
        <v>1018</v>
      </c>
      <c r="D846" s="3" t="s">
        <v>1328</v>
      </c>
      <c r="E846" t="s">
        <v>20</v>
      </c>
      <c r="F846" t="s">
        <v>148</v>
      </c>
      <c r="G846" t="s">
        <v>121</v>
      </c>
      <c r="H846" t="str">
        <f t="shared" si="40"/>
        <v>05</v>
      </c>
      <c r="I846" t="str">
        <f t="shared" si="41"/>
        <v>G</v>
      </c>
      <c r="J846" t="s">
        <v>149</v>
      </c>
      <c r="K846" t="s">
        <v>117</v>
      </c>
      <c r="L846" t="s">
        <v>25</v>
      </c>
      <c r="M846" t="s">
        <v>37</v>
      </c>
      <c r="N846">
        <v>1</v>
      </c>
      <c r="O846">
        <v>14</v>
      </c>
      <c r="P846" t="s">
        <v>150</v>
      </c>
      <c r="Q846" t="s">
        <v>28</v>
      </c>
      <c r="R846" t="s">
        <v>28</v>
      </c>
      <c r="S846" t="s">
        <v>28</v>
      </c>
      <c r="T846" t="s">
        <v>28</v>
      </c>
      <c r="U846" t="s">
        <v>28</v>
      </c>
      <c r="V846" t="s">
        <v>28</v>
      </c>
      <c r="W846">
        <v>3</v>
      </c>
      <c r="X846" t="s">
        <v>147</v>
      </c>
    </row>
    <row r="847" spans="1:24" x14ac:dyDescent="0.2">
      <c r="A847" t="str">
        <f t="shared" si="39"/>
        <v>sample_novaseq-16S-C-G06-L3_SICap-P12-G6-P1D14-TYG-C3R2-noBile-rep1-day14</v>
      </c>
      <c r="B847" s="1" t="s">
        <v>443</v>
      </c>
      <c r="C847" s="3" t="s">
        <v>1019</v>
      </c>
      <c r="D847" s="3" t="s">
        <v>1328</v>
      </c>
      <c r="E847" t="s">
        <v>20</v>
      </c>
      <c r="F847" t="s">
        <v>148</v>
      </c>
      <c r="G847" t="s">
        <v>122</v>
      </c>
      <c r="H847" t="str">
        <f t="shared" si="40"/>
        <v>06</v>
      </c>
      <c r="I847" t="str">
        <f t="shared" si="41"/>
        <v>G</v>
      </c>
      <c r="J847" t="s">
        <v>149</v>
      </c>
      <c r="K847" t="s">
        <v>117</v>
      </c>
      <c r="L847" t="s">
        <v>25</v>
      </c>
      <c r="M847" t="s">
        <v>39</v>
      </c>
      <c r="N847">
        <v>1</v>
      </c>
      <c r="O847">
        <v>14</v>
      </c>
      <c r="P847" t="s">
        <v>150</v>
      </c>
      <c r="Q847" t="s">
        <v>28</v>
      </c>
      <c r="R847" t="s">
        <v>28</v>
      </c>
      <c r="S847" t="s">
        <v>28</v>
      </c>
      <c r="T847" t="s">
        <v>28</v>
      </c>
      <c r="U847" t="s">
        <v>28</v>
      </c>
      <c r="V847" t="s">
        <v>28</v>
      </c>
      <c r="W847">
        <v>3</v>
      </c>
      <c r="X847" t="s">
        <v>147</v>
      </c>
    </row>
    <row r="848" spans="1:24" x14ac:dyDescent="0.2">
      <c r="A848" t="str">
        <f t="shared" si="39"/>
        <v>sample_novaseq-16S-C-G07-L3_SICap-P12-G7-P1D14-TYG-C4R1-noBile-rep1-day14</v>
      </c>
      <c r="B848" s="1" t="s">
        <v>444</v>
      </c>
      <c r="C848" s="3" t="s">
        <v>1020</v>
      </c>
      <c r="D848" s="3" t="s">
        <v>1328</v>
      </c>
      <c r="E848" t="s">
        <v>20</v>
      </c>
      <c r="F848" t="s">
        <v>148</v>
      </c>
      <c r="G848" t="s">
        <v>123</v>
      </c>
      <c r="H848" t="str">
        <f t="shared" si="40"/>
        <v>07</v>
      </c>
      <c r="I848" t="str">
        <f t="shared" si="41"/>
        <v>G</v>
      </c>
      <c r="J848" t="s">
        <v>149</v>
      </c>
      <c r="K848" t="s">
        <v>117</v>
      </c>
      <c r="L848" t="s">
        <v>25</v>
      </c>
      <c r="M848" t="s">
        <v>41</v>
      </c>
      <c r="N848">
        <v>1</v>
      </c>
      <c r="O848">
        <v>14</v>
      </c>
      <c r="P848" t="s">
        <v>150</v>
      </c>
      <c r="Q848" t="s">
        <v>28</v>
      </c>
      <c r="R848" t="s">
        <v>28</v>
      </c>
      <c r="S848" t="s">
        <v>28</v>
      </c>
      <c r="T848" t="s">
        <v>28</v>
      </c>
      <c r="U848" t="s">
        <v>28</v>
      </c>
      <c r="V848" t="s">
        <v>28</v>
      </c>
      <c r="W848">
        <v>3</v>
      </c>
      <c r="X848" t="s">
        <v>147</v>
      </c>
    </row>
    <row r="849" spans="1:24" x14ac:dyDescent="0.2">
      <c r="A849" t="str">
        <f t="shared" si="39"/>
        <v>sample_novaseq-16S-C-G08-L3_SICap-P12-G8-P1D14-TYG-C4R2-noBile-rep1-day14</v>
      </c>
      <c r="B849" s="1" t="s">
        <v>445</v>
      </c>
      <c r="C849" s="3" t="s">
        <v>1021</v>
      </c>
      <c r="D849" s="3" t="s">
        <v>1328</v>
      </c>
      <c r="E849" t="s">
        <v>20</v>
      </c>
      <c r="F849" t="s">
        <v>148</v>
      </c>
      <c r="G849" t="s">
        <v>124</v>
      </c>
      <c r="H849" t="str">
        <f t="shared" si="40"/>
        <v>08</v>
      </c>
      <c r="I849" t="str">
        <f t="shared" si="41"/>
        <v>G</v>
      </c>
      <c r="J849" t="s">
        <v>149</v>
      </c>
      <c r="K849" t="s">
        <v>117</v>
      </c>
      <c r="L849" t="s">
        <v>25</v>
      </c>
      <c r="M849" t="s">
        <v>43</v>
      </c>
      <c r="N849">
        <v>1</v>
      </c>
      <c r="O849">
        <v>14</v>
      </c>
      <c r="P849" t="s">
        <v>150</v>
      </c>
      <c r="Q849" t="s">
        <v>28</v>
      </c>
      <c r="R849" t="s">
        <v>28</v>
      </c>
      <c r="S849" t="s">
        <v>28</v>
      </c>
      <c r="T849" t="s">
        <v>28</v>
      </c>
      <c r="U849" t="s">
        <v>28</v>
      </c>
      <c r="V849" t="s">
        <v>28</v>
      </c>
      <c r="W849">
        <v>3</v>
      </c>
      <c r="X849" t="s">
        <v>147</v>
      </c>
    </row>
    <row r="850" spans="1:24" x14ac:dyDescent="0.2">
      <c r="A850" t="str">
        <f t="shared" si="39"/>
        <v>sample_novaseq-16S-C-G09-L3_SICap-P12-G9-P1D14-TYG-S1R2-noBile-rep1-day14</v>
      </c>
      <c r="B850" s="1" t="s">
        <v>446</v>
      </c>
      <c r="C850" s="3" t="s">
        <v>1022</v>
      </c>
      <c r="D850" s="3" t="s">
        <v>1328</v>
      </c>
      <c r="E850" t="s">
        <v>20</v>
      </c>
      <c r="F850" t="s">
        <v>148</v>
      </c>
      <c r="G850" t="s">
        <v>125</v>
      </c>
      <c r="H850" t="str">
        <f t="shared" si="40"/>
        <v>09</v>
      </c>
      <c r="I850" t="str">
        <f t="shared" si="41"/>
        <v>G</v>
      </c>
      <c r="J850" t="s">
        <v>149</v>
      </c>
      <c r="K850" t="s">
        <v>117</v>
      </c>
      <c r="L850" t="s">
        <v>25</v>
      </c>
      <c r="M850" t="s">
        <v>45</v>
      </c>
      <c r="N850">
        <v>1</v>
      </c>
      <c r="O850">
        <v>14</v>
      </c>
      <c r="P850" t="s">
        <v>150</v>
      </c>
      <c r="Q850" t="s">
        <v>28</v>
      </c>
      <c r="R850" t="s">
        <v>28</v>
      </c>
      <c r="S850" t="s">
        <v>28</v>
      </c>
      <c r="T850" t="s">
        <v>28</v>
      </c>
      <c r="U850" t="s">
        <v>28</v>
      </c>
      <c r="V850" t="s">
        <v>28</v>
      </c>
      <c r="W850">
        <v>3</v>
      </c>
      <c r="X850" t="s">
        <v>147</v>
      </c>
    </row>
    <row r="851" spans="1:24" x14ac:dyDescent="0.2">
      <c r="A851" t="str">
        <f t="shared" si="39"/>
        <v>sample_novaseq-16S-C-G10-L3_SICap-P12-G10-P1D14-TYG-StoolPool-noBile-rep1-day14</v>
      </c>
      <c r="B851" s="1" t="s">
        <v>447</v>
      </c>
      <c r="C851" s="3" t="s">
        <v>1023</v>
      </c>
      <c r="D851" s="3" t="s">
        <v>1328</v>
      </c>
      <c r="E851" t="s">
        <v>20</v>
      </c>
      <c r="F851" t="s">
        <v>148</v>
      </c>
      <c r="G851" t="s">
        <v>126</v>
      </c>
      <c r="H851" t="str">
        <f t="shared" si="40"/>
        <v>10</v>
      </c>
      <c r="I851" t="str">
        <f t="shared" si="41"/>
        <v>G</v>
      </c>
      <c r="J851" t="s">
        <v>149</v>
      </c>
      <c r="K851" t="s">
        <v>117</v>
      </c>
      <c r="L851" t="s">
        <v>25</v>
      </c>
      <c r="M851" t="s">
        <v>47</v>
      </c>
      <c r="N851">
        <v>1</v>
      </c>
      <c r="O851">
        <v>14</v>
      </c>
      <c r="P851" t="s">
        <v>150</v>
      </c>
      <c r="Q851" t="s">
        <v>28</v>
      </c>
      <c r="R851" t="s">
        <v>28</v>
      </c>
      <c r="S851" t="s">
        <v>28</v>
      </c>
      <c r="T851" t="s">
        <v>28</v>
      </c>
      <c r="U851" t="s">
        <v>28</v>
      </c>
      <c r="V851" t="s">
        <v>28</v>
      </c>
      <c r="W851">
        <v>3</v>
      </c>
      <c r="X851" t="s">
        <v>147</v>
      </c>
    </row>
    <row r="852" spans="1:24" x14ac:dyDescent="0.2">
      <c r="A852" t="str">
        <f t="shared" si="39"/>
        <v>sample_novaseq-16S-C-G11-L3_SICap-P12-G11-P1D14-TYG-SIPool-noBile-rep1-day14</v>
      </c>
      <c r="B852" s="1" t="s">
        <v>448</v>
      </c>
      <c r="C852" s="3" t="s">
        <v>1024</v>
      </c>
      <c r="D852" s="3" t="s">
        <v>1328</v>
      </c>
      <c r="E852" t="s">
        <v>20</v>
      </c>
      <c r="F852" t="s">
        <v>148</v>
      </c>
      <c r="G852" t="s">
        <v>127</v>
      </c>
      <c r="H852" t="str">
        <f t="shared" si="40"/>
        <v>11</v>
      </c>
      <c r="I852" t="str">
        <f t="shared" si="41"/>
        <v>G</v>
      </c>
      <c r="J852" t="s">
        <v>149</v>
      </c>
      <c r="K852" t="s">
        <v>117</v>
      </c>
      <c r="L852" t="s">
        <v>25</v>
      </c>
      <c r="M852" t="s">
        <v>49</v>
      </c>
      <c r="N852">
        <v>1</v>
      </c>
      <c r="O852">
        <v>14</v>
      </c>
      <c r="P852" t="s">
        <v>150</v>
      </c>
      <c r="Q852" t="s">
        <v>28</v>
      </c>
      <c r="R852" t="s">
        <v>28</v>
      </c>
      <c r="S852" t="s">
        <v>28</v>
      </c>
      <c r="T852" t="s">
        <v>28</v>
      </c>
      <c r="U852" t="s">
        <v>28</v>
      </c>
      <c r="V852" t="s">
        <v>28</v>
      </c>
      <c r="W852">
        <v>3</v>
      </c>
      <c r="X852" t="s">
        <v>147</v>
      </c>
    </row>
    <row r="853" spans="1:24" x14ac:dyDescent="0.2">
      <c r="A853" t="str">
        <f t="shared" si="39"/>
        <v>sample_novaseq-16S-C-G12-L3_SICap-P12-G12-P1D14-TYG-Media-noBile-rep1-day14</v>
      </c>
      <c r="B853" s="1" t="s">
        <v>449</v>
      </c>
      <c r="C853" s="3" t="s">
        <v>1025</v>
      </c>
      <c r="D853" s="3" t="s">
        <v>1328</v>
      </c>
      <c r="E853" t="s">
        <v>20</v>
      </c>
      <c r="F853" t="s">
        <v>148</v>
      </c>
      <c r="G853" t="s">
        <v>128</v>
      </c>
      <c r="H853" t="str">
        <f t="shared" si="40"/>
        <v>12</v>
      </c>
      <c r="I853" t="str">
        <f t="shared" si="41"/>
        <v>G</v>
      </c>
      <c r="J853" t="s">
        <v>149</v>
      </c>
      <c r="K853" t="s">
        <v>117</v>
      </c>
      <c r="L853" t="s">
        <v>25</v>
      </c>
      <c r="M853" t="s">
        <v>6</v>
      </c>
      <c r="N853">
        <v>1</v>
      </c>
      <c r="O853">
        <v>14</v>
      </c>
      <c r="P853" t="s">
        <v>150</v>
      </c>
      <c r="Q853" t="s">
        <v>28</v>
      </c>
      <c r="R853" t="s">
        <v>28</v>
      </c>
      <c r="S853" t="s">
        <v>28</v>
      </c>
      <c r="T853" t="s">
        <v>28</v>
      </c>
      <c r="U853" t="s">
        <v>28</v>
      </c>
      <c r="V853" t="s">
        <v>28</v>
      </c>
      <c r="W853">
        <v>3</v>
      </c>
      <c r="X853" t="s">
        <v>147</v>
      </c>
    </row>
    <row r="854" spans="1:24" x14ac:dyDescent="0.2">
      <c r="A854" t="str">
        <f t="shared" si="39"/>
        <v>sample_novaseq-16S-C-H01-L3_SICap-P12-H1-P1D14-RCM-C1R1-noBile-rep1-day14</v>
      </c>
      <c r="B854" s="1" t="s">
        <v>450</v>
      </c>
      <c r="C854" s="3" t="s">
        <v>1026</v>
      </c>
      <c r="D854" s="3" t="s">
        <v>1328</v>
      </c>
      <c r="E854" t="s">
        <v>20</v>
      </c>
      <c r="F854" t="s">
        <v>148</v>
      </c>
      <c r="G854" t="s">
        <v>129</v>
      </c>
      <c r="H854" t="str">
        <f t="shared" si="40"/>
        <v>01</v>
      </c>
      <c r="I854" t="str">
        <f t="shared" si="41"/>
        <v>H</v>
      </c>
      <c r="J854" t="s">
        <v>149</v>
      </c>
      <c r="K854" t="s">
        <v>130</v>
      </c>
      <c r="L854" t="s">
        <v>25</v>
      </c>
      <c r="M854" t="s">
        <v>26</v>
      </c>
      <c r="N854">
        <v>1</v>
      </c>
      <c r="O854">
        <v>14</v>
      </c>
      <c r="P854" t="s">
        <v>150</v>
      </c>
      <c r="Q854" t="s">
        <v>28</v>
      </c>
      <c r="R854" t="s">
        <v>28</v>
      </c>
      <c r="S854" t="s">
        <v>28</v>
      </c>
      <c r="T854" t="s">
        <v>28</v>
      </c>
      <c r="U854" t="s">
        <v>28</v>
      </c>
      <c r="V854" t="s">
        <v>28</v>
      </c>
      <c r="W854">
        <v>3</v>
      </c>
      <c r="X854" t="s">
        <v>147</v>
      </c>
    </row>
    <row r="855" spans="1:24" x14ac:dyDescent="0.2">
      <c r="A855" t="str">
        <f t="shared" si="39"/>
        <v>sample_novaseq-16S-C-H02-L3_SICap-P12-H2-P1D14-RCM-C1R2-noBile-rep1-day14</v>
      </c>
      <c r="B855" s="1" t="s">
        <v>451</v>
      </c>
      <c r="C855" s="3" t="s">
        <v>1027</v>
      </c>
      <c r="D855" s="3" t="s">
        <v>1328</v>
      </c>
      <c r="E855" t="s">
        <v>20</v>
      </c>
      <c r="F855" t="s">
        <v>148</v>
      </c>
      <c r="G855" t="s">
        <v>131</v>
      </c>
      <c r="H855" t="str">
        <f t="shared" si="40"/>
        <v>02</v>
      </c>
      <c r="I855" t="str">
        <f t="shared" si="41"/>
        <v>H</v>
      </c>
      <c r="J855" t="s">
        <v>149</v>
      </c>
      <c r="K855" t="s">
        <v>130</v>
      </c>
      <c r="L855" t="s">
        <v>25</v>
      </c>
      <c r="M855" t="s">
        <v>31</v>
      </c>
      <c r="N855">
        <v>1</v>
      </c>
      <c r="O855">
        <v>14</v>
      </c>
      <c r="P855" t="s">
        <v>150</v>
      </c>
      <c r="Q855" t="s">
        <v>28</v>
      </c>
      <c r="R855" t="s">
        <v>28</v>
      </c>
      <c r="S855" t="s">
        <v>28</v>
      </c>
      <c r="T855" t="s">
        <v>28</v>
      </c>
      <c r="U855" t="s">
        <v>28</v>
      </c>
      <c r="V855" t="s">
        <v>28</v>
      </c>
      <c r="W855">
        <v>3</v>
      </c>
      <c r="X855" t="s">
        <v>147</v>
      </c>
    </row>
    <row r="856" spans="1:24" x14ac:dyDescent="0.2">
      <c r="A856" t="str">
        <f t="shared" si="39"/>
        <v>sample_novaseq-16S-C-H03-L3_SICap-P12-H3-P1D14-RCM-C2R1-noBile-rep1-day14</v>
      </c>
      <c r="B856" s="1" t="s">
        <v>452</v>
      </c>
      <c r="C856" s="3" t="s">
        <v>1028</v>
      </c>
      <c r="D856" s="3" t="s">
        <v>1328</v>
      </c>
      <c r="E856" t="s">
        <v>20</v>
      </c>
      <c r="F856" t="s">
        <v>148</v>
      </c>
      <c r="G856" t="s">
        <v>132</v>
      </c>
      <c r="H856" t="str">
        <f t="shared" si="40"/>
        <v>03</v>
      </c>
      <c r="I856" t="str">
        <f t="shared" si="41"/>
        <v>H</v>
      </c>
      <c r="J856" t="s">
        <v>149</v>
      </c>
      <c r="K856" t="s">
        <v>130</v>
      </c>
      <c r="L856" t="s">
        <v>25</v>
      </c>
      <c r="M856" t="s">
        <v>33</v>
      </c>
      <c r="N856">
        <v>1</v>
      </c>
      <c r="O856">
        <v>14</v>
      </c>
      <c r="P856" t="s">
        <v>150</v>
      </c>
      <c r="Q856" t="s">
        <v>28</v>
      </c>
      <c r="R856" t="s">
        <v>28</v>
      </c>
      <c r="S856" t="s">
        <v>28</v>
      </c>
      <c r="T856" t="s">
        <v>28</v>
      </c>
      <c r="U856" t="s">
        <v>28</v>
      </c>
      <c r="V856" t="s">
        <v>28</v>
      </c>
      <c r="W856">
        <v>3</v>
      </c>
      <c r="X856" t="s">
        <v>147</v>
      </c>
    </row>
    <row r="857" spans="1:24" x14ac:dyDescent="0.2">
      <c r="A857" t="str">
        <f t="shared" si="39"/>
        <v>sample_novaseq-16S-C-H04-L3_SICap-P12-H4-P1D14-RCM-C2R2-noBile-rep1-day14</v>
      </c>
      <c r="B857" s="1" t="s">
        <v>453</v>
      </c>
      <c r="C857" s="3" t="s">
        <v>1029</v>
      </c>
      <c r="D857" s="3" t="s">
        <v>1328</v>
      </c>
      <c r="E857" t="s">
        <v>20</v>
      </c>
      <c r="F857" t="s">
        <v>148</v>
      </c>
      <c r="G857" t="s">
        <v>133</v>
      </c>
      <c r="H857" t="str">
        <f t="shared" si="40"/>
        <v>04</v>
      </c>
      <c r="I857" t="str">
        <f t="shared" si="41"/>
        <v>H</v>
      </c>
      <c r="J857" t="s">
        <v>149</v>
      </c>
      <c r="K857" t="s">
        <v>130</v>
      </c>
      <c r="L857" t="s">
        <v>25</v>
      </c>
      <c r="M857" t="s">
        <v>35</v>
      </c>
      <c r="N857">
        <v>1</v>
      </c>
      <c r="O857">
        <v>14</v>
      </c>
      <c r="P857" t="s">
        <v>150</v>
      </c>
      <c r="Q857" t="s">
        <v>28</v>
      </c>
      <c r="R857" t="s">
        <v>28</v>
      </c>
      <c r="S857" t="s">
        <v>28</v>
      </c>
      <c r="T857" t="s">
        <v>28</v>
      </c>
      <c r="U857" t="s">
        <v>28</v>
      </c>
      <c r="V857" t="s">
        <v>28</v>
      </c>
      <c r="W857">
        <v>3</v>
      </c>
      <c r="X857" t="s">
        <v>147</v>
      </c>
    </row>
    <row r="858" spans="1:24" x14ac:dyDescent="0.2">
      <c r="A858" t="str">
        <f t="shared" si="39"/>
        <v>sample_novaseq-16S-C-H05-L3_SICap-P12-H5-P1D14-RCM-C3R1-noBile-rep1-day14</v>
      </c>
      <c r="B858" s="1" t="s">
        <v>454</v>
      </c>
      <c r="C858" s="3" t="s">
        <v>1030</v>
      </c>
      <c r="D858" s="3" t="s">
        <v>1328</v>
      </c>
      <c r="E858" t="s">
        <v>20</v>
      </c>
      <c r="F858" t="s">
        <v>148</v>
      </c>
      <c r="G858" t="s">
        <v>134</v>
      </c>
      <c r="H858" t="str">
        <f t="shared" si="40"/>
        <v>05</v>
      </c>
      <c r="I858" t="str">
        <f t="shared" si="41"/>
        <v>H</v>
      </c>
      <c r="J858" t="s">
        <v>149</v>
      </c>
      <c r="K858" t="s">
        <v>130</v>
      </c>
      <c r="L858" t="s">
        <v>25</v>
      </c>
      <c r="M858" t="s">
        <v>37</v>
      </c>
      <c r="N858">
        <v>1</v>
      </c>
      <c r="O858">
        <v>14</v>
      </c>
      <c r="P858" t="s">
        <v>150</v>
      </c>
      <c r="Q858" t="s">
        <v>28</v>
      </c>
      <c r="R858" t="s">
        <v>28</v>
      </c>
      <c r="S858" t="s">
        <v>28</v>
      </c>
      <c r="T858" t="s">
        <v>28</v>
      </c>
      <c r="U858" t="s">
        <v>28</v>
      </c>
      <c r="V858" t="s">
        <v>28</v>
      </c>
      <c r="W858">
        <v>3</v>
      </c>
      <c r="X858" t="s">
        <v>147</v>
      </c>
    </row>
    <row r="859" spans="1:24" x14ac:dyDescent="0.2">
      <c r="A859" t="str">
        <f t="shared" si="39"/>
        <v>sample_novaseq-16S-C-H06-L3_SICap-P12-H6-P1D14-RCM-C3R2-noBile-rep1-day14</v>
      </c>
      <c r="B859" s="1" t="s">
        <v>455</v>
      </c>
      <c r="C859" s="3" t="s">
        <v>1031</v>
      </c>
      <c r="D859" s="3" t="s">
        <v>1328</v>
      </c>
      <c r="E859" t="s">
        <v>20</v>
      </c>
      <c r="F859" t="s">
        <v>148</v>
      </c>
      <c r="G859" t="s">
        <v>135</v>
      </c>
      <c r="H859" t="str">
        <f t="shared" si="40"/>
        <v>06</v>
      </c>
      <c r="I859" t="str">
        <f t="shared" si="41"/>
        <v>H</v>
      </c>
      <c r="J859" t="s">
        <v>149</v>
      </c>
      <c r="K859" t="s">
        <v>130</v>
      </c>
      <c r="L859" t="s">
        <v>25</v>
      </c>
      <c r="M859" t="s">
        <v>39</v>
      </c>
      <c r="N859">
        <v>1</v>
      </c>
      <c r="O859">
        <v>14</v>
      </c>
      <c r="P859" t="s">
        <v>150</v>
      </c>
      <c r="Q859" t="s">
        <v>28</v>
      </c>
      <c r="R859" t="s">
        <v>28</v>
      </c>
      <c r="S859" t="s">
        <v>28</v>
      </c>
      <c r="T859" t="s">
        <v>28</v>
      </c>
      <c r="U859" t="s">
        <v>28</v>
      </c>
      <c r="V859" t="s">
        <v>28</v>
      </c>
      <c r="W859">
        <v>3</v>
      </c>
      <c r="X859" t="s">
        <v>147</v>
      </c>
    </row>
    <row r="860" spans="1:24" x14ac:dyDescent="0.2">
      <c r="A860" t="str">
        <f t="shared" si="39"/>
        <v>sample_novaseq-16S-C-H07-L3_SICap-P12-H7-P1D14-RCM-C4R1-noBile-rep1-day14</v>
      </c>
      <c r="B860" s="1" t="s">
        <v>456</v>
      </c>
      <c r="C860" s="3" t="s">
        <v>1032</v>
      </c>
      <c r="D860" s="3" t="s">
        <v>1328</v>
      </c>
      <c r="E860" t="s">
        <v>20</v>
      </c>
      <c r="F860" t="s">
        <v>148</v>
      </c>
      <c r="G860" t="s">
        <v>136</v>
      </c>
      <c r="H860" t="str">
        <f t="shared" si="40"/>
        <v>07</v>
      </c>
      <c r="I860" t="str">
        <f t="shared" si="41"/>
        <v>H</v>
      </c>
      <c r="J860" t="s">
        <v>149</v>
      </c>
      <c r="K860" t="s">
        <v>130</v>
      </c>
      <c r="L860" t="s">
        <v>25</v>
      </c>
      <c r="M860" t="s">
        <v>41</v>
      </c>
      <c r="N860">
        <v>1</v>
      </c>
      <c r="O860">
        <v>14</v>
      </c>
      <c r="P860" t="s">
        <v>150</v>
      </c>
      <c r="Q860" t="s">
        <v>28</v>
      </c>
      <c r="R860" t="s">
        <v>28</v>
      </c>
      <c r="S860" t="s">
        <v>28</v>
      </c>
      <c r="T860" t="s">
        <v>28</v>
      </c>
      <c r="U860" t="s">
        <v>28</v>
      </c>
      <c r="V860" t="s">
        <v>28</v>
      </c>
      <c r="W860">
        <v>3</v>
      </c>
      <c r="X860" t="s">
        <v>147</v>
      </c>
    </row>
    <row r="861" spans="1:24" x14ac:dyDescent="0.2">
      <c r="A861" t="str">
        <f t="shared" si="39"/>
        <v>sample_novaseq-16S-C-H08-L3_SICap-P12-H8-P1D14-RCM-C4R2-noBile-rep1-day14</v>
      </c>
      <c r="B861" s="1" t="s">
        <v>457</v>
      </c>
      <c r="C861" s="3" t="s">
        <v>1033</v>
      </c>
      <c r="D861" s="3" t="s">
        <v>1328</v>
      </c>
      <c r="E861" t="s">
        <v>20</v>
      </c>
      <c r="F861" t="s">
        <v>148</v>
      </c>
      <c r="G861" t="s">
        <v>137</v>
      </c>
      <c r="H861" t="str">
        <f t="shared" si="40"/>
        <v>08</v>
      </c>
      <c r="I861" t="str">
        <f t="shared" si="41"/>
        <v>H</v>
      </c>
      <c r="J861" t="s">
        <v>149</v>
      </c>
      <c r="K861" t="s">
        <v>130</v>
      </c>
      <c r="L861" t="s">
        <v>25</v>
      </c>
      <c r="M861" t="s">
        <v>43</v>
      </c>
      <c r="N861">
        <v>1</v>
      </c>
      <c r="O861">
        <v>14</v>
      </c>
      <c r="P861" t="s">
        <v>150</v>
      </c>
      <c r="Q861" t="s">
        <v>28</v>
      </c>
      <c r="R861" t="s">
        <v>28</v>
      </c>
      <c r="S861" t="s">
        <v>28</v>
      </c>
      <c r="T861" t="s">
        <v>28</v>
      </c>
      <c r="U861" t="s">
        <v>28</v>
      </c>
      <c r="V861" t="s">
        <v>28</v>
      </c>
      <c r="W861">
        <v>3</v>
      </c>
      <c r="X861" t="s">
        <v>147</v>
      </c>
    </row>
    <row r="862" spans="1:24" x14ac:dyDescent="0.2">
      <c r="A862" t="str">
        <f t="shared" si="39"/>
        <v>sample_novaseq-16S-C-H09-L3_SICap-P12-H9-P1D14-RCM-S1R2-noBile-rep1-day14</v>
      </c>
      <c r="B862" s="1" t="s">
        <v>458</v>
      </c>
      <c r="C862" s="3" t="s">
        <v>1034</v>
      </c>
      <c r="D862" s="3" t="s">
        <v>1328</v>
      </c>
      <c r="E862" t="s">
        <v>20</v>
      </c>
      <c r="F862" t="s">
        <v>148</v>
      </c>
      <c r="G862" t="s">
        <v>138</v>
      </c>
      <c r="H862" t="str">
        <f t="shared" si="40"/>
        <v>09</v>
      </c>
      <c r="I862" t="str">
        <f t="shared" si="41"/>
        <v>H</v>
      </c>
      <c r="J862" t="s">
        <v>149</v>
      </c>
      <c r="K862" t="s">
        <v>130</v>
      </c>
      <c r="L862" t="s">
        <v>25</v>
      </c>
      <c r="M862" t="s">
        <v>45</v>
      </c>
      <c r="N862">
        <v>1</v>
      </c>
      <c r="O862">
        <v>14</v>
      </c>
      <c r="P862" t="s">
        <v>150</v>
      </c>
      <c r="Q862" t="s">
        <v>28</v>
      </c>
      <c r="R862" t="s">
        <v>28</v>
      </c>
      <c r="S862" t="s">
        <v>28</v>
      </c>
      <c r="T862" t="s">
        <v>28</v>
      </c>
      <c r="U862" t="s">
        <v>28</v>
      </c>
      <c r="V862" t="s">
        <v>28</v>
      </c>
      <c r="W862">
        <v>3</v>
      </c>
      <c r="X862" t="s">
        <v>147</v>
      </c>
    </row>
    <row r="863" spans="1:24" x14ac:dyDescent="0.2">
      <c r="A863" t="str">
        <f t="shared" si="39"/>
        <v>sample_novaseq-16S-C-H10-L3_SICap-P12-H10-P1D14-RCM-StoolPool-noBile-rep1-day14</v>
      </c>
      <c r="B863" s="1" t="s">
        <v>459</v>
      </c>
      <c r="C863" s="3" t="s">
        <v>1035</v>
      </c>
      <c r="D863" s="3" t="s">
        <v>1328</v>
      </c>
      <c r="E863" t="s">
        <v>20</v>
      </c>
      <c r="F863" t="s">
        <v>148</v>
      </c>
      <c r="G863" t="s">
        <v>139</v>
      </c>
      <c r="H863" t="str">
        <f t="shared" si="40"/>
        <v>10</v>
      </c>
      <c r="I863" t="str">
        <f t="shared" si="41"/>
        <v>H</v>
      </c>
      <c r="J863" t="s">
        <v>149</v>
      </c>
      <c r="K863" t="s">
        <v>130</v>
      </c>
      <c r="L863" t="s">
        <v>25</v>
      </c>
      <c r="M863" t="s">
        <v>47</v>
      </c>
      <c r="N863">
        <v>1</v>
      </c>
      <c r="O863">
        <v>14</v>
      </c>
      <c r="P863" t="s">
        <v>150</v>
      </c>
      <c r="Q863" t="s">
        <v>28</v>
      </c>
      <c r="R863" t="s">
        <v>28</v>
      </c>
      <c r="S863" t="s">
        <v>28</v>
      </c>
      <c r="T863" t="s">
        <v>28</v>
      </c>
      <c r="U863" t="s">
        <v>28</v>
      </c>
      <c r="V863" t="s">
        <v>28</v>
      </c>
      <c r="W863">
        <v>3</v>
      </c>
      <c r="X863" t="s">
        <v>147</v>
      </c>
    </row>
    <row r="864" spans="1:24" x14ac:dyDescent="0.2">
      <c r="A864" t="str">
        <f t="shared" si="39"/>
        <v>sample_novaseq-16S-C-H11-L3_SICap-P12-H11-P1D14-RCM-SIPool-noBile-rep1-day14</v>
      </c>
      <c r="B864" s="1" t="s">
        <v>460</v>
      </c>
      <c r="C864" s="3" t="s">
        <v>1036</v>
      </c>
      <c r="D864" s="3" t="s">
        <v>1328</v>
      </c>
      <c r="E864" t="s">
        <v>20</v>
      </c>
      <c r="F864" t="s">
        <v>148</v>
      </c>
      <c r="G864" t="s">
        <v>140</v>
      </c>
      <c r="H864" t="str">
        <f t="shared" si="40"/>
        <v>11</v>
      </c>
      <c r="I864" t="str">
        <f t="shared" si="41"/>
        <v>H</v>
      </c>
      <c r="J864" t="s">
        <v>149</v>
      </c>
      <c r="K864" t="s">
        <v>130</v>
      </c>
      <c r="L864" t="s">
        <v>25</v>
      </c>
      <c r="M864" t="s">
        <v>49</v>
      </c>
      <c r="N864">
        <v>1</v>
      </c>
      <c r="O864">
        <v>14</v>
      </c>
      <c r="P864" t="s">
        <v>150</v>
      </c>
      <c r="Q864" t="s">
        <v>28</v>
      </c>
      <c r="R864" t="s">
        <v>28</v>
      </c>
      <c r="S864" t="s">
        <v>28</v>
      </c>
      <c r="T864" t="s">
        <v>28</v>
      </c>
      <c r="U864" t="s">
        <v>28</v>
      </c>
      <c r="V864" t="s">
        <v>28</v>
      </c>
      <c r="W864">
        <v>3</v>
      </c>
      <c r="X864" t="s">
        <v>147</v>
      </c>
    </row>
    <row r="865" spans="1:24" x14ac:dyDescent="0.2">
      <c r="A865" t="str">
        <f t="shared" si="39"/>
        <v>sample_novaseq-16S-C-H12-L3_SICap-P12-H12-P1D14-RCM-Media-noBile-rep1-day14</v>
      </c>
      <c r="B865" s="1" t="s">
        <v>461</v>
      </c>
      <c r="C865" s="3" t="s">
        <v>1037</v>
      </c>
      <c r="D865" s="3" t="s">
        <v>1328</v>
      </c>
      <c r="E865" t="s">
        <v>20</v>
      </c>
      <c r="F865" t="s">
        <v>148</v>
      </c>
      <c r="G865" t="s">
        <v>141</v>
      </c>
      <c r="H865" t="str">
        <f t="shared" si="40"/>
        <v>12</v>
      </c>
      <c r="I865" t="str">
        <f t="shared" si="41"/>
        <v>H</v>
      </c>
      <c r="J865" t="s">
        <v>149</v>
      </c>
      <c r="K865" t="s">
        <v>130</v>
      </c>
      <c r="L865" t="s">
        <v>25</v>
      </c>
      <c r="M865" t="s">
        <v>6</v>
      </c>
      <c r="N865">
        <v>1</v>
      </c>
      <c r="O865">
        <v>14</v>
      </c>
      <c r="P865" t="s">
        <v>150</v>
      </c>
      <c r="Q865" t="s">
        <v>28</v>
      </c>
      <c r="R865" t="s">
        <v>28</v>
      </c>
      <c r="S865" t="s">
        <v>28</v>
      </c>
      <c r="T865" t="s">
        <v>28</v>
      </c>
      <c r="U865" t="s">
        <v>28</v>
      </c>
      <c r="V865" t="s">
        <v>28</v>
      </c>
      <c r="W865">
        <v>3</v>
      </c>
      <c r="X865" t="s">
        <v>147</v>
      </c>
    </row>
    <row r="866" spans="1:24" x14ac:dyDescent="0.2">
      <c r="A866" t="str">
        <f t="shared" si="39"/>
        <v>sample_novaseq-16S-D-A01-L6_SICap-P15-A1-P4D14-M9-C1R1-yesBile-rep1-day14</v>
      </c>
      <c r="B866" s="1" t="s">
        <v>462</v>
      </c>
      <c r="C866" s="3" t="s">
        <v>1038</v>
      </c>
      <c r="D866" s="3" t="s">
        <v>1328</v>
      </c>
      <c r="E866" t="s">
        <v>20</v>
      </c>
      <c r="F866" t="s">
        <v>152</v>
      </c>
      <c r="G866" t="s">
        <v>22</v>
      </c>
      <c r="H866" t="str">
        <f t="shared" si="40"/>
        <v>01</v>
      </c>
      <c r="I866" t="str">
        <f t="shared" si="41"/>
        <v>A</v>
      </c>
      <c r="J866" t="s">
        <v>153</v>
      </c>
      <c r="K866" t="s">
        <v>24</v>
      </c>
      <c r="L866" t="s">
        <v>142</v>
      </c>
      <c r="M866" t="s">
        <v>26</v>
      </c>
      <c r="N866">
        <v>1</v>
      </c>
      <c r="O866">
        <v>14</v>
      </c>
      <c r="P866" t="s">
        <v>154</v>
      </c>
      <c r="Q866" t="s">
        <v>28</v>
      </c>
      <c r="R866" t="s">
        <v>28</v>
      </c>
      <c r="S866" t="s">
        <v>28</v>
      </c>
      <c r="T866" t="s">
        <v>28</v>
      </c>
      <c r="U866" t="s">
        <v>28</v>
      </c>
      <c r="V866" t="s">
        <v>28</v>
      </c>
      <c r="W866">
        <v>6</v>
      </c>
      <c r="X866" t="s">
        <v>151</v>
      </c>
    </row>
    <row r="867" spans="1:24" x14ac:dyDescent="0.2">
      <c r="A867" t="str">
        <f t="shared" si="39"/>
        <v>sample_novaseq-16S-D-A02-L6_SICap-P15-A2-P4D14-M9-C1R2-yesBile-rep1-day14</v>
      </c>
      <c r="B867" s="1" t="s">
        <v>463</v>
      </c>
      <c r="C867" s="3" t="s">
        <v>1039</v>
      </c>
      <c r="D867" s="3" t="s">
        <v>1328</v>
      </c>
      <c r="E867" t="s">
        <v>20</v>
      </c>
      <c r="F867" t="s">
        <v>152</v>
      </c>
      <c r="G867" t="s">
        <v>30</v>
      </c>
      <c r="H867" t="str">
        <f t="shared" si="40"/>
        <v>02</v>
      </c>
      <c r="I867" t="str">
        <f t="shared" si="41"/>
        <v>A</v>
      </c>
      <c r="J867" t="s">
        <v>153</v>
      </c>
      <c r="K867" t="s">
        <v>24</v>
      </c>
      <c r="L867" t="s">
        <v>142</v>
      </c>
      <c r="M867" t="s">
        <v>31</v>
      </c>
      <c r="N867">
        <v>1</v>
      </c>
      <c r="O867">
        <v>14</v>
      </c>
      <c r="P867" t="s">
        <v>154</v>
      </c>
      <c r="Q867" t="s">
        <v>28</v>
      </c>
      <c r="R867" t="s">
        <v>28</v>
      </c>
      <c r="S867" t="s">
        <v>28</v>
      </c>
      <c r="T867" t="s">
        <v>28</v>
      </c>
      <c r="U867" t="s">
        <v>28</v>
      </c>
      <c r="V867" t="s">
        <v>28</v>
      </c>
      <c r="W867">
        <v>6</v>
      </c>
      <c r="X867" t="s">
        <v>151</v>
      </c>
    </row>
    <row r="868" spans="1:24" x14ac:dyDescent="0.2">
      <c r="A868" t="str">
        <f t="shared" si="39"/>
        <v>sample_novaseq-16S-D-A03-L6_SICap-P15-A3-P4D14-M9-C2R1-yesBile-rep1-day14</v>
      </c>
      <c r="B868" s="1" t="s">
        <v>464</v>
      </c>
      <c r="C868" s="3" t="s">
        <v>1040</v>
      </c>
      <c r="D868" s="3" t="s">
        <v>1328</v>
      </c>
      <c r="E868" t="s">
        <v>20</v>
      </c>
      <c r="F868" t="s">
        <v>152</v>
      </c>
      <c r="G868" t="s">
        <v>32</v>
      </c>
      <c r="H868" t="str">
        <f t="shared" si="40"/>
        <v>03</v>
      </c>
      <c r="I868" t="str">
        <f t="shared" si="41"/>
        <v>A</v>
      </c>
      <c r="J868" t="s">
        <v>153</v>
      </c>
      <c r="K868" t="s">
        <v>24</v>
      </c>
      <c r="L868" t="s">
        <v>142</v>
      </c>
      <c r="M868" t="s">
        <v>33</v>
      </c>
      <c r="N868">
        <v>1</v>
      </c>
      <c r="O868">
        <v>14</v>
      </c>
      <c r="P868" t="s">
        <v>154</v>
      </c>
      <c r="Q868" t="s">
        <v>28</v>
      </c>
      <c r="R868" t="s">
        <v>28</v>
      </c>
      <c r="S868" t="s">
        <v>28</v>
      </c>
      <c r="T868" t="s">
        <v>28</v>
      </c>
      <c r="U868" t="s">
        <v>28</v>
      </c>
      <c r="V868" t="s">
        <v>28</v>
      </c>
      <c r="W868">
        <v>6</v>
      </c>
      <c r="X868" t="s">
        <v>151</v>
      </c>
    </row>
    <row r="869" spans="1:24" x14ac:dyDescent="0.2">
      <c r="A869" t="str">
        <f t="shared" si="39"/>
        <v>sample_novaseq-16S-D-A04-L6_SICap-P15-A4-P4D14-M9-C2R2-yesBile-rep1-day14</v>
      </c>
      <c r="B869" s="1" t="s">
        <v>465</v>
      </c>
      <c r="C869" s="3" t="s">
        <v>1041</v>
      </c>
      <c r="D869" s="3" t="s">
        <v>1328</v>
      </c>
      <c r="E869" t="s">
        <v>20</v>
      </c>
      <c r="F869" t="s">
        <v>152</v>
      </c>
      <c r="G869" t="s">
        <v>34</v>
      </c>
      <c r="H869" t="str">
        <f t="shared" si="40"/>
        <v>04</v>
      </c>
      <c r="I869" t="str">
        <f t="shared" si="41"/>
        <v>A</v>
      </c>
      <c r="J869" t="s">
        <v>153</v>
      </c>
      <c r="K869" t="s">
        <v>24</v>
      </c>
      <c r="L869" t="s">
        <v>142</v>
      </c>
      <c r="M869" t="s">
        <v>35</v>
      </c>
      <c r="N869">
        <v>1</v>
      </c>
      <c r="O869">
        <v>14</v>
      </c>
      <c r="P869" t="s">
        <v>154</v>
      </c>
      <c r="Q869" t="s">
        <v>28</v>
      </c>
      <c r="R869" t="s">
        <v>28</v>
      </c>
      <c r="S869" t="s">
        <v>28</v>
      </c>
      <c r="T869" t="s">
        <v>28</v>
      </c>
      <c r="U869" t="s">
        <v>28</v>
      </c>
      <c r="V869" t="s">
        <v>28</v>
      </c>
      <c r="W869">
        <v>6</v>
      </c>
      <c r="X869" t="s">
        <v>151</v>
      </c>
    </row>
    <row r="870" spans="1:24" x14ac:dyDescent="0.2">
      <c r="A870" t="str">
        <f t="shared" si="39"/>
        <v>sample_novaseq-16S-D-A05-L6_SICap-P15-A5-P4D14-M9-C3R1-yesBile-rep1-day14</v>
      </c>
      <c r="B870" s="1" t="s">
        <v>466</v>
      </c>
      <c r="C870" s="3" t="s">
        <v>1042</v>
      </c>
      <c r="D870" s="3" t="s">
        <v>1328</v>
      </c>
      <c r="E870" t="s">
        <v>20</v>
      </c>
      <c r="F870" t="s">
        <v>152</v>
      </c>
      <c r="G870" t="s">
        <v>36</v>
      </c>
      <c r="H870" t="str">
        <f t="shared" si="40"/>
        <v>05</v>
      </c>
      <c r="I870" t="str">
        <f t="shared" si="41"/>
        <v>A</v>
      </c>
      <c r="J870" t="s">
        <v>153</v>
      </c>
      <c r="K870" t="s">
        <v>24</v>
      </c>
      <c r="L870" t="s">
        <v>142</v>
      </c>
      <c r="M870" t="s">
        <v>37</v>
      </c>
      <c r="N870">
        <v>1</v>
      </c>
      <c r="O870">
        <v>14</v>
      </c>
      <c r="P870" t="s">
        <v>154</v>
      </c>
      <c r="Q870" t="s">
        <v>28</v>
      </c>
      <c r="R870" t="s">
        <v>28</v>
      </c>
      <c r="S870" t="s">
        <v>28</v>
      </c>
      <c r="T870" t="s">
        <v>28</v>
      </c>
      <c r="U870" t="s">
        <v>28</v>
      </c>
      <c r="V870" t="s">
        <v>28</v>
      </c>
      <c r="W870">
        <v>6</v>
      </c>
      <c r="X870" t="s">
        <v>151</v>
      </c>
    </row>
    <row r="871" spans="1:24" x14ac:dyDescent="0.2">
      <c r="A871" t="str">
        <f t="shared" si="39"/>
        <v>sample_novaseq-16S-D-A06-L6_SICap-P15-A6-P4D14-M9-C3R2-yesBile-rep1-day14</v>
      </c>
      <c r="B871" s="1" t="s">
        <v>467</v>
      </c>
      <c r="C871" s="3" t="s">
        <v>1043</v>
      </c>
      <c r="D871" s="3" t="s">
        <v>1328</v>
      </c>
      <c r="E871" t="s">
        <v>20</v>
      </c>
      <c r="F871" t="s">
        <v>152</v>
      </c>
      <c r="G871" t="s">
        <v>38</v>
      </c>
      <c r="H871" t="str">
        <f t="shared" si="40"/>
        <v>06</v>
      </c>
      <c r="I871" t="str">
        <f t="shared" si="41"/>
        <v>A</v>
      </c>
      <c r="J871" t="s">
        <v>153</v>
      </c>
      <c r="K871" t="s">
        <v>24</v>
      </c>
      <c r="L871" t="s">
        <v>142</v>
      </c>
      <c r="M871" t="s">
        <v>39</v>
      </c>
      <c r="N871">
        <v>1</v>
      </c>
      <c r="O871">
        <v>14</v>
      </c>
      <c r="P871" t="s">
        <v>154</v>
      </c>
      <c r="Q871" t="s">
        <v>28</v>
      </c>
      <c r="R871" t="s">
        <v>28</v>
      </c>
      <c r="S871" t="s">
        <v>28</v>
      </c>
      <c r="T871" t="s">
        <v>28</v>
      </c>
      <c r="U871" t="s">
        <v>28</v>
      </c>
      <c r="V871" t="s">
        <v>28</v>
      </c>
      <c r="W871">
        <v>6</v>
      </c>
      <c r="X871" t="s">
        <v>151</v>
      </c>
    </row>
    <row r="872" spans="1:24" x14ac:dyDescent="0.2">
      <c r="A872" t="str">
        <f t="shared" si="39"/>
        <v>sample_novaseq-16S-D-A07-L6_SICap-P15-A7-P4D14-M9-C4R1-yesBile-rep1-day14</v>
      </c>
      <c r="B872" s="1" t="s">
        <v>468</v>
      </c>
      <c r="C872" s="3" t="s">
        <v>1044</v>
      </c>
      <c r="D872" s="3" t="s">
        <v>1328</v>
      </c>
      <c r="E872" t="s">
        <v>20</v>
      </c>
      <c r="F872" t="s">
        <v>152</v>
      </c>
      <c r="G872" t="s">
        <v>40</v>
      </c>
      <c r="H872" t="str">
        <f t="shared" si="40"/>
        <v>07</v>
      </c>
      <c r="I872" t="str">
        <f t="shared" si="41"/>
        <v>A</v>
      </c>
      <c r="J872" t="s">
        <v>153</v>
      </c>
      <c r="K872" t="s">
        <v>24</v>
      </c>
      <c r="L872" t="s">
        <v>142</v>
      </c>
      <c r="M872" t="s">
        <v>41</v>
      </c>
      <c r="N872">
        <v>1</v>
      </c>
      <c r="O872">
        <v>14</v>
      </c>
      <c r="P872" t="s">
        <v>154</v>
      </c>
      <c r="Q872" t="s">
        <v>28</v>
      </c>
      <c r="R872" t="s">
        <v>28</v>
      </c>
      <c r="S872" t="s">
        <v>28</v>
      </c>
      <c r="T872" t="s">
        <v>28</v>
      </c>
      <c r="U872" t="s">
        <v>28</v>
      </c>
      <c r="V872" t="s">
        <v>28</v>
      </c>
      <c r="W872">
        <v>6</v>
      </c>
      <c r="X872" t="s">
        <v>151</v>
      </c>
    </row>
    <row r="873" spans="1:24" x14ac:dyDescent="0.2">
      <c r="A873" t="str">
        <f t="shared" si="39"/>
        <v>sample_novaseq-16S-D-A08-L6_SICap-P15-A8-P4D14-M9-C4R2-yesBile-rep1-day14</v>
      </c>
      <c r="B873" s="1" t="s">
        <v>469</v>
      </c>
      <c r="C873" s="3" t="s">
        <v>1045</v>
      </c>
      <c r="D873" s="3" t="s">
        <v>1328</v>
      </c>
      <c r="E873" t="s">
        <v>20</v>
      </c>
      <c r="F873" t="s">
        <v>152</v>
      </c>
      <c r="G873" t="s">
        <v>42</v>
      </c>
      <c r="H873" t="str">
        <f t="shared" si="40"/>
        <v>08</v>
      </c>
      <c r="I873" t="str">
        <f t="shared" si="41"/>
        <v>A</v>
      </c>
      <c r="J873" t="s">
        <v>153</v>
      </c>
      <c r="K873" t="s">
        <v>24</v>
      </c>
      <c r="L873" t="s">
        <v>142</v>
      </c>
      <c r="M873" t="s">
        <v>43</v>
      </c>
      <c r="N873">
        <v>1</v>
      </c>
      <c r="O873">
        <v>14</v>
      </c>
      <c r="P873" t="s">
        <v>154</v>
      </c>
      <c r="Q873" t="s">
        <v>28</v>
      </c>
      <c r="R873" t="s">
        <v>28</v>
      </c>
      <c r="S873" t="s">
        <v>28</v>
      </c>
      <c r="T873" t="s">
        <v>28</v>
      </c>
      <c r="U873" t="s">
        <v>28</v>
      </c>
      <c r="V873" t="s">
        <v>28</v>
      </c>
      <c r="W873">
        <v>6</v>
      </c>
      <c r="X873" t="s">
        <v>151</v>
      </c>
    </row>
    <row r="874" spans="1:24" x14ac:dyDescent="0.2">
      <c r="A874" t="str">
        <f t="shared" si="39"/>
        <v>sample_novaseq-16S-D-A09-L6_SICap-P15-A9-P4D14-M9-S1R2-yesBile-rep1-day14</v>
      </c>
      <c r="B874" s="1" t="s">
        <v>470</v>
      </c>
      <c r="C874" s="3" t="s">
        <v>1046</v>
      </c>
      <c r="D874" s="3" t="s">
        <v>1328</v>
      </c>
      <c r="E874" t="s">
        <v>20</v>
      </c>
      <c r="F874" t="s">
        <v>152</v>
      </c>
      <c r="G874" t="s">
        <v>44</v>
      </c>
      <c r="H874" t="str">
        <f t="shared" si="40"/>
        <v>09</v>
      </c>
      <c r="I874" t="str">
        <f t="shared" si="41"/>
        <v>A</v>
      </c>
      <c r="J874" t="s">
        <v>153</v>
      </c>
      <c r="K874" t="s">
        <v>24</v>
      </c>
      <c r="L874" t="s">
        <v>142</v>
      </c>
      <c r="M874" t="s">
        <v>45</v>
      </c>
      <c r="N874">
        <v>1</v>
      </c>
      <c r="O874">
        <v>14</v>
      </c>
      <c r="P874" t="s">
        <v>154</v>
      </c>
      <c r="Q874" t="s">
        <v>28</v>
      </c>
      <c r="R874" t="s">
        <v>28</v>
      </c>
      <c r="S874" t="s">
        <v>28</v>
      </c>
      <c r="T874" t="s">
        <v>28</v>
      </c>
      <c r="U874" t="s">
        <v>28</v>
      </c>
      <c r="V874" t="s">
        <v>28</v>
      </c>
      <c r="W874">
        <v>6</v>
      </c>
      <c r="X874" t="s">
        <v>151</v>
      </c>
    </row>
    <row r="875" spans="1:24" x14ac:dyDescent="0.2">
      <c r="A875" t="str">
        <f t="shared" si="39"/>
        <v>sample_novaseq-16S-D-A10-L6_SICap-P15-A10-P4D14-M9-StoolPool-yesBile-rep1-day14</v>
      </c>
      <c r="B875" s="1" t="s">
        <v>471</v>
      </c>
      <c r="C875" s="3" t="s">
        <v>1047</v>
      </c>
      <c r="D875" s="3" t="s">
        <v>1328</v>
      </c>
      <c r="E875" t="s">
        <v>20</v>
      </c>
      <c r="F875" t="s">
        <v>152</v>
      </c>
      <c r="G875" t="s">
        <v>46</v>
      </c>
      <c r="H875" t="str">
        <f t="shared" si="40"/>
        <v>10</v>
      </c>
      <c r="I875" t="str">
        <f t="shared" si="41"/>
        <v>A</v>
      </c>
      <c r="J875" t="s">
        <v>153</v>
      </c>
      <c r="K875" t="s">
        <v>24</v>
      </c>
      <c r="L875" t="s">
        <v>142</v>
      </c>
      <c r="M875" t="s">
        <v>47</v>
      </c>
      <c r="N875">
        <v>1</v>
      </c>
      <c r="O875">
        <v>14</v>
      </c>
      <c r="P875" t="s">
        <v>154</v>
      </c>
      <c r="Q875" t="s">
        <v>28</v>
      </c>
      <c r="R875" t="s">
        <v>28</v>
      </c>
      <c r="S875" t="s">
        <v>28</v>
      </c>
      <c r="T875" t="s">
        <v>28</v>
      </c>
      <c r="U875" t="s">
        <v>28</v>
      </c>
      <c r="V875" t="s">
        <v>28</v>
      </c>
      <c r="W875">
        <v>6</v>
      </c>
      <c r="X875" t="s">
        <v>151</v>
      </c>
    </row>
    <row r="876" spans="1:24" x14ac:dyDescent="0.2">
      <c r="A876" t="str">
        <f t="shared" si="39"/>
        <v>sample_novaseq-16S-D-A11-L6_SICap-P15-A11-P4D14-M9-SIPool-yesBile-rep1-day14</v>
      </c>
      <c r="B876" s="1" t="s">
        <v>472</v>
      </c>
      <c r="C876" s="3" t="s">
        <v>1048</v>
      </c>
      <c r="D876" s="3" t="s">
        <v>1328</v>
      </c>
      <c r="E876" t="s">
        <v>20</v>
      </c>
      <c r="F876" t="s">
        <v>152</v>
      </c>
      <c r="G876" t="s">
        <v>48</v>
      </c>
      <c r="H876" t="str">
        <f t="shared" si="40"/>
        <v>11</v>
      </c>
      <c r="I876" t="str">
        <f t="shared" si="41"/>
        <v>A</v>
      </c>
      <c r="J876" t="s">
        <v>153</v>
      </c>
      <c r="K876" t="s">
        <v>24</v>
      </c>
      <c r="L876" t="s">
        <v>142</v>
      </c>
      <c r="M876" t="s">
        <v>49</v>
      </c>
      <c r="N876">
        <v>1</v>
      </c>
      <c r="O876">
        <v>14</v>
      </c>
      <c r="P876" t="s">
        <v>154</v>
      </c>
      <c r="Q876" t="s">
        <v>28</v>
      </c>
      <c r="R876" t="s">
        <v>28</v>
      </c>
      <c r="S876" t="s">
        <v>28</v>
      </c>
      <c r="T876" t="s">
        <v>28</v>
      </c>
      <c r="U876" t="s">
        <v>28</v>
      </c>
      <c r="V876" t="s">
        <v>28</v>
      </c>
      <c r="W876">
        <v>6</v>
      </c>
      <c r="X876" t="s">
        <v>151</v>
      </c>
    </row>
    <row r="877" spans="1:24" x14ac:dyDescent="0.2">
      <c r="A877" t="str">
        <f t="shared" si="39"/>
        <v>sample_novaseq-16S-D-A12-L6_SICap-P15-A12-P4D14-M9-Media-yesBile-rep1-day14</v>
      </c>
      <c r="B877" s="1" t="s">
        <v>473</v>
      </c>
      <c r="C877" s="3" t="s">
        <v>1049</v>
      </c>
      <c r="D877" s="3" t="s">
        <v>1328</v>
      </c>
      <c r="E877" t="s">
        <v>20</v>
      </c>
      <c r="F877" t="s">
        <v>152</v>
      </c>
      <c r="G877" t="s">
        <v>50</v>
      </c>
      <c r="H877" t="str">
        <f t="shared" si="40"/>
        <v>12</v>
      </c>
      <c r="I877" t="str">
        <f t="shared" si="41"/>
        <v>A</v>
      </c>
      <c r="J877" t="s">
        <v>153</v>
      </c>
      <c r="K877" t="s">
        <v>24</v>
      </c>
      <c r="L877" t="s">
        <v>142</v>
      </c>
      <c r="M877" t="s">
        <v>6</v>
      </c>
      <c r="N877">
        <v>1</v>
      </c>
      <c r="O877">
        <v>14</v>
      </c>
      <c r="P877" t="s">
        <v>154</v>
      </c>
      <c r="Q877" t="s">
        <v>28</v>
      </c>
      <c r="R877" t="s">
        <v>28</v>
      </c>
      <c r="S877" t="s">
        <v>28</v>
      </c>
      <c r="T877" t="s">
        <v>28</v>
      </c>
      <c r="U877" t="s">
        <v>28</v>
      </c>
      <c r="V877" t="s">
        <v>28</v>
      </c>
      <c r="W877">
        <v>6</v>
      </c>
      <c r="X877" t="s">
        <v>151</v>
      </c>
    </row>
    <row r="878" spans="1:24" x14ac:dyDescent="0.2">
      <c r="A878" t="str">
        <f t="shared" si="39"/>
        <v>sample_novaseq-16S-D-B01-L6_SICap-P15-B1-P4D14-EZ-RDM-C1R1-yesBile-rep1-day14</v>
      </c>
      <c r="B878" s="1" t="s">
        <v>474</v>
      </c>
      <c r="C878" s="3" t="s">
        <v>1050</v>
      </c>
      <c r="D878" s="3" t="s">
        <v>1328</v>
      </c>
      <c r="E878" t="s">
        <v>20</v>
      </c>
      <c r="F878" t="s">
        <v>152</v>
      </c>
      <c r="G878" t="s">
        <v>51</v>
      </c>
      <c r="H878" t="str">
        <f t="shared" si="40"/>
        <v>01</v>
      </c>
      <c r="I878" t="str">
        <f t="shared" si="41"/>
        <v>B</v>
      </c>
      <c r="J878" t="s">
        <v>153</v>
      </c>
      <c r="K878" t="s">
        <v>52</v>
      </c>
      <c r="L878" t="s">
        <v>142</v>
      </c>
      <c r="M878" t="s">
        <v>26</v>
      </c>
      <c r="N878">
        <v>1</v>
      </c>
      <c r="O878">
        <v>14</v>
      </c>
      <c r="P878" t="s">
        <v>154</v>
      </c>
      <c r="Q878" t="s">
        <v>28</v>
      </c>
      <c r="R878" t="s">
        <v>28</v>
      </c>
      <c r="S878" t="s">
        <v>28</v>
      </c>
      <c r="T878" t="s">
        <v>28</v>
      </c>
      <c r="U878" t="s">
        <v>28</v>
      </c>
      <c r="V878" t="s">
        <v>28</v>
      </c>
      <c r="W878">
        <v>6</v>
      </c>
      <c r="X878" t="s">
        <v>151</v>
      </c>
    </row>
    <row r="879" spans="1:24" x14ac:dyDescent="0.2">
      <c r="A879" t="str">
        <f t="shared" si="39"/>
        <v>sample_novaseq-16S-D-B02-L6_SICap-P15-B2-P4D14-EZ-RDM-C1R2-yesBile-rep1-day14</v>
      </c>
      <c r="B879" s="1" t="s">
        <v>475</v>
      </c>
      <c r="C879" s="3" t="s">
        <v>1051</v>
      </c>
      <c r="D879" s="3" t="s">
        <v>1328</v>
      </c>
      <c r="E879" t="s">
        <v>20</v>
      </c>
      <c r="F879" t="s">
        <v>152</v>
      </c>
      <c r="G879" t="s">
        <v>53</v>
      </c>
      <c r="H879" t="str">
        <f t="shared" si="40"/>
        <v>02</v>
      </c>
      <c r="I879" t="str">
        <f t="shared" si="41"/>
        <v>B</v>
      </c>
      <c r="J879" t="s">
        <v>153</v>
      </c>
      <c r="K879" t="s">
        <v>52</v>
      </c>
      <c r="L879" t="s">
        <v>142</v>
      </c>
      <c r="M879" t="s">
        <v>31</v>
      </c>
      <c r="N879">
        <v>1</v>
      </c>
      <c r="O879">
        <v>14</v>
      </c>
      <c r="P879" t="s">
        <v>154</v>
      </c>
      <c r="Q879" t="s">
        <v>28</v>
      </c>
      <c r="R879" t="s">
        <v>28</v>
      </c>
      <c r="S879" t="s">
        <v>28</v>
      </c>
      <c r="T879" t="s">
        <v>28</v>
      </c>
      <c r="U879" t="s">
        <v>28</v>
      </c>
      <c r="V879" t="s">
        <v>28</v>
      </c>
      <c r="W879">
        <v>6</v>
      </c>
      <c r="X879" t="s">
        <v>151</v>
      </c>
    </row>
    <row r="880" spans="1:24" x14ac:dyDescent="0.2">
      <c r="A880" t="str">
        <f t="shared" si="39"/>
        <v>sample_novaseq-16S-D-B03-L6_SICap-P15-B3-P4D14-EZ-RDM-C2R1-yesBile-rep1-day14</v>
      </c>
      <c r="B880" s="1" t="s">
        <v>476</v>
      </c>
      <c r="C880" s="3" t="s">
        <v>1052</v>
      </c>
      <c r="D880" s="3" t="s">
        <v>1328</v>
      </c>
      <c r="E880" t="s">
        <v>20</v>
      </c>
      <c r="F880" t="s">
        <v>152</v>
      </c>
      <c r="G880" t="s">
        <v>54</v>
      </c>
      <c r="H880" t="str">
        <f t="shared" si="40"/>
        <v>03</v>
      </c>
      <c r="I880" t="str">
        <f t="shared" si="41"/>
        <v>B</v>
      </c>
      <c r="J880" t="s">
        <v>153</v>
      </c>
      <c r="K880" t="s">
        <v>52</v>
      </c>
      <c r="L880" t="s">
        <v>142</v>
      </c>
      <c r="M880" t="s">
        <v>33</v>
      </c>
      <c r="N880">
        <v>1</v>
      </c>
      <c r="O880">
        <v>14</v>
      </c>
      <c r="P880" t="s">
        <v>154</v>
      </c>
      <c r="Q880" t="s">
        <v>28</v>
      </c>
      <c r="R880" t="s">
        <v>28</v>
      </c>
      <c r="S880" t="s">
        <v>28</v>
      </c>
      <c r="T880" t="s">
        <v>28</v>
      </c>
      <c r="U880" t="s">
        <v>28</v>
      </c>
      <c r="V880" t="s">
        <v>28</v>
      </c>
      <c r="W880">
        <v>6</v>
      </c>
      <c r="X880" t="s">
        <v>151</v>
      </c>
    </row>
    <row r="881" spans="1:24" x14ac:dyDescent="0.2">
      <c r="A881" t="str">
        <f t="shared" si="39"/>
        <v>sample_novaseq-16S-D-B04-L6_SICap-P15-B4-P4D14-EZ-RDM-C2R2-yesBile-rep1-day14</v>
      </c>
      <c r="B881" s="1" t="s">
        <v>477</v>
      </c>
      <c r="C881" s="3" t="s">
        <v>1053</v>
      </c>
      <c r="D881" s="3" t="s">
        <v>1328</v>
      </c>
      <c r="E881" t="s">
        <v>20</v>
      </c>
      <c r="F881" t="s">
        <v>152</v>
      </c>
      <c r="G881" t="s">
        <v>55</v>
      </c>
      <c r="H881" t="str">
        <f t="shared" si="40"/>
        <v>04</v>
      </c>
      <c r="I881" t="str">
        <f t="shared" si="41"/>
        <v>B</v>
      </c>
      <c r="J881" t="s">
        <v>153</v>
      </c>
      <c r="K881" t="s">
        <v>52</v>
      </c>
      <c r="L881" t="s">
        <v>142</v>
      </c>
      <c r="M881" t="s">
        <v>35</v>
      </c>
      <c r="N881">
        <v>1</v>
      </c>
      <c r="O881">
        <v>14</v>
      </c>
      <c r="P881" t="s">
        <v>154</v>
      </c>
      <c r="Q881" t="s">
        <v>28</v>
      </c>
      <c r="R881" t="s">
        <v>28</v>
      </c>
      <c r="S881" t="s">
        <v>28</v>
      </c>
      <c r="T881" t="s">
        <v>28</v>
      </c>
      <c r="U881" t="s">
        <v>28</v>
      </c>
      <c r="V881" t="s">
        <v>28</v>
      </c>
      <c r="W881">
        <v>6</v>
      </c>
      <c r="X881" t="s">
        <v>151</v>
      </c>
    </row>
    <row r="882" spans="1:24" x14ac:dyDescent="0.2">
      <c r="A882" t="str">
        <f t="shared" si="39"/>
        <v>sample_novaseq-16S-D-B05-L6_SICap-P15-B5-P4D14-EZ-RDM-C3R1-yesBile-rep1-day14</v>
      </c>
      <c r="B882" s="1" t="s">
        <v>478</v>
      </c>
      <c r="C882" s="3" t="s">
        <v>1054</v>
      </c>
      <c r="D882" s="3" t="s">
        <v>1328</v>
      </c>
      <c r="E882" t="s">
        <v>20</v>
      </c>
      <c r="F882" t="s">
        <v>152</v>
      </c>
      <c r="G882" t="s">
        <v>56</v>
      </c>
      <c r="H882" t="str">
        <f t="shared" si="40"/>
        <v>05</v>
      </c>
      <c r="I882" t="str">
        <f t="shared" si="41"/>
        <v>B</v>
      </c>
      <c r="J882" t="s">
        <v>153</v>
      </c>
      <c r="K882" t="s">
        <v>52</v>
      </c>
      <c r="L882" t="s">
        <v>142</v>
      </c>
      <c r="M882" t="s">
        <v>37</v>
      </c>
      <c r="N882">
        <v>1</v>
      </c>
      <c r="O882">
        <v>14</v>
      </c>
      <c r="P882" t="s">
        <v>154</v>
      </c>
      <c r="Q882" t="s">
        <v>28</v>
      </c>
      <c r="R882" t="s">
        <v>28</v>
      </c>
      <c r="S882" t="s">
        <v>28</v>
      </c>
      <c r="T882" t="s">
        <v>28</v>
      </c>
      <c r="U882" t="s">
        <v>28</v>
      </c>
      <c r="V882" t="s">
        <v>28</v>
      </c>
      <c r="W882">
        <v>6</v>
      </c>
      <c r="X882" t="s">
        <v>151</v>
      </c>
    </row>
    <row r="883" spans="1:24" x14ac:dyDescent="0.2">
      <c r="A883" t="str">
        <f t="shared" si="39"/>
        <v>sample_novaseq-16S-D-B06-L6_SICap-P15-B6-P4D14-EZ-RDM-C3R2-yesBile-rep1-day14</v>
      </c>
      <c r="B883" s="1" t="s">
        <v>479</v>
      </c>
      <c r="C883" s="3" t="s">
        <v>1055</v>
      </c>
      <c r="D883" s="3" t="s">
        <v>1328</v>
      </c>
      <c r="E883" t="s">
        <v>20</v>
      </c>
      <c r="F883" t="s">
        <v>152</v>
      </c>
      <c r="G883" t="s">
        <v>57</v>
      </c>
      <c r="H883" t="str">
        <f t="shared" si="40"/>
        <v>06</v>
      </c>
      <c r="I883" t="str">
        <f t="shared" si="41"/>
        <v>B</v>
      </c>
      <c r="J883" t="s">
        <v>153</v>
      </c>
      <c r="K883" t="s">
        <v>52</v>
      </c>
      <c r="L883" t="s">
        <v>142</v>
      </c>
      <c r="M883" t="s">
        <v>39</v>
      </c>
      <c r="N883">
        <v>1</v>
      </c>
      <c r="O883">
        <v>14</v>
      </c>
      <c r="P883" t="s">
        <v>154</v>
      </c>
      <c r="Q883" t="s">
        <v>28</v>
      </c>
      <c r="R883" t="s">
        <v>28</v>
      </c>
      <c r="S883" t="s">
        <v>28</v>
      </c>
      <c r="T883" t="s">
        <v>28</v>
      </c>
      <c r="U883" t="s">
        <v>28</v>
      </c>
      <c r="V883" t="s">
        <v>28</v>
      </c>
      <c r="W883">
        <v>6</v>
      </c>
      <c r="X883" t="s">
        <v>151</v>
      </c>
    </row>
    <row r="884" spans="1:24" x14ac:dyDescent="0.2">
      <c r="A884" t="str">
        <f t="shared" si="39"/>
        <v>sample_novaseq-16S-D-B07-L6_SICap-P15-B7-P4D14-EZ-RDM-C4R1-yesBile-rep1-day14</v>
      </c>
      <c r="B884" s="1" t="s">
        <v>480</v>
      </c>
      <c r="C884" s="3" t="s">
        <v>1056</v>
      </c>
      <c r="D884" s="3" t="s">
        <v>1328</v>
      </c>
      <c r="E884" t="s">
        <v>20</v>
      </c>
      <c r="F884" t="s">
        <v>152</v>
      </c>
      <c r="G884" t="s">
        <v>58</v>
      </c>
      <c r="H884" t="str">
        <f t="shared" si="40"/>
        <v>07</v>
      </c>
      <c r="I884" t="str">
        <f t="shared" si="41"/>
        <v>B</v>
      </c>
      <c r="J884" t="s">
        <v>153</v>
      </c>
      <c r="K884" t="s">
        <v>52</v>
      </c>
      <c r="L884" t="s">
        <v>142</v>
      </c>
      <c r="M884" t="s">
        <v>41</v>
      </c>
      <c r="N884">
        <v>1</v>
      </c>
      <c r="O884">
        <v>14</v>
      </c>
      <c r="P884" t="s">
        <v>154</v>
      </c>
      <c r="Q884" t="s">
        <v>28</v>
      </c>
      <c r="R884" t="s">
        <v>28</v>
      </c>
      <c r="S884" t="s">
        <v>28</v>
      </c>
      <c r="T884" t="s">
        <v>28</v>
      </c>
      <c r="U884" t="s">
        <v>28</v>
      </c>
      <c r="V884" t="s">
        <v>28</v>
      </c>
      <c r="W884">
        <v>6</v>
      </c>
      <c r="X884" t="s">
        <v>151</v>
      </c>
    </row>
    <row r="885" spans="1:24" x14ac:dyDescent="0.2">
      <c r="A885" t="str">
        <f t="shared" si="39"/>
        <v>sample_novaseq-16S-D-B08-L6_SICap-P15-B8-P4D14-EZ-RDM-C4R2-yesBile-rep1-day14</v>
      </c>
      <c r="B885" s="1" t="s">
        <v>481</v>
      </c>
      <c r="C885" s="3" t="s">
        <v>1057</v>
      </c>
      <c r="D885" s="3" t="s">
        <v>1328</v>
      </c>
      <c r="E885" t="s">
        <v>20</v>
      </c>
      <c r="F885" t="s">
        <v>152</v>
      </c>
      <c r="G885" t="s">
        <v>59</v>
      </c>
      <c r="H885" t="str">
        <f t="shared" si="40"/>
        <v>08</v>
      </c>
      <c r="I885" t="str">
        <f t="shared" si="41"/>
        <v>B</v>
      </c>
      <c r="J885" t="s">
        <v>153</v>
      </c>
      <c r="K885" t="s">
        <v>52</v>
      </c>
      <c r="L885" t="s">
        <v>142</v>
      </c>
      <c r="M885" t="s">
        <v>43</v>
      </c>
      <c r="N885">
        <v>1</v>
      </c>
      <c r="O885">
        <v>14</v>
      </c>
      <c r="P885" t="s">
        <v>154</v>
      </c>
      <c r="Q885" t="s">
        <v>28</v>
      </c>
      <c r="R885" t="s">
        <v>28</v>
      </c>
      <c r="S885" t="s">
        <v>28</v>
      </c>
      <c r="T885" t="s">
        <v>28</v>
      </c>
      <c r="U885" t="s">
        <v>28</v>
      </c>
      <c r="V885" t="s">
        <v>28</v>
      </c>
      <c r="W885">
        <v>6</v>
      </c>
      <c r="X885" t="s">
        <v>151</v>
      </c>
    </row>
    <row r="886" spans="1:24" x14ac:dyDescent="0.2">
      <c r="A886" t="str">
        <f t="shared" si="39"/>
        <v>sample_novaseq-16S-D-B09-L6_SICap-P15-B9-P4D14-EZ-RDM-S1R2-yesBile-rep1-day14</v>
      </c>
      <c r="B886" s="1" t="s">
        <v>482</v>
      </c>
      <c r="C886" s="3" t="s">
        <v>1058</v>
      </c>
      <c r="D886" s="3" t="s">
        <v>1328</v>
      </c>
      <c r="E886" t="s">
        <v>20</v>
      </c>
      <c r="F886" t="s">
        <v>152</v>
      </c>
      <c r="G886" t="s">
        <v>60</v>
      </c>
      <c r="H886" t="str">
        <f t="shared" si="40"/>
        <v>09</v>
      </c>
      <c r="I886" t="str">
        <f t="shared" si="41"/>
        <v>B</v>
      </c>
      <c r="J886" t="s">
        <v>153</v>
      </c>
      <c r="K886" t="s">
        <v>52</v>
      </c>
      <c r="L886" t="s">
        <v>142</v>
      </c>
      <c r="M886" t="s">
        <v>45</v>
      </c>
      <c r="N886">
        <v>1</v>
      </c>
      <c r="O886">
        <v>14</v>
      </c>
      <c r="P886" t="s">
        <v>154</v>
      </c>
      <c r="Q886" t="s">
        <v>28</v>
      </c>
      <c r="R886" t="s">
        <v>28</v>
      </c>
      <c r="S886" t="s">
        <v>28</v>
      </c>
      <c r="T886" t="s">
        <v>28</v>
      </c>
      <c r="U886" t="s">
        <v>28</v>
      </c>
      <c r="V886" t="s">
        <v>28</v>
      </c>
      <c r="W886">
        <v>6</v>
      </c>
      <c r="X886" t="s">
        <v>151</v>
      </c>
    </row>
    <row r="887" spans="1:24" x14ac:dyDescent="0.2">
      <c r="A887" t="str">
        <f t="shared" si="39"/>
        <v>sample_novaseq-16S-D-B10-L6_SICap-P15-B10-P4D14-EZ-RDM-StoolPool-yesBile-rep1-day14</v>
      </c>
      <c r="B887" s="1" t="s">
        <v>483</v>
      </c>
      <c r="C887" s="3" t="s">
        <v>1059</v>
      </c>
      <c r="D887" s="3" t="s">
        <v>1328</v>
      </c>
      <c r="E887" t="s">
        <v>20</v>
      </c>
      <c r="F887" t="s">
        <v>152</v>
      </c>
      <c r="G887" t="s">
        <v>61</v>
      </c>
      <c r="H887" t="str">
        <f t="shared" si="40"/>
        <v>10</v>
      </c>
      <c r="I887" t="str">
        <f t="shared" si="41"/>
        <v>B</v>
      </c>
      <c r="J887" t="s">
        <v>153</v>
      </c>
      <c r="K887" t="s">
        <v>52</v>
      </c>
      <c r="L887" t="s">
        <v>142</v>
      </c>
      <c r="M887" t="s">
        <v>47</v>
      </c>
      <c r="N887">
        <v>1</v>
      </c>
      <c r="O887">
        <v>14</v>
      </c>
      <c r="P887" t="s">
        <v>154</v>
      </c>
      <c r="Q887" t="s">
        <v>28</v>
      </c>
      <c r="R887" t="s">
        <v>28</v>
      </c>
      <c r="S887" t="s">
        <v>28</v>
      </c>
      <c r="T887" t="s">
        <v>28</v>
      </c>
      <c r="U887" t="s">
        <v>28</v>
      </c>
      <c r="V887" t="s">
        <v>28</v>
      </c>
      <c r="W887">
        <v>6</v>
      </c>
      <c r="X887" t="s">
        <v>151</v>
      </c>
    </row>
    <row r="888" spans="1:24" x14ac:dyDescent="0.2">
      <c r="A888" t="str">
        <f t="shared" si="39"/>
        <v>sample_novaseq-16S-D-B11-L6_SICap-P15-B11-P4D14-EZ-RDM-SIPool-yesBile-rep1-day14</v>
      </c>
      <c r="B888" s="1" t="s">
        <v>484</v>
      </c>
      <c r="C888" s="3" t="s">
        <v>1060</v>
      </c>
      <c r="D888" s="3" t="s">
        <v>1328</v>
      </c>
      <c r="E888" t="s">
        <v>20</v>
      </c>
      <c r="F888" t="s">
        <v>152</v>
      </c>
      <c r="G888" t="s">
        <v>62</v>
      </c>
      <c r="H888" t="str">
        <f t="shared" si="40"/>
        <v>11</v>
      </c>
      <c r="I888" t="str">
        <f t="shared" si="41"/>
        <v>B</v>
      </c>
      <c r="J888" t="s">
        <v>153</v>
      </c>
      <c r="K888" t="s">
        <v>52</v>
      </c>
      <c r="L888" t="s">
        <v>142</v>
      </c>
      <c r="M888" t="s">
        <v>49</v>
      </c>
      <c r="N888">
        <v>1</v>
      </c>
      <c r="O888">
        <v>14</v>
      </c>
      <c r="P888" t="s">
        <v>154</v>
      </c>
      <c r="Q888" t="s">
        <v>28</v>
      </c>
      <c r="R888" t="s">
        <v>28</v>
      </c>
      <c r="S888" t="s">
        <v>28</v>
      </c>
      <c r="T888" t="s">
        <v>28</v>
      </c>
      <c r="U888" t="s">
        <v>28</v>
      </c>
      <c r="V888" t="s">
        <v>28</v>
      </c>
      <c r="W888">
        <v>6</v>
      </c>
      <c r="X888" t="s">
        <v>151</v>
      </c>
    </row>
    <row r="889" spans="1:24" x14ac:dyDescent="0.2">
      <c r="A889" t="str">
        <f t="shared" si="39"/>
        <v>sample_novaseq-16S-D-B12-L6_SICap-P15-B12-P4D14-EZ-RDM-Media-yesBile-rep1-day14</v>
      </c>
      <c r="B889" s="1" t="s">
        <v>485</v>
      </c>
      <c r="C889" s="3" t="s">
        <v>1061</v>
      </c>
      <c r="D889" s="3" t="s">
        <v>1328</v>
      </c>
      <c r="E889" t="s">
        <v>20</v>
      </c>
      <c r="F889" t="s">
        <v>152</v>
      </c>
      <c r="G889" t="s">
        <v>63</v>
      </c>
      <c r="H889" t="str">
        <f t="shared" si="40"/>
        <v>12</v>
      </c>
      <c r="I889" t="str">
        <f t="shared" si="41"/>
        <v>B</v>
      </c>
      <c r="J889" t="s">
        <v>153</v>
      </c>
      <c r="K889" t="s">
        <v>52</v>
      </c>
      <c r="L889" t="s">
        <v>142</v>
      </c>
      <c r="M889" t="s">
        <v>6</v>
      </c>
      <c r="N889">
        <v>1</v>
      </c>
      <c r="O889">
        <v>14</v>
      </c>
      <c r="P889" t="s">
        <v>154</v>
      </c>
      <c r="Q889" t="s">
        <v>28</v>
      </c>
      <c r="R889" t="s">
        <v>28</v>
      </c>
      <c r="S889" t="s">
        <v>28</v>
      </c>
      <c r="T889" t="s">
        <v>28</v>
      </c>
      <c r="U889" t="s">
        <v>28</v>
      </c>
      <c r="V889" t="s">
        <v>28</v>
      </c>
      <c r="W889">
        <v>6</v>
      </c>
      <c r="X889" t="s">
        <v>151</v>
      </c>
    </row>
    <row r="890" spans="1:24" x14ac:dyDescent="0.2">
      <c r="A890" t="str">
        <f t="shared" si="39"/>
        <v>sample_novaseq-16S-D-C01-L6_SICap-P15-C1-P4D14-BHI-C1R1-yesBile-rep1-day14</v>
      </c>
      <c r="B890" s="1" t="s">
        <v>486</v>
      </c>
      <c r="C890" s="3" t="s">
        <v>1062</v>
      </c>
      <c r="D890" s="3" t="s">
        <v>1328</v>
      </c>
      <c r="E890" t="s">
        <v>20</v>
      </c>
      <c r="F890" t="s">
        <v>152</v>
      </c>
      <c r="G890" t="s">
        <v>64</v>
      </c>
      <c r="H890" t="str">
        <f t="shared" si="40"/>
        <v>01</v>
      </c>
      <c r="I890" t="str">
        <f t="shared" si="41"/>
        <v>C</v>
      </c>
      <c r="J890" t="s">
        <v>153</v>
      </c>
      <c r="K890" t="s">
        <v>65</v>
      </c>
      <c r="L890" t="s">
        <v>142</v>
      </c>
      <c r="M890" t="s">
        <v>26</v>
      </c>
      <c r="N890">
        <v>1</v>
      </c>
      <c r="O890">
        <v>14</v>
      </c>
      <c r="P890" t="s">
        <v>154</v>
      </c>
      <c r="Q890" t="s">
        <v>28</v>
      </c>
      <c r="R890" t="s">
        <v>28</v>
      </c>
      <c r="S890" t="s">
        <v>28</v>
      </c>
      <c r="T890" t="s">
        <v>28</v>
      </c>
      <c r="U890" t="s">
        <v>28</v>
      </c>
      <c r="V890" t="s">
        <v>28</v>
      </c>
      <c r="W890">
        <v>6</v>
      </c>
      <c r="X890" t="s">
        <v>151</v>
      </c>
    </row>
    <row r="891" spans="1:24" x14ac:dyDescent="0.2">
      <c r="A891" t="str">
        <f t="shared" si="39"/>
        <v>sample_novaseq-16S-D-C02-L6_SICap-P15-C2-P4D14-BHI-C1R2-yesBile-rep1-day14</v>
      </c>
      <c r="B891" s="1" t="s">
        <v>487</v>
      </c>
      <c r="C891" s="3" t="s">
        <v>1063</v>
      </c>
      <c r="D891" s="3" t="s">
        <v>1328</v>
      </c>
      <c r="E891" t="s">
        <v>20</v>
      </c>
      <c r="F891" t="s">
        <v>152</v>
      </c>
      <c r="G891" t="s">
        <v>66</v>
      </c>
      <c r="H891" t="str">
        <f t="shared" si="40"/>
        <v>02</v>
      </c>
      <c r="I891" t="str">
        <f t="shared" si="41"/>
        <v>C</v>
      </c>
      <c r="J891" t="s">
        <v>153</v>
      </c>
      <c r="K891" t="s">
        <v>65</v>
      </c>
      <c r="L891" t="s">
        <v>142</v>
      </c>
      <c r="M891" t="s">
        <v>31</v>
      </c>
      <c r="N891">
        <v>1</v>
      </c>
      <c r="O891">
        <v>14</v>
      </c>
      <c r="P891" t="s">
        <v>154</v>
      </c>
      <c r="Q891" t="s">
        <v>28</v>
      </c>
      <c r="R891" t="s">
        <v>28</v>
      </c>
      <c r="S891" t="s">
        <v>28</v>
      </c>
      <c r="T891" t="s">
        <v>28</v>
      </c>
      <c r="U891" t="s">
        <v>28</v>
      </c>
      <c r="V891" t="s">
        <v>28</v>
      </c>
      <c r="W891">
        <v>6</v>
      </c>
      <c r="X891" t="s">
        <v>151</v>
      </c>
    </row>
    <row r="892" spans="1:24" x14ac:dyDescent="0.2">
      <c r="A892" t="str">
        <f t="shared" si="39"/>
        <v>sample_novaseq-16S-D-C03-L6_SICap-P15-C3-P4D14-BHI-C2R1-yesBile-rep1-day14</v>
      </c>
      <c r="B892" s="1" t="s">
        <v>488</v>
      </c>
      <c r="C892" s="3" t="s">
        <v>1064</v>
      </c>
      <c r="D892" s="3" t="s">
        <v>1328</v>
      </c>
      <c r="E892" t="s">
        <v>20</v>
      </c>
      <c r="F892" t="s">
        <v>152</v>
      </c>
      <c r="G892" t="s">
        <v>67</v>
      </c>
      <c r="H892" t="str">
        <f t="shared" si="40"/>
        <v>03</v>
      </c>
      <c r="I892" t="str">
        <f t="shared" si="41"/>
        <v>C</v>
      </c>
      <c r="J892" t="s">
        <v>153</v>
      </c>
      <c r="K892" t="s">
        <v>65</v>
      </c>
      <c r="L892" t="s">
        <v>142</v>
      </c>
      <c r="M892" t="s">
        <v>33</v>
      </c>
      <c r="N892">
        <v>1</v>
      </c>
      <c r="O892">
        <v>14</v>
      </c>
      <c r="P892" t="s">
        <v>154</v>
      </c>
      <c r="Q892" t="s">
        <v>28</v>
      </c>
      <c r="R892" t="s">
        <v>28</v>
      </c>
      <c r="S892" t="s">
        <v>28</v>
      </c>
      <c r="T892" t="s">
        <v>28</v>
      </c>
      <c r="U892" t="s">
        <v>28</v>
      </c>
      <c r="V892" t="s">
        <v>28</v>
      </c>
      <c r="W892">
        <v>6</v>
      </c>
      <c r="X892" t="s">
        <v>151</v>
      </c>
    </row>
    <row r="893" spans="1:24" x14ac:dyDescent="0.2">
      <c r="A893" t="str">
        <f t="shared" si="39"/>
        <v>sample_novaseq-16S-D-C04-L6_SICap-P15-C4-P4D14-BHI-C2R2-yesBile-rep1-day14</v>
      </c>
      <c r="B893" s="1" t="s">
        <v>489</v>
      </c>
      <c r="C893" s="3" t="s">
        <v>1065</v>
      </c>
      <c r="D893" s="3" t="s">
        <v>1328</v>
      </c>
      <c r="E893" t="s">
        <v>20</v>
      </c>
      <c r="F893" t="s">
        <v>152</v>
      </c>
      <c r="G893" t="s">
        <v>68</v>
      </c>
      <c r="H893" t="str">
        <f t="shared" si="40"/>
        <v>04</v>
      </c>
      <c r="I893" t="str">
        <f t="shared" si="41"/>
        <v>C</v>
      </c>
      <c r="J893" t="s">
        <v>153</v>
      </c>
      <c r="K893" t="s">
        <v>65</v>
      </c>
      <c r="L893" t="s">
        <v>142</v>
      </c>
      <c r="M893" t="s">
        <v>35</v>
      </c>
      <c r="N893">
        <v>1</v>
      </c>
      <c r="O893">
        <v>14</v>
      </c>
      <c r="P893" t="s">
        <v>154</v>
      </c>
      <c r="Q893" t="s">
        <v>28</v>
      </c>
      <c r="R893" t="s">
        <v>28</v>
      </c>
      <c r="S893" t="s">
        <v>28</v>
      </c>
      <c r="T893" t="s">
        <v>28</v>
      </c>
      <c r="U893" t="s">
        <v>28</v>
      </c>
      <c r="V893" t="s">
        <v>28</v>
      </c>
      <c r="W893">
        <v>6</v>
      </c>
      <c r="X893" t="s">
        <v>151</v>
      </c>
    </row>
    <row r="894" spans="1:24" x14ac:dyDescent="0.2">
      <c r="A894" t="str">
        <f t="shared" si="39"/>
        <v>sample_novaseq-16S-D-C05-L6_SICap-P15-C5-P4D14-BHI-C3R1-yesBile-rep1-day14</v>
      </c>
      <c r="B894" s="1" t="s">
        <v>490</v>
      </c>
      <c r="C894" s="3" t="s">
        <v>1066</v>
      </c>
      <c r="D894" s="3" t="s">
        <v>1328</v>
      </c>
      <c r="E894" t="s">
        <v>20</v>
      </c>
      <c r="F894" t="s">
        <v>152</v>
      </c>
      <c r="G894" t="s">
        <v>69</v>
      </c>
      <c r="H894" t="str">
        <f t="shared" si="40"/>
        <v>05</v>
      </c>
      <c r="I894" t="str">
        <f t="shared" si="41"/>
        <v>C</v>
      </c>
      <c r="J894" t="s">
        <v>153</v>
      </c>
      <c r="K894" t="s">
        <v>65</v>
      </c>
      <c r="L894" t="s">
        <v>142</v>
      </c>
      <c r="M894" t="s">
        <v>37</v>
      </c>
      <c r="N894">
        <v>1</v>
      </c>
      <c r="O894">
        <v>14</v>
      </c>
      <c r="P894" t="s">
        <v>154</v>
      </c>
      <c r="Q894" t="s">
        <v>28</v>
      </c>
      <c r="R894" t="s">
        <v>28</v>
      </c>
      <c r="S894" t="s">
        <v>28</v>
      </c>
      <c r="T894" t="s">
        <v>28</v>
      </c>
      <c r="U894" t="s">
        <v>28</v>
      </c>
      <c r="V894" t="s">
        <v>28</v>
      </c>
      <c r="W894">
        <v>6</v>
      </c>
      <c r="X894" t="s">
        <v>151</v>
      </c>
    </row>
    <row r="895" spans="1:24" x14ac:dyDescent="0.2">
      <c r="A895" t="str">
        <f t="shared" si="39"/>
        <v>sample_novaseq-16S-D-C06-L6_SICap-P15-C6-P4D14-BHI-C3R2-yesBile-rep1-day14</v>
      </c>
      <c r="B895" s="1" t="s">
        <v>491</v>
      </c>
      <c r="C895" s="3" t="s">
        <v>1067</v>
      </c>
      <c r="D895" s="3" t="s">
        <v>1328</v>
      </c>
      <c r="E895" t="s">
        <v>20</v>
      </c>
      <c r="F895" t="s">
        <v>152</v>
      </c>
      <c r="G895" t="s">
        <v>70</v>
      </c>
      <c r="H895" t="str">
        <f t="shared" si="40"/>
        <v>06</v>
      </c>
      <c r="I895" t="str">
        <f t="shared" si="41"/>
        <v>C</v>
      </c>
      <c r="J895" t="s">
        <v>153</v>
      </c>
      <c r="K895" t="s">
        <v>65</v>
      </c>
      <c r="L895" t="s">
        <v>142</v>
      </c>
      <c r="M895" t="s">
        <v>39</v>
      </c>
      <c r="N895">
        <v>1</v>
      </c>
      <c r="O895">
        <v>14</v>
      </c>
      <c r="P895" t="s">
        <v>154</v>
      </c>
      <c r="Q895" t="s">
        <v>28</v>
      </c>
      <c r="R895" t="s">
        <v>28</v>
      </c>
      <c r="S895" t="s">
        <v>28</v>
      </c>
      <c r="T895" t="s">
        <v>28</v>
      </c>
      <c r="U895" t="s">
        <v>28</v>
      </c>
      <c r="V895" t="s">
        <v>28</v>
      </c>
      <c r="W895">
        <v>6</v>
      </c>
      <c r="X895" t="s">
        <v>151</v>
      </c>
    </row>
    <row r="896" spans="1:24" x14ac:dyDescent="0.2">
      <c r="A896" t="str">
        <f t="shared" si="39"/>
        <v>sample_novaseq-16S-D-C07-L6_SICap-P15-C7-P4D14-BHI-C4R1-yesBile-rep1-day14</v>
      </c>
      <c r="B896" s="1" t="s">
        <v>492</v>
      </c>
      <c r="C896" s="3" t="s">
        <v>1068</v>
      </c>
      <c r="D896" s="3" t="s">
        <v>1328</v>
      </c>
      <c r="E896" t="s">
        <v>20</v>
      </c>
      <c r="F896" t="s">
        <v>152</v>
      </c>
      <c r="G896" t="s">
        <v>71</v>
      </c>
      <c r="H896" t="str">
        <f t="shared" si="40"/>
        <v>07</v>
      </c>
      <c r="I896" t="str">
        <f t="shared" si="41"/>
        <v>C</v>
      </c>
      <c r="J896" t="s">
        <v>153</v>
      </c>
      <c r="K896" t="s">
        <v>65</v>
      </c>
      <c r="L896" t="s">
        <v>142</v>
      </c>
      <c r="M896" t="s">
        <v>41</v>
      </c>
      <c r="N896">
        <v>1</v>
      </c>
      <c r="O896">
        <v>14</v>
      </c>
      <c r="P896" t="s">
        <v>154</v>
      </c>
      <c r="Q896" t="s">
        <v>28</v>
      </c>
      <c r="R896" t="s">
        <v>28</v>
      </c>
      <c r="S896" t="s">
        <v>28</v>
      </c>
      <c r="T896" t="s">
        <v>28</v>
      </c>
      <c r="U896" t="s">
        <v>28</v>
      </c>
      <c r="V896" t="s">
        <v>28</v>
      </c>
      <c r="W896">
        <v>6</v>
      </c>
      <c r="X896" t="s">
        <v>151</v>
      </c>
    </row>
    <row r="897" spans="1:24" x14ac:dyDescent="0.2">
      <c r="A897" t="str">
        <f t="shared" si="39"/>
        <v>sample_novaseq-16S-D-C08-L6_SICap-P15-C8-P4D14-BHI-C4R2-yesBile-rep1-day14</v>
      </c>
      <c r="B897" s="1" t="s">
        <v>493</v>
      </c>
      <c r="C897" s="3" t="s">
        <v>1069</v>
      </c>
      <c r="D897" s="3" t="s">
        <v>1328</v>
      </c>
      <c r="E897" t="s">
        <v>20</v>
      </c>
      <c r="F897" t="s">
        <v>152</v>
      </c>
      <c r="G897" t="s">
        <v>72</v>
      </c>
      <c r="H897" t="str">
        <f t="shared" si="40"/>
        <v>08</v>
      </c>
      <c r="I897" t="str">
        <f t="shared" si="41"/>
        <v>C</v>
      </c>
      <c r="J897" t="s">
        <v>153</v>
      </c>
      <c r="K897" t="s">
        <v>65</v>
      </c>
      <c r="L897" t="s">
        <v>142</v>
      </c>
      <c r="M897" t="s">
        <v>43</v>
      </c>
      <c r="N897">
        <v>1</v>
      </c>
      <c r="O897">
        <v>14</v>
      </c>
      <c r="P897" t="s">
        <v>154</v>
      </c>
      <c r="Q897" t="s">
        <v>28</v>
      </c>
      <c r="R897" t="s">
        <v>28</v>
      </c>
      <c r="S897" t="s">
        <v>28</v>
      </c>
      <c r="T897" t="s">
        <v>28</v>
      </c>
      <c r="U897" t="s">
        <v>28</v>
      </c>
      <c r="V897" t="s">
        <v>28</v>
      </c>
      <c r="W897">
        <v>6</v>
      </c>
      <c r="X897" t="s">
        <v>151</v>
      </c>
    </row>
    <row r="898" spans="1:24" x14ac:dyDescent="0.2">
      <c r="A898" t="str">
        <f t="shared" si="39"/>
        <v>sample_novaseq-16S-D-C09-L6_SICap-P15-C9-P4D14-BHI-S1R2-yesBile-rep1-day14</v>
      </c>
      <c r="B898" s="1" t="s">
        <v>494</v>
      </c>
      <c r="C898" s="3" t="s">
        <v>1070</v>
      </c>
      <c r="D898" s="3" t="s">
        <v>1328</v>
      </c>
      <c r="E898" t="s">
        <v>20</v>
      </c>
      <c r="F898" t="s">
        <v>152</v>
      </c>
      <c r="G898" t="s">
        <v>73</v>
      </c>
      <c r="H898" t="str">
        <f t="shared" si="40"/>
        <v>09</v>
      </c>
      <c r="I898" t="str">
        <f t="shared" si="41"/>
        <v>C</v>
      </c>
      <c r="J898" t="s">
        <v>153</v>
      </c>
      <c r="K898" t="s">
        <v>65</v>
      </c>
      <c r="L898" t="s">
        <v>142</v>
      </c>
      <c r="M898" t="s">
        <v>45</v>
      </c>
      <c r="N898">
        <v>1</v>
      </c>
      <c r="O898">
        <v>14</v>
      </c>
      <c r="P898" t="s">
        <v>154</v>
      </c>
      <c r="Q898" t="s">
        <v>28</v>
      </c>
      <c r="R898" t="s">
        <v>28</v>
      </c>
      <c r="S898" t="s">
        <v>28</v>
      </c>
      <c r="T898" t="s">
        <v>28</v>
      </c>
      <c r="U898" t="s">
        <v>28</v>
      </c>
      <c r="V898" t="s">
        <v>28</v>
      </c>
      <c r="W898">
        <v>6</v>
      </c>
      <c r="X898" t="s">
        <v>151</v>
      </c>
    </row>
    <row r="899" spans="1:24" x14ac:dyDescent="0.2">
      <c r="A899" t="str">
        <f t="shared" ref="A899:A962" si="42">_xlfn.CONCAT("sample_novaseq-",C899)</f>
        <v>sample_novaseq-16S-D-C10-L6_SICap-P15-C10-P4D14-BHI-StoolPool-yesBile-rep1-day14</v>
      </c>
      <c r="B899" s="1" t="s">
        <v>495</v>
      </c>
      <c r="C899" s="3" t="s">
        <v>1071</v>
      </c>
      <c r="D899" s="3" t="s">
        <v>1328</v>
      </c>
      <c r="E899" t="s">
        <v>20</v>
      </c>
      <c r="F899" t="s">
        <v>152</v>
      </c>
      <c r="G899" t="s">
        <v>74</v>
      </c>
      <c r="H899" t="str">
        <f t="shared" ref="H899:H962" si="43">RIGHT(G899,2)</f>
        <v>10</v>
      </c>
      <c r="I899" t="str">
        <f t="shared" ref="I899:I962" si="44">LEFT(G899)</f>
        <v>C</v>
      </c>
      <c r="J899" t="s">
        <v>153</v>
      </c>
      <c r="K899" t="s">
        <v>65</v>
      </c>
      <c r="L899" t="s">
        <v>142</v>
      </c>
      <c r="M899" t="s">
        <v>47</v>
      </c>
      <c r="N899">
        <v>1</v>
      </c>
      <c r="O899">
        <v>14</v>
      </c>
      <c r="P899" t="s">
        <v>154</v>
      </c>
      <c r="Q899" t="s">
        <v>28</v>
      </c>
      <c r="R899" t="s">
        <v>28</v>
      </c>
      <c r="S899" t="s">
        <v>28</v>
      </c>
      <c r="T899" t="s">
        <v>28</v>
      </c>
      <c r="U899" t="s">
        <v>28</v>
      </c>
      <c r="V899" t="s">
        <v>28</v>
      </c>
      <c r="W899">
        <v>6</v>
      </c>
      <c r="X899" t="s">
        <v>151</v>
      </c>
    </row>
    <row r="900" spans="1:24" x14ac:dyDescent="0.2">
      <c r="A900" t="str">
        <f t="shared" si="42"/>
        <v>sample_novaseq-16S-D-C11-L6_SICap-P15-C11-P4D14-BHI-SIPool-yesBile-rep1-day14</v>
      </c>
      <c r="B900" s="1" t="s">
        <v>496</v>
      </c>
      <c r="C900" s="3" t="s">
        <v>1072</v>
      </c>
      <c r="D900" s="3" t="s">
        <v>1328</v>
      </c>
      <c r="E900" t="s">
        <v>20</v>
      </c>
      <c r="F900" t="s">
        <v>152</v>
      </c>
      <c r="G900" t="s">
        <v>75</v>
      </c>
      <c r="H900" t="str">
        <f t="shared" si="43"/>
        <v>11</v>
      </c>
      <c r="I900" t="str">
        <f t="shared" si="44"/>
        <v>C</v>
      </c>
      <c r="J900" t="s">
        <v>153</v>
      </c>
      <c r="K900" t="s">
        <v>65</v>
      </c>
      <c r="L900" t="s">
        <v>142</v>
      </c>
      <c r="M900" t="s">
        <v>49</v>
      </c>
      <c r="N900">
        <v>1</v>
      </c>
      <c r="O900">
        <v>14</v>
      </c>
      <c r="P900" t="s">
        <v>154</v>
      </c>
      <c r="Q900" t="s">
        <v>28</v>
      </c>
      <c r="R900" t="s">
        <v>28</v>
      </c>
      <c r="S900" t="s">
        <v>28</v>
      </c>
      <c r="T900" t="s">
        <v>28</v>
      </c>
      <c r="U900" t="s">
        <v>28</v>
      </c>
      <c r="V900" t="s">
        <v>28</v>
      </c>
      <c r="W900">
        <v>6</v>
      </c>
      <c r="X900" t="s">
        <v>151</v>
      </c>
    </row>
    <row r="901" spans="1:24" x14ac:dyDescent="0.2">
      <c r="A901" t="str">
        <f t="shared" si="42"/>
        <v>sample_novaseq-16S-D-C12-L6_SICap-P15-C12-P4D14-BHI-Media-yesBile-rep1-day14</v>
      </c>
      <c r="B901" s="1" t="s">
        <v>497</v>
      </c>
      <c r="C901" s="3" t="s">
        <v>1073</v>
      </c>
      <c r="D901" s="3" t="s">
        <v>1328</v>
      </c>
      <c r="E901" t="s">
        <v>20</v>
      </c>
      <c r="F901" t="s">
        <v>152</v>
      </c>
      <c r="G901" t="s">
        <v>76</v>
      </c>
      <c r="H901" t="str">
        <f t="shared" si="43"/>
        <v>12</v>
      </c>
      <c r="I901" t="str">
        <f t="shared" si="44"/>
        <v>C</v>
      </c>
      <c r="J901" t="s">
        <v>153</v>
      </c>
      <c r="K901" t="s">
        <v>65</v>
      </c>
      <c r="L901" t="s">
        <v>142</v>
      </c>
      <c r="M901" t="s">
        <v>6</v>
      </c>
      <c r="N901">
        <v>1</v>
      </c>
      <c r="O901">
        <v>14</v>
      </c>
      <c r="P901" t="s">
        <v>154</v>
      </c>
      <c r="Q901" t="s">
        <v>28</v>
      </c>
      <c r="R901" t="s">
        <v>28</v>
      </c>
      <c r="S901" t="s">
        <v>28</v>
      </c>
      <c r="T901" t="s">
        <v>28</v>
      </c>
      <c r="U901" t="s">
        <v>28</v>
      </c>
      <c r="V901" t="s">
        <v>28</v>
      </c>
      <c r="W901">
        <v>6</v>
      </c>
      <c r="X901" t="s">
        <v>151</v>
      </c>
    </row>
    <row r="902" spans="1:24" x14ac:dyDescent="0.2">
      <c r="A902" t="str">
        <f t="shared" si="42"/>
        <v>sample_novaseq-16S-D-D01-L6_SICap-P15-D1-P4D14-GAM-C1R1-yesBile-rep1-day14</v>
      </c>
      <c r="B902" s="1" t="s">
        <v>498</v>
      </c>
      <c r="C902" s="3" t="s">
        <v>1074</v>
      </c>
      <c r="D902" s="3" t="s">
        <v>1328</v>
      </c>
      <c r="E902" t="s">
        <v>20</v>
      </c>
      <c r="F902" t="s">
        <v>152</v>
      </c>
      <c r="G902" t="s">
        <v>77</v>
      </c>
      <c r="H902" t="str">
        <f t="shared" si="43"/>
        <v>01</v>
      </c>
      <c r="I902" t="str">
        <f t="shared" si="44"/>
        <v>D</v>
      </c>
      <c r="J902" t="s">
        <v>153</v>
      </c>
      <c r="K902" t="s">
        <v>78</v>
      </c>
      <c r="L902" t="s">
        <v>142</v>
      </c>
      <c r="M902" t="s">
        <v>26</v>
      </c>
      <c r="N902">
        <v>1</v>
      </c>
      <c r="O902">
        <v>14</v>
      </c>
      <c r="P902" t="s">
        <v>154</v>
      </c>
      <c r="Q902" t="s">
        <v>28</v>
      </c>
      <c r="R902" t="s">
        <v>28</v>
      </c>
      <c r="S902" t="s">
        <v>28</v>
      </c>
      <c r="T902" t="s">
        <v>28</v>
      </c>
      <c r="U902" t="s">
        <v>28</v>
      </c>
      <c r="V902" t="s">
        <v>28</v>
      </c>
      <c r="W902">
        <v>6</v>
      </c>
      <c r="X902" t="s">
        <v>151</v>
      </c>
    </row>
    <row r="903" spans="1:24" x14ac:dyDescent="0.2">
      <c r="A903" t="str">
        <f t="shared" si="42"/>
        <v>sample_novaseq-16S-D-D02-L6_SICap-P15-D2-P4D14-GAM-C1R2-yesBile-rep1-day14</v>
      </c>
      <c r="B903" s="1" t="s">
        <v>499</v>
      </c>
      <c r="C903" s="3" t="s">
        <v>1075</v>
      </c>
      <c r="D903" s="3" t="s">
        <v>1328</v>
      </c>
      <c r="E903" t="s">
        <v>20</v>
      </c>
      <c r="F903" t="s">
        <v>152</v>
      </c>
      <c r="G903" t="s">
        <v>79</v>
      </c>
      <c r="H903" t="str">
        <f t="shared" si="43"/>
        <v>02</v>
      </c>
      <c r="I903" t="str">
        <f t="shared" si="44"/>
        <v>D</v>
      </c>
      <c r="J903" t="s">
        <v>153</v>
      </c>
      <c r="K903" t="s">
        <v>78</v>
      </c>
      <c r="L903" t="s">
        <v>142</v>
      </c>
      <c r="M903" t="s">
        <v>31</v>
      </c>
      <c r="N903">
        <v>1</v>
      </c>
      <c r="O903">
        <v>14</v>
      </c>
      <c r="P903" t="s">
        <v>154</v>
      </c>
      <c r="Q903" t="s">
        <v>28</v>
      </c>
      <c r="R903" t="s">
        <v>28</v>
      </c>
      <c r="S903" t="s">
        <v>28</v>
      </c>
      <c r="T903" t="s">
        <v>28</v>
      </c>
      <c r="U903" t="s">
        <v>28</v>
      </c>
      <c r="V903" t="s">
        <v>28</v>
      </c>
      <c r="W903">
        <v>6</v>
      </c>
      <c r="X903" t="s">
        <v>151</v>
      </c>
    </row>
    <row r="904" spans="1:24" x14ac:dyDescent="0.2">
      <c r="A904" t="str">
        <f t="shared" si="42"/>
        <v>sample_novaseq-16S-D-D03-L6_SICap-P15-D3-P4D14-GAM-C2R1-yesBile-rep1-day14</v>
      </c>
      <c r="B904" s="1" t="s">
        <v>500</v>
      </c>
      <c r="C904" s="3" t="s">
        <v>1076</v>
      </c>
      <c r="D904" s="3" t="s">
        <v>1328</v>
      </c>
      <c r="E904" t="s">
        <v>20</v>
      </c>
      <c r="F904" t="s">
        <v>152</v>
      </c>
      <c r="G904" t="s">
        <v>80</v>
      </c>
      <c r="H904" t="str">
        <f t="shared" si="43"/>
        <v>03</v>
      </c>
      <c r="I904" t="str">
        <f t="shared" si="44"/>
        <v>D</v>
      </c>
      <c r="J904" t="s">
        <v>153</v>
      </c>
      <c r="K904" t="s">
        <v>78</v>
      </c>
      <c r="L904" t="s">
        <v>142</v>
      </c>
      <c r="M904" t="s">
        <v>33</v>
      </c>
      <c r="N904">
        <v>1</v>
      </c>
      <c r="O904">
        <v>14</v>
      </c>
      <c r="P904" t="s">
        <v>154</v>
      </c>
      <c r="Q904" t="s">
        <v>28</v>
      </c>
      <c r="R904" t="s">
        <v>28</v>
      </c>
      <c r="S904" t="s">
        <v>28</v>
      </c>
      <c r="T904" t="s">
        <v>28</v>
      </c>
      <c r="U904" t="s">
        <v>28</v>
      </c>
      <c r="V904" t="s">
        <v>28</v>
      </c>
      <c r="W904">
        <v>6</v>
      </c>
      <c r="X904" t="s">
        <v>151</v>
      </c>
    </row>
    <row r="905" spans="1:24" x14ac:dyDescent="0.2">
      <c r="A905" t="str">
        <f t="shared" si="42"/>
        <v>sample_novaseq-16S-D-D04-L6_SICap-P15-D4-P4D14-GAM-C2R2-yesBile-rep1-day14</v>
      </c>
      <c r="B905" s="1" t="s">
        <v>501</v>
      </c>
      <c r="C905" s="3" t="s">
        <v>1077</v>
      </c>
      <c r="D905" s="3" t="s">
        <v>1328</v>
      </c>
      <c r="E905" t="s">
        <v>20</v>
      </c>
      <c r="F905" t="s">
        <v>152</v>
      </c>
      <c r="G905" t="s">
        <v>81</v>
      </c>
      <c r="H905" t="str">
        <f t="shared" si="43"/>
        <v>04</v>
      </c>
      <c r="I905" t="str">
        <f t="shared" si="44"/>
        <v>D</v>
      </c>
      <c r="J905" t="s">
        <v>153</v>
      </c>
      <c r="K905" t="s">
        <v>78</v>
      </c>
      <c r="L905" t="s">
        <v>142</v>
      </c>
      <c r="M905" t="s">
        <v>35</v>
      </c>
      <c r="N905">
        <v>1</v>
      </c>
      <c r="O905">
        <v>14</v>
      </c>
      <c r="P905" t="s">
        <v>154</v>
      </c>
      <c r="Q905" t="s">
        <v>28</v>
      </c>
      <c r="R905" t="s">
        <v>28</v>
      </c>
      <c r="S905" t="s">
        <v>28</v>
      </c>
      <c r="T905" t="s">
        <v>28</v>
      </c>
      <c r="U905" t="s">
        <v>28</v>
      </c>
      <c r="V905" t="s">
        <v>28</v>
      </c>
      <c r="W905">
        <v>6</v>
      </c>
      <c r="X905" t="s">
        <v>151</v>
      </c>
    </row>
    <row r="906" spans="1:24" x14ac:dyDescent="0.2">
      <c r="A906" t="str">
        <f t="shared" si="42"/>
        <v>sample_novaseq-16S-D-D05-L6_SICap-P15-D5-P4D14-GAM-C3R1-yesBile-rep1-day14</v>
      </c>
      <c r="B906" s="1" t="s">
        <v>502</v>
      </c>
      <c r="C906" s="3" t="s">
        <v>1078</v>
      </c>
      <c r="D906" s="3" t="s">
        <v>1328</v>
      </c>
      <c r="E906" t="s">
        <v>20</v>
      </c>
      <c r="F906" t="s">
        <v>152</v>
      </c>
      <c r="G906" t="s">
        <v>82</v>
      </c>
      <c r="H906" t="str">
        <f t="shared" si="43"/>
        <v>05</v>
      </c>
      <c r="I906" t="str">
        <f t="shared" si="44"/>
        <v>D</v>
      </c>
      <c r="J906" t="s">
        <v>153</v>
      </c>
      <c r="K906" t="s">
        <v>78</v>
      </c>
      <c r="L906" t="s">
        <v>142</v>
      </c>
      <c r="M906" t="s">
        <v>37</v>
      </c>
      <c r="N906">
        <v>1</v>
      </c>
      <c r="O906">
        <v>14</v>
      </c>
      <c r="P906" t="s">
        <v>154</v>
      </c>
      <c r="Q906" t="s">
        <v>28</v>
      </c>
      <c r="R906" t="s">
        <v>28</v>
      </c>
      <c r="S906" t="s">
        <v>28</v>
      </c>
      <c r="T906" t="s">
        <v>28</v>
      </c>
      <c r="U906" t="s">
        <v>28</v>
      </c>
      <c r="V906" t="s">
        <v>28</v>
      </c>
      <c r="W906">
        <v>6</v>
      </c>
      <c r="X906" t="s">
        <v>151</v>
      </c>
    </row>
    <row r="907" spans="1:24" x14ac:dyDescent="0.2">
      <c r="A907" t="str">
        <f t="shared" si="42"/>
        <v>sample_novaseq-16S-D-D06-L6_SICap-P15-D6-P4D14-GAM-C3R2-yesBile-rep1-day14</v>
      </c>
      <c r="B907" s="1" t="s">
        <v>503</v>
      </c>
      <c r="C907" s="3" t="s">
        <v>1079</v>
      </c>
      <c r="D907" s="3" t="s">
        <v>1328</v>
      </c>
      <c r="E907" t="s">
        <v>20</v>
      </c>
      <c r="F907" t="s">
        <v>152</v>
      </c>
      <c r="G907" t="s">
        <v>83</v>
      </c>
      <c r="H907" t="str">
        <f t="shared" si="43"/>
        <v>06</v>
      </c>
      <c r="I907" t="str">
        <f t="shared" si="44"/>
        <v>D</v>
      </c>
      <c r="J907" t="s">
        <v>153</v>
      </c>
      <c r="K907" t="s">
        <v>78</v>
      </c>
      <c r="L907" t="s">
        <v>142</v>
      </c>
      <c r="M907" t="s">
        <v>39</v>
      </c>
      <c r="N907">
        <v>1</v>
      </c>
      <c r="O907">
        <v>14</v>
      </c>
      <c r="P907" t="s">
        <v>154</v>
      </c>
      <c r="Q907" t="s">
        <v>28</v>
      </c>
      <c r="R907" t="s">
        <v>28</v>
      </c>
      <c r="S907" t="s">
        <v>28</v>
      </c>
      <c r="T907" t="s">
        <v>28</v>
      </c>
      <c r="U907" t="s">
        <v>28</v>
      </c>
      <c r="V907" t="s">
        <v>28</v>
      </c>
      <c r="W907">
        <v>6</v>
      </c>
      <c r="X907" t="s">
        <v>151</v>
      </c>
    </row>
    <row r="908" spans="1:24" x14ac:dyDescent="0.2">
      <c r="A908" t="str">
        <f t="shared" si="42"/>
        <v>sample_novaseq-16S-D-D07-L6_SICap-P15-D7-P4D14-GAM-C4R1-yesBile-rep1-day14</v>
      </c>
      <c r="B908" s="1" t="s">
        <v>504</v>
      </c>
      <c r="C908" s="3" t="s">
        <v>1080</v>
      </c>
      <c r="D908" s="3" t="s">
        <v>1328</v>
      </c>
      <c r="E908" t="s">
        <v>20</v>
      </c>
      <c r="F908" t="s">
        <v>152</v>
      </c>
      <c r="G908" t="s">
        <v>84</v>
      </c>
      <c r="H908" t="str">
        <f t="shared" si="43"/>
        <v>07</v>
      </c>
      <c r="I908" t="str">
        <f t="shared" si="44"/>
        <v>D</v>
      </c>
      <c r="J908" t="s">
        <v>153</v>
      </c>
      <c r="K908" t="s">
        <v>78</v>
      </c>
      <c r="L908" t="s">
        <v>142</v>
      </c>
      <c r="M908" t="s">
        <v>41</v>
      </c>
      <c r="N908">
        <v>1</v>
      </c>
      <c r="O908">
        <v>14</v>
      </c>
      <c r="P908" t="s">
        <v>154</v>
      </c>
      <c r="Q908" t="s">
        <v>28</v>
      </c>
      <c r="R908" t="s">
        <v>28</v>
      </c>
      <c r="S908" t="s">
        <v>28</v>
      </c>
      <c r="T908" t="s">
        <v>28</v>
      </c>
      <c r="U908" t="s">
        <v>28</v>
      </c>
      <c r="V908" t="s">
        <v>28</v>
      </c>
      <c r="W908">
        <v>6</v>
      </c>
      <c r="X908" t="s">
        <v>151</v>
      </c>
    </row>
    <row r="909" spans="1:24" x14ac:dyDescent="0.2">
      <c r="A909" t="str">
        <f t="shared" si="42"/>
        <v>sample_novaseq-16S-D-D08-L6_SICap-P15-D8-P4D14-GAM-C4R2-yesBile-rep1-day14</v>
      </c>
      <c r="B909" s="1" t="s">
        <v>505</v>
      </c>
      <c r="C909" s="3" t="s">
        <v>1081</v>
      </c>
      <c r="D909" s="3" t="s">
        <v>1328</v>
      </c>
      <c r="E909" t="s">
        <v>20</v>
      </c>
      <c r="F909" t="s">
        <v>152</v>
      </c>
      <c r="G909" t="s">
        <v>85</v>
      </c>
      <c r="H909" t="str">
        <f t="shared" si="43"/>
        <v>08</v>
      </c>
      <c r="I909" t="str">
        <f t="shared" si="44"/>
        <v>D</v>
      </c>
      <c r="J909" t="s">
        <v>153</v>
      </c>
      <c r="K909" t="s">
        <v>78</v>
      </c>
      <c r="L909" t="s">
        <v>142</v>
      </c>
      <c r="M909" t="s">
        <v>43</v>
      </c>
      <c r="N909">
        <v>1</v>
      </c>
      <c r="O909">
        <v>14</v>
      </c>
      <c r="P909" t="s">
        <v>154</v>
      </c>
      <c r="Q909" t="s">
        <v>28</v>
      </c>
      <c r="R909" t="s">
        <v>28</v>
      </c>
      <c r="S909" t="s">
        <v>28</v>
      </c>
      <c r="T909" t="s">
        <v>28</v>
      </c>
      <c r="U909" t="s">
        <v>28</v>
      </c>
      <c r="V909" t="s">
        <v>28</v>
      </c>
      <c r="W909">
        <v>6</v>
      </c>
      <c r="X909" t="s">
        <v>151</v>
      </c>
    </row>
    <row r="910" spans="1:24" x14ac:dyDescent="0.2">
      <c r="A910" t="str">
        <f t="shared" si="42"/>
        <v>sample_novaseq-16S-D-D09-L6_SICap-P15-D9-P4D14-GAM-S1R2-yesBile-rep1-day14</v>
      </c>
      <c r="B910" s="1" t="s">
        <v>506</v>
      </c>
      <c r="C910" s="3" t="s">
        <v>1082</v>
      </c>
      <c r="D910" s="3" t="s">
        <v>1328</v>
      </c>
      <c r="E910" t="s">
        <v>20</v>
      </c>
      <c r="F910" t="s">
        <v>152</v>
      </c>
      <c r="G910" t="s">
        <v>86</v>
      </c>
      <c r="H910" t="str">
        <f t="shared" si="43"/>
        <v>09</v>
      </c>
      <c r="I910" t="str">
        <f t="shared" si="44"/>
        <v>D</v>
      </c>
      <c r="J910" t="s">
        <v>153</v>
      </c>
      <c r="K910" t="s">
        <v>78</v>
      </c>
      <c r="L910" t="s">
        <v>142</v>
      </c>
      <c r="M910" t="s">
        <v>45</v>
      </c>
      <c r="N910">
        <v>1</v>
      </c>
      <c r="O910">
        <v>14</v>
      </c>
      <c r="P910" t="s">
        <v>154</v>
      </c>
      <c r="Q910" t="s">
        <v>28</v>
      </c>
      <c r="R910" t="s">
        <v>28</v>
      </c>
      <c r="S910" t="s">
        <v>28</v>
      </c>
      <c r="T910" t="s">
        <v>28</v>
      </c>
      <c r="U910" t="s">
        <v>28</v>
      </c>
      <c r="V910" t="s">
        <v>28</v>
      </c>
      <c r="W910">
        <v>6</v>
      </c>
      <c r="X910" t="s">
        <v>151</v>
      </c>
    </row>
    <row r="911" spans="1:24" x14ac:dyDescent="0.2">
      <c r="A911" t="str">
        <f t="shared" si="42"/>
        <v>sample_novaseq-16S-D-D10-L6_SICap-P15-D10-P4D14-GAM-StoolPool-yesBile-rep1-day14</v>
      </c>
      <c r="B911" s="1" t="s">
        <v>507</v>
      </c>
      <c r="C911" s="3" t="s">
        <v>1083</v>
      </c>
      <c r="D911" s="3" t="s">
        <v>1328</v>
      </c>
      <c r="E911" t="s">
        <v>20</v>
      </c>
      <c r="F911" t="s">
        <v>152</v>
      </c>
      <c r="G911" t="s">
        <v>87</v>
      </c>
      <c r="H911" t="str">
        <f t="shared" si="43"/>
        <v>10</v>
      </c>
      <c r="I911" t="str">
        <f t="shared" si="44"/>
        <v>D</v>
      </c>
      <c r="J911" t="s">
        <v>153</v>
      </c>
      <c r="K911" t="s">
        <v>78</v>
      </c>
      <c r="L911" t="s">
        <v>142</v>
      </c>
      <c r="M911" t="s">
        <v>47</v>
      </c>
      <c r="N911">
        <v>1</v>
      </c>
      <c r="O911">
        <v>14</v>
      </c>
      <c r="P911" t="s">
        <v>154</v>
      </c>
      <c r="Q911" t="s">
        <v>28</v>
      </c>
      <c r="R911" t="s">
        <v>28</v>
      </c>
      <c r="S911" t="s">
        <v>28</v>
      </c>
      <c r="T911" t="s">
        <v>28</v>
      </c>
      <c r="U911" t="s">
        <v>28</v>
      </c>
      <c r="V911" t="s">
        <v>28</v>
      </c>
      <c r="W911">
        <v>6</v>
      </c>
      <c r="X911" t="s">
        <v>151</v>
      </c>
    </row>
    <row r="912" spans="1:24" x14ac:dyDescent="0.2">
      <c r="A912" t="str">
        <f t="shared" si="42"/>
        <v>sample_novaseq-16S-D-D11-L6_SICap-P15-D11-P4D14-GAM-SIPool-yesBile-rep1-day14</v>
      </c>
      <c r="B912" s="1" t="s">
        <v>508</v>
      </c>
      <c r="C912" s="3" t="s">
        <v>1084</v>
      </c>
      <c r="D912" s="3" t="s">
        <v>1328</v>
      </c>
      <c r="E912" t="s">
        <v>20</v>
      </c>
      <c r="F912" t="s">
        <v>152</v>
      </c>
      <c r="G912" t="s">
        <v>88</v>
      </c>
      <c r="H912" t="str">
        <f t="shared" si="43"/>
        <v>11</v>
      </c>
      <c r="I912" t="str">
        <f t="shared" si="44"/>
        <v>D</v>
      </c>
      <c r="J912" t="s">
        <v>153</v>
      </c>
      <c r="K912" t="s">
        <v>78</v>
      </c>
      <c r="L912" t="s">
        <v>142</v>
      </c>
      <c r="M912" t="s">
        <v>49</v>
      </c>
      <c r="N912">
        <v>1</v>
      </c>
      <c r="O912">
        <v>14</v>
      </c>
      <c r="P912" t="s">
        <v>154</v>
      </c>
      <c r="Q912" t="s">
        <v>28</v>
      </c>
      <c r="R912" t="s">
        <v>28</v>
      </c>
      <c r="S912" t="s">
        <v>28</v>
      </c>
      <c r="T912" t="s">
        <v>28</v>
      </c>
      <c r="U912" t="s">
        <v>28</v>
      </c>
      <c r="V912" t="s">
        <v>28</v>
      </c>
      <c r="W912">
        <v>6</v>
      </c>
      <c r="X912" t="s">
        <v>151</v>
      </c>
    </row>
    <row r="913" spans="1:24" x14ac:dyDescent="0.2">
      <c r="A913" t="str">
        <f t="shared" si="42"/>
        <v>sample_novaseq-16S-D-D12-L6_SICap-P15-D12-P4D14-GAM-Media-yesBile-rep1-day14</v>
      </c>
      <c r="B913" s="1" t="s">
        <v>509</v>
      </c>
      <c r="C913" s="3" t="s">
        <v>1085</v>
      </c>
      <c r="D913" s="3" t="s">
        <v>1328</v>
      </c>
      <c r="E913" t="s">
        <v>20</v>
      </c>
      <c r="F913" t="s">
        <v>152</v>
      </c>
      <c r="G913" t="s">
        <v>89</v>
      </c>
      <c r="H913" t="str">
        <f t="shared" si="43"/>
        <v>12</v>
      </c>
      <c r="I913" t="str">
        <f t="shared" si="44"/>
        <v>D</v>
      </c>
      <c r="J913" t="s">
        <v>153</v>
      </c>
      <c r="K913" t="s">
        <v>78</v>
      </c>
      <c r="L913" t="s">
        <v>142</v>
      </c>
      <c r="M913" t="s">
        <v>6</v>
      </c>
      <c r="N913">
        <v>1</v>
      </c>
      <c r="O913">
        <v>14</v>
      </c>
      <c r="P913" t="s">
        <v>154</v>
      </c>
      <c r="Q913" t="s">
        <v>28</v>
      </c>
      <c r="R913" t="s">
        <v>28</v>
      </c>
      <c r="S913" t="s">
        <v>28</v>
      </c>
      <c r="T913" t="s">
        <v>28</v>
      </c>
      <c r="U913" t="s">
        <v>28</v>
      </c>
      <c r="V913" t="s">
        <v>28</v>
      </c>
      <c r="W913">
        <v>6</v>
      </c>
      <c r="X913" t="s">
        <v>151</v>
      </c>
    </row>
    <row r="914" spans="1:24" x14ac:dyDescent="0.2">
      <c r="A914" t="str">
        <f t="shared" si="42"/>
        <v>sample_novaseq-16S-D-E01-L6_SICap-P15-E1-P4D14-BB-C1R1-yesBile-rep1-day14</v>
      </c>
      <c r="B914" s="1" t="s">
        <v>510</v>
      </c>
      <c r="C914" s="3" t="s">
        <v>1086</v>
      </c>
      <c r="D914" s="3" t="s">
        <v>1328</v>
      </c>
      <c r="E914" t="s">
        <v>20</v>
      </c>
      <c r="F914" t="s">
        <v>152</v>
      </c>
      <c r="G914" t="s">
        <v>90</v>
      </c>
      <c r="H914" t="str">
        <f t="shared" si="43"/>
        <v>01</v>
      </c>
      <c r="I914" t="str">
        <f t="shared" si="44"/>
        <v>E</v>
      </c>
      <c r="J914" t="s">
        <v>153</v>
      </c>
      <c r="K914" t="s">
        <v>91</v>
      </c>
      <c r="L914" t="s">
        <v>142</v>
      </c>
      <c r="M914" t="s">
        <v>26</v>
      </c>
      <c r="N914">
        <v>1</v>
      </c>
      <c r="O914">
        <v>14</v>
      </c>
      <c r="P914" t="s">
        <v>154</v>
      </c>
      <c r="Q914" t="s">
        <v>28</v>
      </c>
      <c r="R914" t="s">
        <v>28</v>
      </c>
      <c r="S914" t="s">
        <v>28</v>
      </c>
      <c r="T914" t="s">
        <v>28</v>
      </c>
      <c r="U914" t="s">
        <v>28</v>
      </c>
      <c r="V914" t="s">
        <v>28</v>
      </c>
      <c r="W914">
        <v>6</v>
      </c>
      <c r="X914" t="s">
        <v>151</v>
      </c>
    </row>
    <row r="915" spans="1:24" x14ac:dyDescent="0.2">
      <c r="A915" t="str">
        <f t="shared" si="42"/>
        <v>sample_novaseq-16S-D-E02-L6_SICap-P15-E2-P4D14-BB-C1R2-yesBile-rep1-day14</v>
      </c>
      <c r="B915" s="1" t="s">
        <v>511</v>
      </c>
      <c r="C915" s="3" t="s">
        <v>1087</v>
      </c>
      <c r="D915" s="3" t="s">
        <v>1328</v>
      </c>
      <c r="E915" t="s">
        <v>20</v>
      </c>
      <c r="F915" t="s">
        <v>152</v>
      </c>
      <c r="G915" t="s">
        <v>92</v>
      </c>
      <c r="H915" t="str">
        <f t="shared" si="43"/>
        <v>02</v>
      </c>
      <c r="I915" t="str">
        <f t="shared" si="44"/>
        <v>E</v>
      </c>
      <c r="J915" t="s">
        <v>153</v>
      </c>
      <c r="K915" t="s">
        <v>91</v>
      </c>
      <c r="L915" t="s">
        <v>142</v>
      </c>
      <c r="M915" t="s">
        <v>31</v>
      </c>
      <c r="N915">
        <v>1</v>
      </c>
      <c r="O915">
        <v>14</v>
      </c>
      <c r="P915" t="s">
        <v>154</v>
      </c>
      <c r="Q915" t="s">
        <v>28</v>
      </c>
      <c r="R915" t="s">
        <v>28</v>
      </c>
      <c r="S915" t="s">
        <v>28</v>
      </c>
      <c r="T915" t="s">
        <v>28</v>
      </c>
      <c r="U915" t="s">
        <v>28</v>
      </c>
      <c r="V915" t="s">
        <v>28</v>
      </c>
      <c r="W915">
        <v>6</v>
      </c>
      <c r="X915" t="s">
        <v>151</v>
      </c>
    </row>
    <row r="916" spans="1:24" x14ac:dyDescent="0.2">
      <c r="A916" t="str">
        <f t="shared" si="42"/>
        <v>sample_novaseq-16S-D-E03-L6_SICap-P15-E3-P4D14-BB-C2R1-yesBile-rep1-day14</v>
      </c>
      <c r="B916" s="1" t="s">
        <v>512</v>
      </c>
      <c r="C916" s="3" t="s">
        <v>1088</v>
      </c>
      <c r="D916" s="3" t="s">
        <v>1328</v>
      </c>
      <c r="E916" t="s">
        <v>20</v>
      </c>
      <c r="F916" t="s">
        <v>152</v>
      </c>
      <c r="G916" t="s">
        <v>93</v>
      </c>
      <c r="H916" t="str">
        <f t="shared" si="43"/>
        <v>03</v>
      </c>
      <c r="I916" t="str">
        <f t="shared" si="44"/>
        <v>E</v>
      </c>
      <c r="J916" t="s">
        <v>153</v>
      </c>
      <c r="K916" t="s">
        <v>91</v>
      </c>
      <c r="L916" t="s">
        <v>142</v>
      </c>
      <c r="M916" t="s">
        <v>33</v>
      </c>
      <c r="N916">
        <v>1</v>
      </c>
      <c r="O916">
        <v>14</v>
      </c>
      <c r="P916" t="s">
        <v>154</v>
      </c>
      <c r="Q916" t="s">
        <v>28</v>
      </c>
      <c r="R916" t="s">
        <v>28</v>
      </c>
      <c r="S916" t="s">
        <v>28</v>
      </c>
      <c r="T916" t="s">
        <v>28</v>
      </c>
      <c r="U916" t="s">
        <v>28</v>
      </c>
      <c r="V916" t="s">
        <v>28</v>
      </c>
      <c r="W916">
        <v>6</v>
      </c>
      <c r="X916" t="s">
        <v>151</v>
      </c>
    </row>
    <row r="917" spans="1:24" x14ac:dyDescent="0.2">
      <c r="A917" t="str">
        <f t="shared" si="42"/>
        <v>sample_novaseq-16S-D-E04-L6_SICap-P15-E4-P4D14-BB-C2R2-yesBile-rep1-day14</v>
      </c>
      <c r="B917" s="1" t="s">
        <v>513</v>
      </c>
      <c r="C917" s="3" t="s">
        <v>1089</v>
      </c>
      <c r="D917" s="3" t="s">
        <v>1328</v>
      </c>
      <c r="E917" t="s">
        <v>20</v>
      </c>
      <c r="F917" t="s">
        <v>152</v>
      </c>
      <c r="G917" t="s">
        <v>94</v>
      </c>
      <c r="H917" t="str">
        <f t="shared" si="43"/>
        <v>04</v>
      </c>
      <c r="I917" t="str">
        <f t="shared" si="44"/>
        <v>E</v>
      </c>
      <c r="J917" t="s">
        <v>153</v>
      </c>
      <c r="K917" t="s">
        <v>91</v>
      </c>
      <c r="L917" t="s">
        <v>142</v>
      </c>
      <c r="M917" t="s">
        <v>35</v>
      </c>
      <c r="N917">
        <v>1</v>
      </c>
      <c r="O917">
        <v>14</v>
      </c>
      <c r="P917" t="s">
        <v>154</v>
      </c>
      <c r="Q917" t="s">
        <v>28</v>
      </c>
      <c r="R917" t="s">
        <v>28</v>
      </c>
      <c r="S917" t="s">
        <v>28</v>
      </c>
      <c r="T917" t="s">
        <v>28</v>
      </c>
      <c r="U917" t="s">
        <v>28</v>
      </c>
      <c r="V917" t="s">
        <v>28</v>
      </c>
      <c r="W917">
        <v>6</v>
      </c>
      <c r="X917" t="s">
        <v>151</v>
      </c>
    </row>
    <row r="918" spans="1:24" x14ac:dyDescent="0.2">
      <c r="A918" t="str">
        <f t="shared" si="42"/>
        <v>sample_novaseq-16S-D-E05-L6_SICap-P15-E5-P4D14-BB-C3R1-yesBile-rep1-day14</v>
      </c>
      <c r="B918" s="1" t="s">
        <v>514</v>
      </c>
      <c r="C918" s="3" t="s">
        <v>1090</v>
      </c>
      <c r="D918" s="3" t="s">
        <v>1328</v>
      </c>
      <c r="E918" t="s">
        <v>20</v>
      </c>
      <c r="F918" t="s">
        <v>152</v>
      </c>
      <c r="G918" t="s">
        <v>95</v>
      </c>
      <c r="H918" t="str">
        <f t="shared" si="43"/>
        <v>05</v>
      </c>
      <c r="I918" t="str">
        <f t="shared" si="44"/>
        <v>E</v>
      </c>
      <c r="J918" t="s">
        <v>153</v>
      </c>
      <c r="K918" t="s">
        <v>91</v>
      </c>
      <c r="L918" t="s">
        <v>142</v>
      </c>
      <c r="M918" t="s">
        <v>37</v>
      </c>
      <c r="N918">
        <v>1</v>
      </c>
      <c r="O918">
        <v>14</v>
      </c>
      <c r="P918" t="s">
        <v>154</v>
      </c>
      <c r="Q918" t="s">
        <v>28</v>
      </c>
      <c r="R918" t="s">
        <v>28</v>
      </c>
      <c r="S918" t="s">
        <v>28</v>
      </c>
      <c r="T918" t="s">
        <v>28</v>
      </c>
      <c r="U918" t="s">
        <v>28</v>
      </c>
      <c r="V918" t="s">
        <v>28</v>
      </c>
      <c r="W918">
        <v>6</v>
      </c>
      <c r="X918" t="s">
        <v>151</v>
      </c>
    </row>
    <row r="919" spans="1:24" x14ac:dyDescent="0.2">
      <c r="A919" t="str">
        <f t="shared" si="42"/>
        <v>sample_novaseq-16S-D-E06-L6_SICap-P15-E6-P4D14-BB-C3R2-yesBile-rep1-day14</v>
      </c>
      <c r="B919" s="1" t="s">
        <v>515</v>
      </c>
      <c r="C919" s="3" t="s">
        <v>1091</v>
      </c>
      <c r="D919" s="3" t="s">
        <v>1328</v>
      </c>
      <c r="E919" t="s">
        <v>20</v>
      </c>
      <c r="F919" t="s">
        <v>152</v>
      </c>
      <c r="G919" t="s">
        <v>96</v>
      </c>
      <c r="H919" t="str">
        <f t="shared" si="43"/>
        <v>06</v>
      </c>
      <c r="I919" t="str">
        <f t="shared" si="44"/>
        <v>E</v>
      </c>
      <c r="J919" t="s">
        <v>153</v>
      </c>
      <c r="K919" t="s">
        <v>91</v>
      </c>
      <c r="L919" t="s">
        <v>142</v>
      </c>
      <c r="M919" t="s">
        <v>39</v>
      </c>
      <c r="N919">
        <v>1</v>
      </c>
      <c r="O919">
        <v>14</v>
      </c>
      <c r="P919" t="s">
        <v>154</v>
      </c>
      <c r="Q919" t="s">
        <v>28</v>
      </c>
      <c r="R919" t="s">
        <v>28</v>
      </c>
      <c r="S919" t="s">
        <v>28</v>
      </c>
      <c r="T919" t="s">
        <v>28</v>
      </c>
      <c r="U919" t="s">
        <v>28</v>
      </c>
      <c r="V919" t="s">
        <v>28</v>
      </c>
      <c r="W919">
        <v>6</v>
      </c>
      <c r="X919" t="s">
        <v>151</v>
      </c>
    </row>
    <row r="920" spans="1:24" x14ac:dyDescent="0.2">
      <c r="A920" t="str">
        <f t="shared" si="42"/>
        <v>sample_novaseq-16S-D-E07-L6_SICap-P15-E7-P4D14-BB-C4R1-yesBile-rep1-day14</v>
      </c>
      <c r="B920" s="1" t="s">
        <v>516</v>
      </c>
      <c r="C920" s="3" t="s">
        <v>1092</v>
      </c>
      <c r="D920" s="3" t="s">
        <v>1328</v>
      </c>
      <c r="E920" t="s">
        <v>20</v>
      </c>
      <c r="F920" t="s">
        <v>152</v>
      </c>
      <c r="G920" t="s">
        <v>97</v>
      </c>
      <c r="H920" t="str">
        <f t="shared" si="43"/>
        <v>07</v>
      </c>
      <c r="I920" t="str">
        <f t="shared" si="44"/>
        <v>E</v>
      </c>
      <c r="J920" t="s">
        <v>153</v>
      </c>
      <c r="K920" t="s">
        <v>91</v>
      </c>
      <c r="L920" t="s">
        <v>142</v>
      </c>
      <c r="M920" t="s">
        <v>41</v>
      </c>
      <c r="N920">
        <v>1</v>
      </c>
      <c r="O920">
        <v>14</v>
      </c>
      <c r="P920" t="s">
        <v>154</v>
      </c>
      <c r="Q920" t="s">
        <v>28</v>
      </c>
      <c r="R920" t="s">
        <v>28</v>
      </c>
      <c r="S920" t="s">
        <v>28</v>
      </c>
      <c r="T920" t="s">
        <v>28</v>
      </c>
      <c r="U920" t="s">
        <v>28</v>
      </c>
      <c r="V920" t="s">
        <v>28</v>
      </c>
      <c r="W920">
        <v>6</v>
      </c>
      <c r="X920" t="s">
        <v>151</v>
      </c>
    </row>
    <row r="921" spans="1:24" x14ac:dyDescent="0.2">
      <c r="A921" t="str">
        <f t="shared" si="42"/>
        <v>sample_novaseq-16S-D-E08-L6_SICap-P15-E8-P4D14-BB-C4R2-yesBile-rep1-day14</v>
      </c>
      <c r="B921" s="1" t="s">
        <v>517</v>
      </c>
      <c r="C921" s="3" t="s">
        <v>1093</v>
      </c>
      <c r="D921" s="3" t="s">
        <v>1328</v>
      </c>
      <c r="E921" t="s">
        <v>20</v>
      </c>
      <c r="F921" t="s">
        <v>152</v>
      </c>
      <c r="G921" t="s">
        <v>98</v>
      </c>
      <c r="H921" t="str">
        <f t="shared" si="43"/>
        <v>08</v>
      </c>
      <c r="I921" t="str">
        <f t="shared" si="44"/>
        <v>E</v>
      </c>
      <c r="J921" t="s">
        <v>153</v>
      </c>
      <c r="K921" t="s">
        <v>91</v>
      </c>
      <c r="L921" t="s">
        <v>142</v>
      </c>
      <c r="M921" t="s">
        <v>43</v>
      </c>
      <c r="N921">
        <v>1</v>
      </c>
      <c r="O921">
        <v>14</v>
      </c>
      <c r="P921" t="s">
        <v>154</v>
      </c>
      <c r="Q921" t="s">
        <v>28</v>
      </c>
      <c r="R921" t="s">
        <v>28</v>
      </c>
      <c r="S921" t="s">
        <v>28</v>
      </c>
      <c r="T921" t="s">
        <v>28</v>
      </c>
      <c r="U921" t="s">
        <v>28</v>
      </c>
      <c r="V921" t="s">
        <v>28</v>
      </c>
      <c r="W921">
        <v>6</v>
      </c>
      <c r="X921" t="s">
        <v>151</v>
      </c>
    </row>
    <row r="922" spans="1:24" x14ac:dyDescent="0.2">
      <c r="A922" t="str">
        <f t="shared" si="42"/>
        <v>sample_novaseq-16S-D-E09-L6_SICap-P15-E9-P4D14-BB-S1R2-yesBile-rep1-day14</v>
      </c>
      <c r="B922" s="1" t="s">
        <v>518</v>
      </c>
      <c r="C922" s="3" t="s">
        <v>1094</v>
      </c>
      <c r="D922" s="3" t="s">
        <v>1328</v>
      </c>
      <c r="E922" t="s">
        <v>20</v>
      </c>
      <c r="F922" t="s">
        <v>152</v>
      </c>
      <c r="G922" t="s">
        <v>99</v>
      </c>
      <c r="H922" t="str">
        <f t="shared" si="43"/>
        <v>09</v>
      </c>
      <c r="I922" t="str">
        <f t="shared" si="44"/>
        <v>E</v>
      </c>
      <c r="J922" t="s">
        <v>153</v>
      </c>
      <c r="K922" t="s">
        <v>91</v>
      </c>
      <c r="L922" t="s">
        <v>142</v>
      </c>
      <c r="M922" t="s">
        <v>45</v>
      </c>
      <c r="N922">
        <v>1</v>
      </c>
      <c r="O922">
        <v>14</v>
      </c>
      <c r="P922" t="s">
        <v>154</v>
      </c>
      <c r="Q922" t="s">
        <v>28</v>
      </c>
      <c r="R922" t="s">
        <v>28</v>
      </c>
      <c r="S922" t="s">
        <v>28</v>
      </c>
      <c r="T922" t="s">
        <v>28</v>
      </c>
      <c r="U922" t="s">
        <v>28</v>
      </c>
      <c r="V922" t="s">
        <v>28</v>
      </c>
      <c r="W922">
        <v>6</v>
      </c>
      <c r="X922" t="s">
        <v>151</v>
      </c>
    </row>
    <row r="923" spans="1:24" x14ac:dyDescent="0.2">
      <c r="A923" t="str">
        <f t="shared" si="42"/>
        <v>sample_novaseq-16S-D-E10-L6_SICap-P15-E10-P4D14-BB-StoolPool-yesBile-rep1-day14</v>
      </c>
      <c r="B923" s="1" t="s">
        <v>519</v>
      </c>
      <c r="C923" s="3" t="s">
        <v>1095</v>
      </c>
      <c r="D923" s="3" t="s">
        <v>1328</v>
      </c>
      <c r="E923" t="s">
        <v>20</v>
      </c>
      <c r="F923" t="s">
        <v>152</v>
      </c>
      <c r="G923" t="s">
        <v>100</v>
      </c>
      <c r="H923" t="str">
        <f t="shared" si="43"/>
        <v>10</v>
      </c>
      <c r="I923" t="str">
        <f t="shared" si="44"/>
        <v>E</v>
      </c>
      <c r="J923" t="s">
        <v>153</v>
      </c>
      <c r="K923" t="s">
        <v>91</v>
      </c>
      <c r="L923" t="s">
        <v>142</v>
      </c>
      <c r="M923" t="s">
        <v>47</v>
      </c>
      <c r="N923">
        <v>1</v>
      </c>
      <c r="O923">
        <v>14</v>
      </c>
      <c r="P923" t="s">
        <v>154</v>
      </c>
      <c r="Q923" t="s">
        <v>28</v>
      </c>
      <c r="R923" t="s">
        <v>28</v>
      </c>
      <c r="S923" t="s">
        <v>28</v>
      </c>
      <c r="T923" t="s">
        <v>28</v>
      </c>
      <c r="U923" t="s">
        <v>28</v>
      </c>
      <c r="V923" t="s">
        <v>28</v>
      </c>
      <c r="W923">
        <v>6</v>
      </c>
      <c r="X923" t="s">
        <v>151</v>
      </c>
    </row>
    <row r="924" spans="1:24" x14ac:dyDescent="0.2">
      <c r="A924" t="str">
        <f t="shared" si="42"/>
        <v>sample_novaseq-16S-D-E11-L6_SICap-P15-E11-P4D14-BB-SIPool-yesBile-rep1-day14</v>
      </c>
      <c r="B924" s="1" t="s">
        <v>520</v>
      </c>
      <c r="C924" s="3" t="s">
        <v>1096</v>
      </c>
      <c r="D924" s="3" t="s">
        <v>1328</v>
      </c>
      <c r="E924" t="s">
        <v>20</v>
      </c>
      <c r="F924" t="s">
        <v>152</v>
      </c>
      <c r="G924" t="s">
        <v>101</v>
      </c>
      <c r="H924" t="str">
        <f t="shared" si="43"/>
        <v>11</v>
      </c>
      <c r="I924" t="str">
        <f t="shared" si="44"/>
        <v>E</v>
      </c>
      <c r="J924" t="s">
        <v>153</v>
      </c>
      <c r="K924" t="s">
        <v>91</v>
      </c>
      <c r="L924" t="s">
        <v>142</v>
      </c>
      <c r="M924" t="s">
        <v>49</v>
      </c>
      <c r="N924">
        <v>1</v>
      </c>
      <c r="O924">
        <v>14</v>
      </c>
      <c r="P924" t="s">
        <v>154</v>
      </c>
      <c r="Q924" t="s">
        <v>28</v>
      </c>
      <c r="R924" t="s">
        <v>28</v>
      </c>
      <c r="S924" t="s">
        <v>28</v>
      </c>
      <c r="T924" t="s">
        <v>28</v>
      </c>
      <c r="U924" t="s">
        <v>28</v>
      </c>
      <c r="V924" t="s">
        <v>28</v>
      </c>
      <c r="W924">
        <v>6</v>
      </c>
      <c r="X924" t="s">
        <v>151</v>
      </c>
    </row>
    <row r="925" spans="1:24" x14ac:dyDescent="0.2">
      <c r="A925" t="str">
        <f t="shared" si="42"/>
        <v>sample_novaseq-16S-D-E12-L6_SICap-P15-E12-P4D14-BB-Media-yesBile-rep1-day14</v>
      </c>
      <c r="B925" s="1" t="s">
        <v>521</v>
      </c>
      <c r="C925" s="3" t="s">
        <v>1097</v>
      </c>
      <c r="D925" s="3" t="s">
        <v>1328</v>
      </c>
      <c r="E925" t="s">
        <v>20</v>
      </c>
      <c r="F925" t="s">
        <v>152</v>
      </c>
      <c r="G925" t="s">
        <v>102</v>
      </c>
      <c r="H925" t="str">
        <f t="shared" si="43"/>
        <v>12</v>
      </c>
      <c r="I925" t="str">
        <f t="shared" si="44"/>
        <v>E</v>
      </c>
      <c r="J925" t="s">
        <v>153</v>
      </c>
      <c r="K925" t="s">
        <v>91</v>
      </c>
      <c r="L925" t="s">
        <v>142</v>
      </c>
      <c r="M925" t="s">
        <v>6</v>
      </c>
      <c r="N925">
        <v>1</v>
      </c>
      <c r="O925">
        <v>14</v>
      </c>
      <c r="P925" t="s">
        <v>154</v>
      </c>
      <c r="Q925" t="s">
        <v>28</v>
      </c>
      <c r="R925" t="s">
        <v>28</v>
      </c>
      <c r="S925" t="s">
        <v>28</v>
      </c>
      <c r="T925" t="s">
        <v>28</v>
      </c>
      <c r="U925" t="s">
        <v>28</v>
      </c>
      <c r="V925" t="s">
        <v>28</v>
      </c>
      <c r="W925">
        <v>6</v>
      </c>
      <c r="X925" t="s">
        <v>151</v>
      </c>
    </row>
    <row r="926" spans="1:24" x14ac:dyDescent="0.2">
      <c r="A926" t="str">
        <f t="shared" si="42"/>
        <v>sample_novaseq-16S-D-F01-L6_SICap-P15-F1-P4D14-YCFAG-C1R1-yesBile-rep1-day14</v>
      </c>
      <c r="B926" s="1" t="s">
        <v>522</v>
      </c>
      <c r="C926" s="3" t="s">
        <v>1098</v>
      </c>
      <c r="D926" s="3" t="s">
        <v>1328</v>
      </c>
      <c r="E926" t="s">
        <v>20</v>
      </c>
      <c r="F926" t="s">
        <v>152</v>
      </c>
      <c r="G926" t="s">
        <v>103</v>
      </c>
      <c r="H926" t="str">
        <f t="shared" si="43"/>
        <v>01</v>
      </c>
      <c r="I926" t="str">
        <f t="shared" si="44"/>
        <v>F</v>
      </c>
      <c r="J926" t="s">
        <v>153</v>
      </c>
      <c r="K926" t="s">
        <v>104</v>
      </c>
      <c r="L926" t="s">
        <v>142</v>
      </c>
      <c r="M926" t="s">
        <v>26</v>
      </c>
      <c r="N926">
        <v>1</v>
      </c>
      <c r="O926">
        <v>14</v>
      </c>
      <c r="P926" t="s">
        <v>154</v>
      </c>
      <c r="Q926" t="s">
        <v>28</v>
      </c>
      <c r="R926" t="s">
        <v>28</v>
      </c>
      <c r="S926" t="s">
        <v>28</v>
      </c>
      <c r="T926" t="s">
        <v>28</v>
      </c>
      <c r="U926" t="s">
        <v>28</v>
      </c>
      <c r="V926" t="s">
        <v>28</v>
      </c>
      <c r="W926">
        <v>6</v>
      </c>
      <c r="X926" t="s">
        <v>151</v>
      </c>
    </row>
    <row r="927" spans="1:24" x14ac:dyDescent="0.2">
      <c r="A927" t="str">
        <f t="shared" si="42"/>
        <v>sample_novaseq-16S-D-F02-L6_SICap-P15-F2-P4D14-YCFAG-C1R2-yesBile-rep1-day14</v>
      </c>
      <c r="B927" s="1" t="s">
        <v>523</v>
      </c>
      <c r="C927" s="3" t="s">
        <v>1099</v>
      </c>
      <c r="D927" s="3" t="s">
        <v>1328</v>
      </c>
      <c r="E927" t="s">
        <v>20</v>
      </c>
      <c r="F927" t="s">
        <v>152</v>
      </c>
      <c r="G927" t="s">
        <v>105</v>
      </c>
      <c r="H927" t="str">
        <f t="shared" si="43"/>
        <v>02</v>
      </c>
      <c r="I927" t="str">
        <f t="shared" si="44"/>
        <v>F</v>
      </c>
      <c r="J927" t="s">
        <v>153</v>
      </c>
      <c r="K927" t="s">
        <v>104</v>
      </c>
      <c r="L927" t="s">
        <v>142</v>
      </c>
      <c r="M927" t="s">
        <v>31</v>
      </c>
      <c r="N927">
        <v>1</v>
      </c>
      <c r="O927">
        <v>14</v>
      </c>
      <c r="P927" t="s">
        <v>154</v>
      </c>
      <c r="Q927" t="s">
        <v>28</v>
      </c>
      <c r="R927" t="s">
        <v>28</v>
      </c>
      <c r="S927" t="s">
        <v>28</v>
      </c>
      <c r="T927" t="s">
        <v>28</v>
      </c>
      <c r="U927" t="s">
        <v>28</v>
      </c>
      <c r="V927" t="s">
        <v>28</v>
      </c>
      <c r="W927">
        <v>6</v>
      </c>
      <c r="X927" t="s">
        <v>151</v>
      </c>
    </row>
    <row r="928" spans="1:24" x14ac:dyDescent="0.2">
      <c r="A928" t="str">
        <f t="shared" si="42"/>
        <v>sample_novaseq-16S-D-F03-L6_SICap-P15-F3-P4D14-YCFAG-C2R1-yesBile-rep1-day14</v>
      </c>
      <c r="B928" s="1" t="s">
        <v>524</v>
      </c>
      <c r="C928" s="3" t="s">
        <v>1100</v>
      </c>
      <c r="D928" s="3" t="s">
        <v>1328</v>
      </c>
      <c r="E928" t="s">
        <v>20</v>
      </c>
      <c r="F928" t="s">
        <v>152</v>
      </c>
      <c r="G928" t="s">
        <v>106</v>
      </c>
      <c r="H928" t="str">
        <f t="shared" si="43"/>
        <v>03</v>
      </c>
      <c r="I928" t="str">
        <f t="shared" si="44"/>
        <v>F</v>
      </c>
      <c r="J928" t="s">
        <v>153</v>
      </c>
      <c r="K928" t="s">
        <v>104</v>
      </c>
      <c r="L928" t="s">
        <v>142</v>
      </c>
      <c r="M928" t="s">
        <v>33</v>
      </c>
      <c r="N928">
        <v>1</v>
      </c>
      <c r="O928">
        <v>14</v>
      </c>
      <c r="P928" t="s">
        <v>154</v>
      </c>
      <c r="Q928" t="s">
        <v>28</v>
      </c>
      <c r="R928" t="s">
        <v>28</v>
      </c>
      <c r="S928" t="s">
        <v>28</v>
      </c>
      <c r="T928" t="s">
        <v>28</v>
      </c>
      <c r="U928" t="s">
        <v>28</v>
      </c>
      <c r="V928" t="s">
        <v>28</v>
      </c>
      <c r="W928">
        <v>6</v>
      </c>
      <c r="X928" t="s">
        <v>151</v>
      </c>
    </row>
    <row r="929" spans="1:24" x14ac:dyDescent="0.2">
      <c r="A929" t="str">
        <f t="shared" si="42"/>
        <v>sample_novaseq-16S-D-F04-L6_SICap-P15-F4-P4D14-YCFAG-C2R2-yesBile-rep1-day14</v>
      </c>
      <c r="B929" s="1" t="s">
        <v>525</v>
      </c>
      <c r="C929" s="3" t="s">
        <v>1101</v>
      </c>
      <c r="D929" s="3" t="s">
        <v>1328</v>
      </c>
      <c r="E929" t="s">
        <v>20</v>
      </c>
      <c r="F929" t="s">
        <v>152</v>
      </c>
      <c r="G929" t="s">
        <v>107</v>
      </c>
      <c r="H929" t="str">
        <f t="shared" si="43"/>
        <v>04</v>
      </c>
      <c r="I929" t="str">
        <f t="shared" si="44"/>
        <v>F</v>
      </c>
      <c r="J929" t="s">
        <v>153</v>
      </c>
      <c r="K929" t="s">
        <v>104</v>
      </c>
      <c r="L929" t="s">
        <v>142</v>
      </c>
      <c r="M929" t="s">
        <v>35</v>
      </c>
      <c r="N929">
        <v>1</v>
      </c>
      <c r="O929">
        <v>14</v>
      </c>
      <c r="P929" t="s">
        <v>154</v>
      </c>
      <c r="Q929" t="s">
        <v>28</v>
      </c>
      <c r="R929" t="s">
        <v>28</v>
      </c>
      <c r="S929" t="s">
        <v>28</v>
      </c>
      <c r="T929" t="s">
        <v>28</v>
      </c>
      <c r="U929" t="s">
        <v>28</v>
      </c>
      <c r="V929" t="s">
        <v>28</v>
      </c>
      <c r="W929">
        <v>6</v>
      </c>
      <c r="X929" t="s">
        <v>151</v>
      </c>
    </row>
    <row r="930" spans="1:24" x14ac:dyDescent="0.2">
      <c r="A930" t="str">
        <f t="shared" si="42"/>
        <v>sample_novaseq-16S-D-F05-L6_SICap-P15-F5-P4D14-YCFAG-C3R1-yesBile-rep1-day14</v>
      </c>
      <c r="B930" s="1" t="s">
        <v>526</v>
      </c>
      <c r="C930" s="3" t="s">
        <v>1102</v>
      </c>
      <c r="D930" s="3" t="s">
        <v>1328</v>
      </c>
      <c r="E930" t="s">
        <v>20</v>
      </c>
      <c r="F930" t="s">
        <v>152</v>
      </c>
      <c r="G930" t="s">
        <v>108</v>
      </c>
      <c r="H930" t="str">
        <f t="shared" si="43"/>
        <v>05</v>
      </c>
      <c r="I930" t="str">
        <f t="shared" si="44"/>
        <v>F</v>
      </c>
      <c r="J930" t="s">
        <v>153</v>
      </c>
      <c r="K930" t="s">
        <v>104</v>
      </c>
      <c r="L930" t="s">
        <v>142</v>
      </c>
      <c r="M930" t="s">
        <v>37</v>
      </c>
      <c r="N930">
        <v>1</v>
      </c>
      <c r="O930">
        <v>14</v>
      </c>
      <c r="P930" t="s">
        <v>154</v>
      </c>
      <c r="Q930" t="s">
        <v>28</v>
      </c>
      <c r="R930" t="s">
        <v>28</v>
      </c>
      <c r="S930" t="s">
        <v>28</v>
      </c>
      <c r="T930" t="s">
        <v>28</v>
      </c>
      <c r="U930" t="s">
        <v>28</v>
      </c>
      <c r="V930" t="s">
        <v>28</v>
      </c>
      <c r="W930">
        <v>6</v>
      </c>
      <c r="X930" t="s">
        <v>151</v>
      </c>
    </row>
    <row r="931" spans="1:24" x14ac:dyDescent="0.2">
      <c r="A931" t="str">
        <f t="shared" si="42"/>
        <v>sample_novaseq-16S-D-F06-L6_SICap-P15-F6-P4D14-YCFAG-C3R2-yesBile-rep1-day14</v>
      </c>
      <c r="B931" s="1" t="s">
        <v>527</v>
      </c>
      <c r="C931" s="3" t="s">
        <v>1103</v>
      </c>
      <c r="D931" s="3" t="s">
        <v>1328</v>
      </c>
      <c r="E931" t="s">
        <v>20</v>
      </c>
      <c r="F931" t="s">
        <v>152</v>
      </c>
      <c r="G931" t="s">
        <v>109</v>
      </c>
      <c r="H931" t="str">
        <f t="shared" si="43"/>
        <v>06</v>
      </c>
      <c r="I931" t="str">
        <f t="shared" si="44"/>
        <v>F</v>
      </c>
      <c r="J931" t="s">
        <v>153</v>
      </c>
      <c r="K931" t="s">
        <v>104</v>
      </c>
      <c r="L931" t="s">
        <v>142</v>
      </c>
      <c r="M931" t="s">
        <v>39</v>
      </c>
      <c r="N931">
        <v>1</v>
      </c>
      <c r="O931">
        <v>14</v>
      </c>
      <c r="P931" t="s">
        <v>154</v>
      </c>
      <c r="Q931" t="s">
        <v>28</v>
      </c>
      <c r="R931" t="s">
        <v>28</v>
      </c>
      <c r="S931" t="s">
        <v>28</v>
      </c>
      <c r="T931" t="s">
        <v>28</v>
      </c>
      <c r="U931" t="s">
        <v>28</v>
      </c>
      <c r="V931" t="s">
        <v>28</v>
      </c>
      <c r="W931">
        <v>6</v>
      </c>
      <c r="X931" t="s">
        <v>151</v>
      </c>
    </row>
    <row r="932" spans="1:24" x14ac:dyDescent="0.2">
      <c r="A932" t="str">
        <f t="shared" si="42"/>
        <v>sample_novaseq-16S-D-F07-L6_SICap-P15-F7-P4D14-YCFAG-C4R1-yesBile-rep1-day14</v>
      </c>
      <c r="B932" s="1" t="s">
        <v>528</v>
      </c>
      <c r="C932" s="3" t="s">
        <v>1104</v>
      </c>
      <c r="D932" s="3" t="s">
        <v>1328</v>
      </c>
      <c r="E932" t="s">
        <v>20</v>
      </c>
      <c r="F932" t="s">
        <v>152</v>
      </c>
      <c r="G932" t="s">
        <v>110</v>
      </c>
      <c r="H932" t="str">
        <f t="shared" si="43"/>
        <v>07</v>
      </c>
      <c r="I932" t="str">
        <f t="shared" si="44"/>
        <v>F</v>
      </c>
      <c r="J932" t="s">
        <v>153</v>
      </c>
      <c r="K932" t="s">
        <v>104</v>
      </c>
      <c r="L932" t="s">
        <v>142</v>
      </c>
      <c r="M932" t="s">
        <v>41</v>
      </c>
      <c r="N932">
        <v>1</v>
      </c>
      <c r="O932">
        <v>14</v>
      </c>
      <c r="P932" t="s">
        <v>154</v>
      </c>
      <c r="Q932" t="s">
        <v>28</v>
      </c>
      <c r="R932" t="s">
        <v>28</v>
      </c>
      <c r="S932" t="s">
        <v>28</v>
      </c>
      <c r="T932" t="s">
        <v>28</v>
      </c>
      <c r="U932" t="s">
        <v>28</v>
      </c>
      <c r="V932" t="s">
        <v>28</v>
      </c>
      <c r="W932">
        <v>6</v>
      </c>
      <c r="X932" t="s">
        <v>151</v>
      </c>
    </row>
    <row r="933" spans="1:24" x14ac:dyDescent="0.2">
      <c r="A933" t="str">
        <f t="shared" si="42"/>
        <v>sample_novaseq-16S-D-F08-L6_SICap-P15-F8-P4D14-YCFAG-C4R2-yesBile-rep1-day14</v>
      </c>
      <c r="B933" s="1" t="s">
        <v>529</v>
      </c>
      <c r="C933" s="3" t="s">
        <v>1105</v>
      </c>
      <c r="D933" s="3" t="s">
        <v>1328</v>
      </c>
      <c r="E933" t="s">
        <v>20</v>
      </c>
      <c r="F933" t="s">
        <v>152</v>
      </c>
      <c r="G933" t="s">
        <v>111</v>
      </c>
      <c r="H933" t="str">
        <f t="shared" si="43"/>
        <v>08</v>
      </c>
      <c r="I933" t="str">
        <f t="shared" si="44"/>
        <v>F</v>
      </c>
      <c r="J933" t="s">
        <v>153</v>
      </c>
      <c r="K933" t="s">
        <v>104</v>
      </c>
      <c r="L933" t="s">
        <v>142</v>
      </c>
      <c r="M933" t="s">
        <v>43</v>
      </c>
      <c r="N933">
        <v>1</v>
      </c>
      <c r="O933">
        <v>14</v>
      </c>
      <c r="P933" t="s">
        <v>154</v>
      </c>
      <c r="Q933" t="s">
        <v>28</v>
      </c>
      <c r="R933" t="s">
        <v>28</v>
      </c>
      <c r="S933" t="s">
        <v>28</v>
      </c>
      <c r="T933" t="s">
        <v>28</v>
      </c>
      <c r="U933" t="s">
        <v>28</v>
      </c>
      <c r="V933" t="s">
        <v>28</v>
      </c>
      <c r="W933">
        <v>6</v>
      </c>
      <c r="X933" t="s">
        <v>151</v>
      </c>
    </row>
    <row r="934" spans="1:24" x14ac:dyDescent="0.2">
      <c r="A934" t="str">
        <f t="shared" si="42"/>
        <v>sample_novaseq-16S-D-F09-L6_SICap-P15-F9-P4D14-YCFAG-S1R2-yesBile-rep1-day14</v>
      </c>
      <c r="B934" s="1" t="s">
        <v>530</v>
      </c>
      <c r="C934" s="3" t="s">
        <v>1106</v>
      </c>
      <c r="D934" s="3" t="s">
        <v>1328</v>
      </c>
      <c r="E934" t="s">
        <v>20</v>
      </c>
      <c r="F934" t="s">
        <v>152</v>
      </c>
      <c r="G934" t="s">
        <v>112</v>
      </c>
      <c r="H934" t="str">
        <f t="shared" si="43"/>
        <v>09</v>
      </c>
      <c r="I934" t="str">
        <f t="shared" si="44"/>
        <v>F</v>
      </c>
      <c r="J934" t="s">
        <v>153</v>
      </c>
      <c r="K934" t="s">
        <v>104</v>
      </c>
      <c r="L934" t="s">
        <v>142</v>
      </c>
      <c r="M934" t="s">
        <v>45</v>
      </c>
      <c r="N934">
        <v>1</v>
      </c>
      <c r="O934">
        <v>14</v>
      </c>
      <c r="P934" t="s">
        <v>154</v>
      </c>
      <c r="Q934" t="s">
        <v>28</v>
      </c>
      <c r="R934" t="s">
        <v>28</v>
      </c>
      <c r="S934" t="s">
        <v>28</v>
      </c>
      <c r="T934" t="s">
        <v>28</v>
      </c>
      <c r="U934" t="s">
        <v>28</v>
      </c>
      <c r="V934" t="s">
        <v>28</v>
      </c>
      <c r="W934">
        <v>6</v>
      </c>
      <c r="X934" t="s">
        <v>151</v>
      </c>
    </row>
    <row r="935" spans="1:24" x14ac:dyDescent="0.2">
      <c r="A935" t="str">
        <f t="shared" si="42"/>
        <v>sample_novaseq-16S-D-F10-L6_SICap-P15-F10-P4D14-YCFAG-StoolPool-yesBile-rep1-day14</v>
      </c>
      <c r="B935" s="1" t="s">
        <v>531</v>
      </c>
      <c r="C935" s="3" t="s">
        <v>1107</v>
      </c>
      <c r="D935" s="3" t="s">
        <v>1328</v>
      </c>
      <c r="E935" t="s">
        <v>20</v>
      </c>
      <c r="F935" t="s">
        <v>152</v>
      </c>
      <c r="G935" t="s">
        <v>113</v>
      </c>
      <c r="H935" t="str">
        <f t="shared" si="43"/>
        <v>10</v>
      </c>
      <c r="I935" t="str">
        <f t="shared" si="44"/>
        <v>F</v>
      </c>
      <c r="J935" t="s">
        <v>153</v>
      </c>
      <c r="K935" t="s">
        <v>104</v>
      </c>
      <c r="L935" t="s">
        <v>142</v>
      </c>
      <c r="M935" t="s">
        <v>47</v>
      </c>
      <c r="N935">
        <v>1</v>
      </c>
      <c r="O935">
        <v>14</v>
      </c>
      <c r="P935" t="s">
        <v>154</v>
      </c>
      <c r="Q935" t="s">
        <v>28</v>
      </c>
      <c r="R935" t="s">
        <v>28</v>
      </c>
      <c r="S935" t="s">
        <v>28</v>
      </c>
      <c r="T935" t="s">
        <v>28</v>
      </c>
      <c r="U935" t="s">
        <v>28</v>
      </c>
      <c r="V935" t="s">
        <v>28</v>
      </c>
      <c r="W935">
        <v>6</v>
      </c>
      <c r="X935" t="s">
        <v>151</v>
      </c>
    </row>
    <row r="936" spans="1:24" x14ac:dyDescent="0.2">
      <c r="A936" t="str">
        <f t="shared" si="42"/>
        <v>sample_novaseq-16S-D-F11-L6_SICap-P15-F11-P4D14-YCFAG-SIPool-yesBile-rep1-day14</v>
      </c>
      <c r="B936" s="1" t="s">
        <v>532</v>
      </c>
      <c r="C936" s="3" t="s">
        <v>1108</v>
      </c>
      <c r="D936" s="3" t="s">
        <v>1328</v>
      </c>
      <c r="E936" t="s">
        <v>20</v>
      </c>
      <c r="F936" t="s">
        <v>152</v>
      </c>
      <c r="G936" t="s">
        <v>114</v>
      </c>
      <c r="H936" t="str">
        <f t="shared" si="43"/>
        <v>11</v>
      </c>
      <c r="I936" t="str">
        <f t="shared" si="44"/>
        <v>F</v>
      </c>
      <c r="J936" t="s">
        <v>153</v>
      </c>
      <c r="K936" t="s">
        <v>104</v>
      </c>
      <c r="L936" t="s">
        <v>142</v>
      </c>
      <c r="M936" t="s">
        <v>49</v>
      </c>
      <c r="N936">
        <v>1</v>
      </c>
      <c r="O936">
        <v>14</v>
      </c>
      <c r="P936" t="s">
        <v>154</v>
      </c>
      <c r="Q936" t="s">
        <v>28</v>
      </c>
      <c r="R936" t="s">
        <v>28</v>
      </c>
      <c r="S936" t="s">
        <v>28</v>
      </c>
      <c r="T936" t="s">
        <v>28</v>
      </c>
      <c r="U936" t="s">
        <v>28</v>
      </c>
      <c r="V936" t="s">
        <v>28</v>
      </c>
      <c r="W936">
        <v>6</v>
      </c>
      <c r="X936" t="s">
        <v>151</v>
      </c>
    </row>
    <row r="937" spans="1:24" x14ac:dyDescent="0.2">
      <c r="A937" t="str">
        <f t="shared" si="42"/>
        <v>sample_novaseq-16S-D-F12-L6_SICap-P15-F12-P4D14-YCFAG-Media-yesBile-rep1-day14</v>
      </c>
      <c r="B937" s="1" t="s">
        <v>533</v>
      </c>
      <c r="C937" s="3" t="s">
        <v>1109</v>
      </c>
      <c r="D937" s="3" t="s">
        <v>1328</v>
      </c>
      <c r="E937" t="s">
        <v>20</v>
      </c>
      <c r="F937" t="s">
        <v>152</v>
      </c>
      <c r="G937" t="s">
        <v>115</v>
      </c>
      <c r="H937" t="str">
        <f t="shared" si="43"/>
        <v>12</v>
      </c>
      <c r="I937" t="str">
        <f t="shared" si="44"/>
        <v>F</v>
      </c>
      <c r="J937" t="s">
        <v>153</v>
      </c>
      <c r="K937" t="s">
        <v>104</v>
      </c>
      <c r="L937" t="s">
        <v>142</v>
      </c>
      <c r="M937" t="s">
        <v>6</v>
      </c>
      <c r="N937">
        <v>1</v>
      </c>
      <c r="O937">
        <v>14</v>
      </c>
      <c r="P937" t="s">
        <v>154</v>
      </c>
      <c r="Q937" t="s">
        <v>28</v>
      </c>
      <c r="R937" t="s">
        <v>28</v>
      </c>
      <c r="S937" t="s">
        <v>28</v>
      </c>
      <c r="T937" t="s">
        <v>28</v>
      </c>
      <c r="U937" t="s">
        <v>28</v>
      </c>
      <c r="V937" t="s">
        <v>28</v>
      </c>
      <c r="W937">
        <v>6</v>
      </c>
      <c r="X937" t="s">
        <v>151</v>
      </c>
    </row>
    <row r="938" spans="1:24" x14ac:dyDescent="0.2">
      <c r="A938" t="str">
        <f t="shared" si="42"/>
        <v>sample_novaseq-16S-D-G01-L6_SICap-P15-G1-P4D14-TYG-C1R1-yesBile-rep1-day14</v>
      </c>
      <c r="B938" s="1" t="s">
        <v>534</v>
      </c>
      <c r="C938" s="3" t="s">
        <v>1110</v>
      </c>
      <c r="D938" s="3" t="s">
        <v>1328</v>
      </c>
      <c r="E938" t="s">
        <v>20</v>
      </c>
      <c r="F938" t="s">
        <v>152</v>
      </c>
      <c r="G938" t="s">
        <v>116</v>
      </c>
      <c r="H938" t="str">
        <f t="shared" si="43"/>
        <v>01</v>
      </c>
      <c r="I938" t="str">
        <f t="shared" si="44"/>
        <v>G</v>
      </c>
      <c r="J938" t="s">
        <v>153</v>
      </c>
      <c r="K938" t="s">
        <v>117</v>
      </c>
      <c r="L938" t="s">
        <v>142</v>
      </c>
      <c r="M938" t="s">
        <v>26</v>
      </c>
      <c r="N938">
        <v>1</v>
      </c>
      <c r="O938">
        <v>14</v>
      </c>
      <c r="P938" t="s">
        <v>154</v>
      </c>
      <c r="Q938" t="s">
        <v>28</v>
      </c>
      <c r="R938" t="s">
        <v>28</v>
      </c>
      <c r="S938" t="s">
        <v>28</v>
      </c>
      <c r="T938" t="s">
        <v>28</v>
      </c>
      <c r="U938" t="s">
        <v>28</v>
      </c>
      <c r="V938" t="s">
        <v>28</v>
      </c>
      <c r="W938">
        <v>6</v>
      </c>
      <c r="X938" t="s">
        <v>151</v>
      </c>
    </row>
    <row r="939" spans="1:24" x14ac:dyDescent="0.2">
      <c r="A939" t="str">
        <f t="shared" si="42"/>
        <v>sample_novaseq-16S-D-G02-L6_SICap-P15-G2-P4D14-TYG-C1R2-yesBile-rep1-day14</v>
      </c>
      <c r="B939" s="1" t="s">
        <v>535</v>
      </c>
      <c r="C939" s="3" t="s">
        <v>1111</v>
      </c>
      <c r="D939" s="3" t="s">
        <v>1328</v>
      </c>
      <c r="E939" t="s">
        <v>20</v>
      </c>
      <c r="F939" t="s">
        <v>152</v>
      </c>
      <c r="G939" t="s">
        <v>118</v>
      </c>
      <c r="H939" t="str">
        <f t="shared" si="43"/>
        <v>02</v>
      </c>
      <c r="I939" t="str">
        <f t="shared" si="44"/>
        <v>G</v>
      </c>
      <c r="J939" t="s">
        <v>153</v>
      </c>
      <c r="K939" t="s">
        <v>117</v>
      </c>
      <c r="L939" t="s">
        <v>142</v>
      </c>
      <c r="M939" t="s">
        <v>31</v>
      </c>
      <c r="N939">
        <v>1</v>
      </c>
      <c r="O939">
        <v>14</v>
      </c>
      <c r="P939" t="s">
        <v>154</v>
      </c>
      <c r="Q939" t="s">
        <v>28</v>
      </c>
      <c r="R939" t="s">
        <v>28</v>
      </c>
      <c r="S939" t="s">
        <v>28</v>
      </c>
      <c r="T939" t="s">
        <v>28</v>
      </c>
      <c r="U939" t="s">
        <v>28</v>
      </c>
      <c r="V939" t="s">
        <v>28</v>
      </c>
      <c r="W939">
        <v>6</v>
      </c>
      <c r="X939" t="s">
        <v>151</v>
      </c>
    </row>
    <row r="940" spans="1:24" x14ac:dyDescent="0.2">
      <c r="A940" t="str">
        <f t="shared" si="42"/>
        <v>sample_novaseq-16S-D-G03-L6_SICap-P15-G3-P4D14-TYG-C2R1-yesBile-rep1-day14</v>
      </c>
      <c r="B940" s="1" t="s">
        <v>536</v>
      </c>
      <c r="C940" s="3" t="s">
        <v>1112</v>
      </c>
      <c r="D940" s="3" t="s">
        <v>1328</v>
      </c>
      <c r="E940" t="s">
        <v>20</v>
      </c>
      <c r="F940" t="s">
        <v>152</v>
      </c>
      <c r="G940" t="s">
        <v>119</v>
      </c>
      <c r="H940" t="str">
        <f t="shared" si="43"/>
        <v>03</v>
      </c>
      <c r="I940" t="str">
        <f t="shared" si="44"/>
        <v>G</v>
      </c>
      <c r="J940" t="s">
        <v>153</v>
      </c>
      <c r="K940" t="s">
        <v>117</v>
      </c>
      <c r="L940" t="s">
        <v>142</v>
      </c>
      <c r="M940" t="s">
        <v>33</v>
      </c>
      <c r="N940">
        <v>1</v>
      </c>
      <c r="O940">
        <v>14</v>
      </c>
      <c r="P940" t="s">
        <v>154</v>
      </c>
      <c r="Q940" t="s">
        <v>28</v>
      </c>
      <c r="R940" t="s">
        <v>28</v>
      </c>
      <c r="S940" t="s">
        <v>28</v>
      </c>
      <c r="T940" t="s">
        <v>28</v>
      </c>
      <c r="U940" t="s">
        <v>28</v>
      </c>
      <c r="V940" t="s">
        <v>28</v>
      </c>
      <c r="W940">
        <v>6</v>
      </c>
      <c r="X940" t="s">
        <v>151</v>
      </c>
    </row>
    <row r="941" spans="1:24" x14ac:dyDescent="0.2">
      <c r="A941" t="str">
        <f t="shared" si="42"/>
        <v>sample_novaseq-16S-D-G04-L6_SICap-P15-G4-P4D14-TYG-C2R2-yesBile-rep1-day14</v>
      </c>
      <c r="B941" s="1" t="s">
        <v>537</v>
      </c>
      <c r="C941" s="3" t="s">
        <v>1113</v>
      </c>
      <c r="D941" s="3" t="s">
        <v>1328</v>
      </c>
      <c r="E941" t="s">
        <v>20</v>
      </c>
      <c r="F941" t="s">
        <v>152</v>
      </c>
      <c r="G941" t="s">
        <v>120</v>
      </c>
      <c r="H941" t="str">
        <f t="shared" si="43"/>
        <v>04</v>
      </c>
      <c r="I941" t="str">
        <f t="shared" si="44"/>
        <v>G</v>
      </c>
      <c r="J941" t="s">
        <v>153</v>
      </c>
      <c r="K941" t="s">
        <v>117</v>
      </c>
      <c r="L941" t="s">
        <v>142</v>
      </c>
      <c r="M941" t="s">
        <v>35</v>
      </c>
      <c r="N941">
        <v>1</v>
      </c>
      <c r="O941">
        <v>14</v>
      </c>
      <c r="P941" t="s">
        <v>154</v>
      </c>
      <c r="Q941" t="s">
        <v>28</v>
      </c>
      <c r="R941" t="s">
        <v>28</v>
      </c>
      <c r="S941" t="s">
        <v>28</v>
      </c>
      <c r="T941" t="s">
        <v>28</v>
      </c>
      <c r="U941" t="s">
        <v>28</v>
      </c>
      <c r="V941" t="s">
        <v>28</v>
      </c>
      <c r="W941">
        <v>6</v>
      </c>
      <c r="X941" t="s">
        <v>151</v>
      </c>
    </row>
    <row r="942" spans="1:24" x14ac:dyDescent="0.2">
      <c r="A942" t="str">
        <f t="shared" si="42"/>
        <v>sample_novaseq-16S-D-G05-L6_SICap-P15-G5-P4D14-TYG-C3R1-yesBile-rep1-day14</v>
      </c>
      <c r="B942" s="1" t="s">
        <v>538</v>
      </c>
      <c r="C942" s="3" t="s">
        <v>1114</v>
      </c>
      <c r="D942" s="3" t="s">
        <v>1328</v>
      </c>
      <c r="E942" t="s">
        <v>20</v>
      </c>
      <c r="F942" t="s">
        <v>152</v>
      </c>
      <c r="G942" t="s">
        <v>121</v>
      </c>
      <c r="H942" t="str">
        <f t="shared" si="43"/>
        <v>05</v>
      </c>
      <c r="I942" t="str">
        <f t="shared" si="44"/>
        <v>G</v>
      </c>
      <c r="J942" t="s">
        <v>153</v>
      </c>
      <c r="K942" t="s">
        <v>117</v>
      </c>
      <c r="L942" t="s">
        <v>142</v>
      </c>
      <c r="M942" t="s">
        <v>37</v>
      </c>
      <c r="N942">
        <v>1</v>
      </c>
      <c r="O942">
        <v>14</v>
      </c>
      <c r="P942" t="s">
        <v>154</v>
      </c>
      <c r="Q942" t="s">
        <v>28</v>
      </c>
      <c r="R942" t="s">
        <v>28</v>
      </c>
      <c r="S942" t="s">
        <v>28</v>
      </c>
      <c r="T942" t="s">
        <v>28</v>
      </c>
      <c r="U942" t="s">
        <v>28</v>
      </c>
      <c r="V942" t="s">
        <v>28</v>
      </c>
      <c r="W942">
        <v>6</v>
      </c>
      <c r="X942" t="s">
        <v>151</v>
      </c>
    </row>
    <row r="943" spans="1:24" x14ac:dyDescent="0.2">
      <c r="A943" t="str">
        <f t="shared" si="42"/>
        <v>sample_novaseq-16S-D-G06-L6_SICap-P15-G6-P4D14-TYG-C3R2-yesBile-rep1-day14</v>
      </c>
      <c r="B943" s="1" t="s">
        <v>539</v>
      </c>
      <c r="C943" s="3" t="s">
        <v>1115</v>
      </c>
      <c r="D943" s="3" t="s">
        <v>1328</v>
      </c>
      <c r="E943" t="s">
        <v>20</v>
      </c>
      <c r="F943" t="s">
        <v>152</v>
      </c>
      <c r="G943" t="s">
        <v>122</v>
      </c>
      <c r="H943" t="str">
        <f t="shared" si="43"/>
        <v>06</v>
      </c>
      <c r="I943" t="str">
        <f t="shared" si="44"/>
        <v>G</v>
      </c>
      <c r="J943" t="s">
        <v>153</v>
      </c>
      <c r="K943" t="s">
        <v>117</v>
      </c>
      <c r="L943" t="s">
        <v>142</v>
      </c>
      <c r="M943" t="s">
        <v>39</v>
      </c>
      <c r="N943">
        <v>1</v>
      </c>
      <c r="O943">
        <v>14</v>
      </c>
      <c r="P943" t="s">
        <v>154</v>
      </c>
      <c r="Q943" t="s">
        <v>28</v>
      </c>
      <c r="R943" t="s">
        <v>28</v>
      </c>
      <c r="S943" t="s">
        <v>28</v>
      </c>
      <c r="T943" t="s">
        <v>28</v>
      </c>
      <c r="U943" t="s">
        <v>28</v>
      </c>
      <c r="V943" t="s">
        <v>28</v>
      </c>
      <c r="W943">
        <v>6</v>
      </c>
      <c r="X943" t="s">
        <v>151</v>
      </c>
    </row>
    <row r="944" spans="1:24" x14ac:dyDescent="0.2">
      <c r="A944" t="str">
        <f t="shared" si="42"/>
        <v>sample_novaseq-16S-D-G07-L6_SICap-P15-G7-P4D14-TYG-C4R1-yesBile-rep1-day14</v>
      </c>
      <c r="B944" s="1" t="s">
        <v>540</v>
      </c>
      <c r="C944" s="3" t="s">
        <v>1116</v>
      </c>
      <c r="D944" s="3" t="s">
        <v>1328</v>
      </c>
      <c r="E944" t="s">
        <v>20</v>
      </c>
      <c r="F944" t="s">
        <v>152</v>
      </c>
      <c r="G944" t="s">
        <v>123</v>
      </c>
      <c r="H944" t="str">
        <f t="shared" si="43"/>
        <v>07</v>
      </c>
      <c r="I944" t="str">
        <f t="shared" si="44"/>
        <v>G</v>
      </c>
      <c r="J944" t="s">
        <v>153</v>
      </c>
      <c r="K944" t="s">
        <v>117</v>
      </c>
      <c r="L944" t="s">
        <v>142</v>
      </c>
      <c r="M944" t="s">
        <v>41</v>
      </c>
      <c r="N944">
        <v>1</v>
      </c>
      <c r="O944">
        <v>14</v>
      </c>
      <c r="P944" t="s">
        <v>154</v>
      </c>
      <c r="Q944" t="s">
        <v>28</v>
      </c>
      <c r="R944" t="s">
        <v>28</v>
      </c>
      <c r="S944" t="s">
        <v>28</v>
      </c>
      <c r="T944" t="s">
        <v>28</v>
      </c>
      <c r="U944" t="s">
        <v>28</v>
      </c>
      <c r="V944" t="s">
        <v>28</v>
      </c>
      <c r="W944">
        <v>6</v>
      </c>
      <c r="X944" t="s">
        <v>151</v>
      </c>
    </row>
    <row r="945" spans="1:24" x14ac:dyDescent="0.2">
      <c r="A945" t="str">
        <f t="shared" si="42"/>
        <v>sample_novaseq-16S-D-G08-L6_SICap-P15-G8-P4D14-TYG-C4R2-yesBile-rep1-day14</v>
      </c>
      <c r="B945" s="1" t="s">
        <v>541</v>
      </c>
      <c r="C945" s="3" t="s">
        <v>1117</v>
      </c>
      <c r="D945" s="3" t="s">
        <v>1328</v>
      </c>
      <c r="E945" t="s">
        <v>20</v>
      </c>
      <c r="F945" t="s">
        <v>152</v>
      </c>
      <c r="G945" t="s">
        <v>124</v>
      </c>
      <c r="H945" t="str">
        <f t="shared" si="43"/>
        <v>08</v>
      </c>
      <c r="I945" t="str">
        <f t="shared" si="44"/>
        <v>G</v>
      </c>
      <c r="J945" t="s">
        <v>153</v>
      </c>
      <c r="K945" t="s">
        <v>117</v>
      </c>
      <c r="L945" t="s">
        <v>142</v>
      </c>
      <c r="M945" t="s">
        <v>43</v>
      </c>
      <c r="N945">
        <v>1</v>
      </c>
      <c r="O945">
        <v>14</v>
      </c>
      <c r="P945" t="s">
        <v>154</v>
      </c>
      <c r="Q945" t="s">
        <v>28</v>
      </c>
      <c r="R945" t="s">
        <v>28</v>
      </c>
      <c r="S945" t="s">
        <v>28</v>
      </c>
      <c r="T945" t="s">
        <v>28</v>
      </c>
      <c r="U945" t="s">
        <v>28</v>
      </c>
      <c r="V945" t="s">
        <v>28</v>
      </c>
      <c r="W945">
        <v>6</v>
      </c>
      <c r="X945" t="s">
        <v>151</v>
      </c>
    </row>
    <row r="946" spans="1:24" x14ac:dyDescent="0.2">
      <c r="A946" t="str">
        <f t="shared" si="42"/>
        <v>sample_novaseq-16S-D-G09-L6_SICap-P15-G9-P4D14-TYG-S1R2-yesBile-rep1-day14</v>
      </c>
      <c r="B946" s="1" t="s">
        <v>542</v>
      </c>
      <c r="C946" s="3" t="s">
        <v>1118</v>
      </c>
      <c r="D946" s="3" t="s">
        <v>1328</v>
      </c>
      <c r="E946" t="s">
        <v>20</v>
      </c>
      <c r="F946" t="s">
        <v>152</v>
      </c>
      <c r="G946" t="s">
        <v>125</v>
      </c>
      <c r="H946" t="str">
        <f t="shared" si="43"/>
        <v>09</v>
      </c>
      <c r="I946" t="str">
        <f t="shared" si="44"/>
        <v>G</v>
      </c>
      <c r="J946" t="s">
        <v>153</v>
      </c>
      <c r="K946" t="s">
        <v>117</v>
      </c>
      <c r="L946" t="s">
        <v>142</v>
      </c>
      <c r="M946" t="s">
        <v>45</v>
      </c>
      <c r="N946">
        <v>1</v>
      </c>
      <c r="O946">
        <v>14</v>
      </c>
      <c r="P946" t="s">
        <v>154</v>
      </c>
      <c r="Q946" t="s">
        <v>28</v>
      </c>
      <c r="R946" t="s">
        <v>28</v>
      </c>
      <c r="S946" t="s">
        <v>28</v>
      </c>
      <c r="T946" t="s">
        <v>28</v>
      </c>
      <c r="U946" t="s">
        <v>28</v>
      </c>
      <c r="V946" t="s">
        <v>28</v>
      </c>
      <c r="W946">
        <v>6</v>
      </c>
      <c r="X946" t="s">
        <v>151</v>
      </c>
    </row>
    <row r="947" spans="1:24" x14ac:dyDescent="0.2">
      <c r="A947" t="str">
        <f t="shared" si="42"/>
        <v>sample_novaseq-16S-D-G10-L6_SICap-P15-G10-P4D14-TYG-StoolPool-yesBile-rep1-day14</v>
      </c>
      <c r="B947" s="1" t="s">
        <v>543</v>
      </c>
      <c r="C947" s="3" t="s">
        <v>1119</v>
      </c>
      <c r="D947" s="3" t="s">
        <v>1328</v>
      </c>
      <c r="E947" t="s">
        <v>20</v>
      </c>
      <c r="F947" t="s">
        <v>152</v>
      </c>
      <c r="G947" t="s">
        <v>126</v>
      </c>
      <c r="H947" t="str">
        <f t="shared" si="43"/>
        <v>10</v>
      </c>
      <c r="I947" t="str">
        <f t="shared" si="44"/>
        <v>G</v>
      </c>
      <c r="J947" t="s">
        <v>153</v>
      </c>
      <c r="K947" t="s">
        <v>117</v>
      </c>
      <c r="L947" t="s">
        <v>142</v>
      </c>
      <c r="M947" t="s">
        <v>47</v>
      </c>
      <c r="N947">
        <v>1</v>
      </c>
      <c r="O947">
        <v>14</v>
      </c>
      <c r="P947" t="s">
        <v>154</v>
      </c>
      <c r="Q947" t="s">
        <v>28</v>
      </c>
      <c r="R947" t="s">
        <v>28</v>
      </c>
      <c r="S947" t="s">
        <v>28</v>
      </c>
      <c r="T947" t="s">
        <v>28</v>
      </c>
      <c r="U947" t="s">
        <v>28</v>
      </c>
      <c r="V947" t="s">
        <v>28</v>
      </c>
      <c r="W947">
        <v>6</v>
      </c>
      <c r="X947" t="s">
        <v>151</v>
      </c>
    </row>
    <row r="948" spans="1:24" x14ac:dyDescent="0.2">
      <c r="A948" t="str">
        <f t="shared" si="42"/>
        <v>sample_novaseq-16S-D-G11-L6_SICap-P15-G11-P4D14-TYG-SIPool-yesBile-rep1-day14</v>
      </c>
      <c r="B948" s="1" t="s">
        <v>544</v>
      </c>
      <c r="C948" s="3" t="s">
        <v>1120</v>
      </c>
      <c r="D948" s="3" t="s">
        <v>1328</v>
      </c>
      <c r="E948" t="s">
        <v>20</v>
      </c>
      <c r="F948" t="s">
        <v>152</v>
      </c>
      <c r="G948" t="s">
        <v>127</v>
      </c>
      <c r="H948" t="str">
        <f t="shared" si="43"/>
        <v>11</v>
      </c>
      <c r="I948" t="str">
        <f t="shared" si="44"/>
        <v>G</v>
      </c>
      <c r="J948" t="s">
        <v>153</v>
      </c>
      <c r="K948" t="s">
        <v>117</v>
      </c>
      <c r="L948" t="s">
        <v>142</v>
      </c>
      <c r="M948" t="s">
        <v>49</v>
      </c>
      <c r="N948">
        <v>1</v>
      </c>
      <c r="O948">
        <v>14</v>
      </c>
      <c r="P948" t="s">
        <v>154</v>
      </c>
      <c r="Q948" t="s">
        <v>28</v>
      </c>
      <c r="R948" t="s">
        <v>28</v>
      </c>
      <c r="S948" t="s">
        <v>28</v>
      </c>
      <c r="T948" t="s">
        <v>28</v>
      </c>
      <c r="U948" t="s">
        <v>28</v>
      </c>
      <c r="V948" t="s">
        <v>28</v>
      </c>
      <c r="W948">
        <v>6</v>
      </c>
      <c r="X948" t="s">
        <v>151</v>
      </c>
    </row>
    <row r="949" spans="1:24" x14ac:dyDescent="0.2">
      <c r="A949" t="str">
        <f t="shared" si="42"/>
        <v>sample_novaseq-16S-D-G12-L6_SICap-P15-G12-P4D14-TYG-Media-yesBile-rep1-day14</v>
      </c>
      <c r="B949" s="1" t="s">
        <v>545</v>
      </c>
      <c r="C949" s="3" t="s">
        <v>1121</v>
      </c>
      <c r="D949" s="3" t="s">
        <v>1328</v>
      </c>
      <c r="E949" t="s">
        <v>20</v>
      </c>
      <c r="F949" t="s">
        <v>152</v>
      </c>
      <c r="G949" t="s">
        <v>128</v>
      </c>
      <c r="H949" t="str">
        <f t="shared" si="43"/>
        <v>12</v>
      </c>
      <c r="I949" t="str">
        <f t="shared" si="44"/>
        <v>G</v>
      </c>
      <c r="J949" t="s">
        <v>153</v>
      </c>
      <c r="K949" t="s">
        <v>117</v>
      </c>
      <c r="L949" t="s">
        <v>142</v>
      </c>
      <c r="M949" t="s">
        <v>6</v>
      </c>
      <c r="N949">
        <v>1</v>
      </c>
      <c r="O949">
        <v>14</v>
      </c>
      <c r="P949" t="s">
        <v>154</v>
      </c>
      <c r="Q949" t="s">
        <v>28</v>
      </c>
      <c r="R949" t="s">
        <v>28</v>
      </c>
      <c r="S949" t="s">
        <v>28</v>
      </c>
      <c r="T949" t="s">
        <v>28</v>
      </c>
      <c r="U949" t="s">
        <v>28</v>
      </c>
      <c r="V949" t="s">
        <v>28</v>
      </c>
      <c r="W949">
        <v>6</v>
      </c>
      <c r="X949" t="s">
        <v>151</v>
      </c>
    </row>
    <row r="950" spans="1:24" x14ac:dyDescent="0.2">
      <c r="A950" t="str">
        <f t="shared" si="42"/>
        <v>sample_novaseq-16S-D-H01-L6_SICap-P15-H1-P4D14-RCM-C1R1-yesBile-rep1-day14</v>
      </c>
      <c r="B950" s="1" t="s">
        <v>546</v>
      </c>
      <c r="C950" s="3" t="s">
        <v>1122</v>
      </c>
      <c r="D950" s="3" t="s">
        <v>1328</v>
      </c>
      <c r="E950" t="s">
        <v>20</v>
      </c>
      <c r="F950" t="s">
        <v>152</v>
      </c>
      <c r="G950" t="s">
        <v>129</v>
      </c>
      <c r="H950" t="str">
        <f t="shared" si="43"/>
        <v>01</v>
      </c>
      <c r="I950" t="str">
        <f t="shared" si="44"/>
        <v>H</v>
      </c>
      <c r="J950" t="s">
        <v>153</v>
      </c>
      <c r="K950" t="s">
        <v>130</v>
      </c>
      <c r="L950" t="s">
        <v>142</v>
      </c>
      <c r="M950" t="s">
        <v>26</v>
      </c>
      <c r="N950">
        <v>1</v>
      </c>
      <c r="O950">
        <v>14</v>
      </c>
      <c r="P950" t="s">
        <v>154</v>
      </c>
      <c r="Q950" t="s">
        <v>28</v>
      </c>
      <c r="R950" t="s">
        <v>28</v>
      </c>
      <c r="S950" t="s">
        <v>28</v>
      </c>
      <c r="T950" t="s">
        <v>28</v>
      </c>
      <c r="U950" t="s">
        <v>28</v>
      </c>
      <c r="V950" t="s">
        <v>28</v>
      </c>
      <c r="W950">
        <v>6</v>
      </c>
      <c r="X950" t="s">
        <v>151</v>
      </c>
    </row>
    <row r="951" spans="1:24" x14ac:dyDescent="0.2">
      <c r="A951" t="str">
        <f t="shared" si="42"/>
        <v>sample_novaseq-16S-D-H02-L6_SICap-P15-H2-P4D14-RCM-C1R2-yesBile-rep1-day14</v>
      </c>
      <c r="B951" s="1" t="s">
        <v>547</v>
      </c>
      <c r="C951" s="3" t="s">
        <v>1123</v>
      </c>
      <c r="D951" s="3" t="s">
        <v>1328</v>
      </c>
      <c r="E951" t="s">
        <v>20</v>
      </c>
      <c r="F951" t="s">
        <v>152</v>
      </c>
      <c r="G951" t="s">
        <v>131</v>
      </c>
      <c r="H951" t="str">
        <f t="shared" si="43"/>
        <v>02</v>
      </c>
      <c r="I951" t="str">
        <f t="shared" si="44"/>
        <v>H</v>
      </c>
      <c r="J951" t="s">
        <v>153</v>
      </c>
      <c r="K951" t="s">
        <v>130</v>
      </c>
      <c r="L951" t="s">
        <v>142</v>
      </c>
      <c r="M951" t="s">
        <v>31</v>
      </c>
      <c r="N951">
        <v>1</v>
      </c>
      <c r="O951">
        <v>14</v>
      </c>
      <c r="P951" t="s">
        <v>154</v>
      </c>
      <c r="Q951" t="s">
        <v>28</v>
      </c>
      <c r="R951" t="s">
        <v>28</v>
      </c>
      <c r="S951" t="s">
        <v>28</v>
      </c>
      <c r="T951" t="s">
        <v>28</v>
      </c>
      <c r="U951" t="s">
        <v>28</v>
      </c>
      <c r="V951" t="s">
        <v>28</v>
      </c>
      <c r="W951">
        <v>6</v>
      </c>
      <c r="X951" t="s">
        <v>151</v>
      </c>
    </row>
    <row r="952" spans="1:24" x14ac:dyDescent="0.2">
      <c r="A952" t="str">
        <f t="shared" si="42"/>
        <v>sample_novaseq-16S-D-H03-L6_SICap-P15-H3-P4D14-RCM-C2R1-yesBile-rep1-day14</v>
      </c>
      <c r="B952" s="1" t="s">
        <v>548</v>
      </c>
      <c r="C952" s="3" t="s">
        <v>1124</v>
      </c>
      <c r="D952" s="3" t="s">
        <v>1328</v>
      </c>
      <c r="E952" t="s">
        <v>20</v>
      </c>
      <c r="F952" t="s">
        <v>152</v>
      </c>
      <c r="G952" t="s">
        <v>132</v>
      </c>
      <c r="H952" t="str">
        <f t="shared" si="43"/>
        <v>03</v>
      </c>
      <c r="I952" t="str">
        <f t="shared" si="44"/>
        <v>H</v>
      </c>
      <c r="J952" t="s">
        <v>153</v>
      </c>
      <c r="K952" t="s">
        <v>130</v>
      </c>
      <c r="L952" t="s">
        <v>142</v>
      </c>
      <c r="M952" t="s">
        <v>33</v>
      </c>
      <c r="N952">
        <v>1</v>
      </c>
      <c r="O952">
        <v>14</v>
      </c>
      <c r="P952" t="s">
        <v>154</v>
      </c>
      <c r="Q952" t="s">
        <v>28</v>
      </c>
      <c r="R952" t="s">
        <v>28</v>
      </c>
      <c r="S952" t="s">
        <v>28</v>
      </c>
      <c r="T952" t="s">
        <v>28</v>
      </c>
      <c r="U952" t="s">
        <v>28</v>
      </c>
      <c r="V952" t="s">
        <v>28</v>
      </c>
      <c r="W952">
        <v>6</v>
      </c>
      <c r="X952" t="s">
        <v>151</v>
      </c>
    </row>
    <row r="953" spans="1:24" x14ac:dyDescent="0.2">
      <c r="A953" t="str">
        <f t="shared" si="42"/>
        <v>sample_novaseq-16S-D-H04-L6_SICap-P15-H4-P4D14-RCM-C2R2-yesBile-rep1-day14</v>
      </c>
      <c r="B953" s="1" t="s">
        <v>549</v>
      </c>
      <c r="C953" s="3" t="s">
        <v>1125</v>
      </c>
      <c r="D953" s="3" t="s">
        <v>1328</v>
      </c>
      <c r="E953" t="s">
        <v>20</v>
      </c>
      <c r="F953" t="s">
        <v>152</v>
      </c>
      <c r="G953" t="s">
        <v>133</v>
      </c>
      <c r="H953" t="str">
        <f t="shared" si="43"/>
        <v>04</v>
      </c>
      <c r="I953" t="str">
        <f t="shared" si="44"/>
        <v>H</v>
      </c>
      <c r="J953" t="s">
        <v>153</v>
      </c>
      <c r="K953" t="s">
        <v>130</v>
      </c>
      <c r="L953" t="s">
        <v>142</v>
      </c>
      <c r="M953" t="s">
        <v>35</v>
      </c>
      <c r="N953">
        <v>1</v>
      </c>
      <c r="O953">
        <v>14</v>
      </c>
      <c r="P953" t="s">
        <v>154</v>
      </c>
      <c r="Q953" t="s">
        <v>28</v>
      </c>
      <c r="R953" t="s">
        <v>28</v>
      </c>
      <c r="S953" t="s">
        <v>28</v>
      </c>
      <c r="T953" t="s">
        <v>28</v>
      </c>
      <c r="U953" t="s">
        <v>28</v>
      </c>
      <c r="V953" t="s">
        <v>28</v>
      </c>
      <c r="W953">
        <v>6</v>
      </c>
      <c r="X953" t="s">
        <v>151</v>
      </c>
    </row>
    <row r="954" spans="1:24" x14ac:dyDescent="0.2">
      <c r="A954" t="str">
        <f t="shared" si="42"/>
        <v>sample_novaseq-16S-D-H05-L6_SICap-P15-H5-P4D14-RCM-C3R1-yesBile-rep1-day14</v>
      </c>
      <c r="B954" s="1" t="s">
        <v>550</v>
      </c>
      <c r="C954" s="3" t="s">
        <v>1126</v>
      </c>
      <c r="D954" s="3" t="s">
        <v>1328</v>
      </c>
      <c r="E954" t="s">
        <v>20</v>
      </c>
      <c r="F954" t="s">
        <v>152</v>
      </c>
      <c r="G954" t="s">
        <v>134</v>
      </c>
      <c r="H954" t="str">
        <f t="shared" si="43"/>
        <v>05</v>
      </c>
      <c r="I954" t="str">
        <f t="shared" si="44"/>
        <v>H</v>
      </c>
      <c r="J954" t="s">
        <v>153</v>
      </c>
      <c r="K954" t="s">
        <v>130</v>
      </c>
      <c r="L954" t="s">
        <v>142</v>
      </c>
      <c r="M954" t="s">
        <v>37</v>
      </c>
      <c r="N954">
        <v>1</v>
      </c>
      <c r="O954">
        <v>14</v>
      </c>
      <c r="P954" t="s">
        <v>154</v>
      </c>
      <c r="Q954" t="s">
        <v>28</v>
      </c>
      <c r="R954" t="s">
        <v>28</v>
      </c>
      <c r="S954" t="s">
        <v>28</v>
      </c>
      <c r="T954" t="s">
        <v>28</v>
      </c>
      <c r="U954" t="s">
        <v>28</v>
      </c>
      <c r="V954" t="s">
        <v>28</v>
      </c>
      <c r="W954">
        <v>6</v>
      </c>
      <c r="X954" t="s">
        <v>151</v>
      </c>
    </row>
    <row r="955" spans="1:24" x14ac:dyDescent="0.2">
      <c r="A955" t="str">
        <f t="shared" si="42"/>
        <v>sample_novaseq-16S-D-H06-L6_SICap-P15-H6-P4D14-RCM-C3R2-yesBile-rep1-day14</v>
      </c>
      <c r="B955" s="1" t="s">
        <v>551</v>
      </c>
      <c r="C955" s="3" t="s">
        <v>1127</v>
      </c>
      <c r="D955" s="3" t="s">
        <v>1328</v>
      </c>
      <c r="E955" t="s">
        <v>20</v>
      </c>
      <c r="F955" t="s">
        <v>152</v>
      </c>
      <c r="G955" t="s">
        <v>135</v>
      </c>
      <c r="H955" t="str">
        <f t="shared" si="43"/>
        <v>06</v>
      </c>
      <c r="I955" t="str">
        <f t="shared" si="44"/>
        <v>H</v>
      </c>
      <c r="J955" t="s">
        <v>153</v>
      </c>
      <c r="K955" t="s">
        <v>130</v>
      </c>
      <c r="L955" t="s">
        <v>142</v>
      </c>
      <c r="M955" t="s">
        <v>39</v>
      </c>
      <c r="N955">
        <v>1</v>
      </c>
      <c r="O955">
        <v>14</v>
      </c>
      <c r="P955" t="s">
        <v>154</v>
      </c>
      <c r="Q955" t="s">
        <v>28</v>
      </c>
      <c r="R955" t="s">
        <v>28</v>
      </c>
      <c r="S955" t="s">
        <v>28</v>
      </c>
      <c r="T955" t="s">
        <v>28</v>
      </c>
      <c r="U955" t="s">
        <v>28</v>
      </c>
      <c r="V955" t="s">
        <v>28</v>
      </c>
      <c r="W955">
        <v>6</v>
      </c>
      <c r="X955" t="s">
        <v>151</v>
      </c>
    </row>
    <row r="956" spans="1:24" x14ac:dyDescent="0.2">
      <c r="A956" t="str">
        <f t="shared" si="42"/>
        <v>sample_novaseq-16S-D-H07-L6_SICap-P15-H7-P4D14-RCM-C4R1-yesBile-rep1-day14</v>
      </c>
      <c r="B956" s="1" t="s">
        <v>552</v>
      </c>
      <c r="C956" s="3" t="s">
        <v>1128</v>
      </c>
      <c r="D956" s="3" t="s">
        <v>1328</v>
      </c>
      <c r="E956" t="s">
        <v>20</v>
      </c>
      <c r="F956" t="s">
        <v>152</v>
      </c>
      <c r="G956" t="s">
        <v>136</v>
      </c>
      <c r="H956" t="str">
        <f t="shared" si="43"/>
        <v>07</v>
      </c>
      <c r="I956" t="str">
        <f t="shared" si="44"/>
        <v>H</v>
      </c>
      <c r="J956" t="s">
        <v>153</v>
      </c>
      <c r="K956" t="s">
        <v>130</v>
      </c>
      <c r="L956" t="s">
        <v>142</v>
      </c>
      <c r="M956" t="s">
        <v>41</v>
      </c>
      <c r="N956">
        <v>1</v>
      </c>
      <c r="O956">
        <v>14</v>
      </c>
      <c r="P956" t="s">
        <v>154</v>
      </c>
      <c r="Q956" t="s">
        <v>28</v>
      </c>
      <c r="R956" t="s">
        <v>28</v>
      </c>
      <c r="S956" t="s">
        <v>28</v>
      </c>
      <c r="T956" t="s">
        <v>28</v>
      </c>
      <c r="U956" t="s">
        <v>28</v>
      </c>
      <c r="V956" t="s">
        <v>28</v>
      </c>
      <c r="W956">
        <v>6</v>
      </c>
      <c r="X956" t="s">
        <v>151</v>
      </c>
    </row>
    <row r="957" spans="1:24" x14ac:dyDescent="0.2">
      <c r="A957" t="str">
        <f t="shared" si="42"/>
        <v>sample_novaseq-16S-D-H08-L6_SICap-P15-H8-P4D14-RCM-C4R2-yesBile-rep1-day14</v>
      </c>
      <c r="B957" s="1" t="s">
        <v>553</v>
      </c>
      <c r="C957" s="3" t="s">
        <v>1129</v>
      </c>
      <c r="D957" s="3" t="s">
        <v>1328</v>
      </c>
      <c r="E957" t="s">
        <v>20</v>
      </c>
      <c r="F957" t="s">
        <v>152</v>
      </c>
      <c r="G957" t="s">
        <v>137</v>
      </c>
      <c r="H957" t="str">
        <f t="shared" si="43"/>
        <v>08</v>
      </c>
      <c r="I957" t="str">
        <f t="shared" si="44"/>
        <v>H</v>
      </c>
      <c r="J957" t="s">
        <v>153</v>
      </c>
      <c r="K957" t="s">
        <v>130</v>
      </c>
      <c r="L957" t="s">
        <v>142</v>
      </c>
      <c r="M957" t="s">
        <v>43</v>
      </c>
      <c r="N957">
        <v>1</v>
      </c>
      <c r="O957">
        <v>14</v>
      </c>
      <c r="P957" t="s">
        <v>154</v>
      </c>
      <c r="Q957" t="s">
        <v>28</v>
      </c>
      <c r="R957" t="s">
        <v>28</v>
      </c>
      <c r="S957" t="s">
        <v>28</v>
      </c>
      <c r="T957" t="s">
        <v>28</v>
      </c>
      <c r="U957" t="s">
        <v>28</v>
      </c>
      <c r="V957" t="s">
        <v>28</v>
      </c>
      <c r="W957">
        <v>6</v>
      </c>
      <c r="X957" t="s">
        <v>151</v>
      </c>
    </row>
    <row r="958" spans="1:24" x14ac:dyDescent="0.2">
      <c r="A958" t="str">
        <f t="shared" si="42"/>
        <v>sample_novaseq-16S-D-H09-L6_SICap-P15-H9-P4D14-RCM-S1R2-yesBile-rep1-day14</v>
      </c>
      <c r="B958" s="1" t="s">
        <v>554</v>
      </c>
      <c r="C958" s="3" t="s">
        <v>1130</v>
      </c>
      <c r="D958" s="3" t="s">
        <v>1328</v>
      </c>
      <c r="E958" t="s">
        <v>20</v>
      </c>
      <c r="F958" t="s">
        <v>152</v>
      </c>
      <c r="G958" t="s">
        <v>138</v>
      </c>
      <c r="H958" t="str">
        <f t="shared" si="43"/>
        <v>09</v>
      </c>
      <c r="I958" t="str">
        <f t="shared" si="44"/>
        <v>H</v>
      </c>
      <c r="J958" t="s">
        <v>153</v>
      </c>
      <c r="K958" t="s">
        <v>130</v>
      </c>
      <c r="L958" t="s">
        <v>142</v>
      </c>
      <c r="M958" t="s">
        <v>45</v>
      </c>
      <c r="N958">
        <v>1</v>
      </c>
      <c r="O958">
        <v>14</v>
      </c>
      <c r="P958" t="s">
        <v>154</v>
      </c>
      <c r="Q958" t="s">
        <v>28</v>
      </c>
      <c r="R958" t="s">
        <v>28</v>
      </c>
      <c r="S958" t="s">
        <v>28</v>
      </c>
      <c r="T958" t="s">
        <v>28</v>
      </c>
      <c r="U958" t="s">
        <v>28</v>
      </c>
      <c r="V958" t="s">
        <v>28</v>
      </c>
      <c r="W958">
        <v>6</v>
      </c>
      <c r="X958" t="s">
        <v>151</v>
      </c>
    </row>
    <row r="959" spans="1:24" x14ac:dyDescent="0.2">
      <c r="A959" t="str">
        <f t="shared" si="42"/>
        <v>sample_novaseq-16S-D-H10-L6_SICap-P15-H10-P4D14-RCM-StoolPool-yesBile-rep1-day14</v>
      </c>
      <c r="B959" s="1" t="s">
        <v>555</v>
      </c>
      <c r="C959" s="3" t="s">
        <v>1131</v>
      </c>
      <c r="D959" s="3" t="s">
        <v>1328</v>
      </c>
      <c r="E959" t="s">
        <v>20</v>
      </c>
      <c r="F959" t="s">
        <v>152</v>
      </c>
      <c r="G959" t="s">
        <v>139</v>
      </c>
      <c r="H959" t="str">
        <f t="shared" si="43"/>
        <v>10</v>
      </c>
      <c r="I959" t="str">
        <f t="shared" si="44"/>
        <v>H</v>
      </c>
      <c r="J959" t="s">
        <v>153</v>
      </c>
      <c r="K959" t="s">
        <v>130</v>
      </c>
      <c r="L959" t="s">
        <v>142</v>
      </c>
      <c r="M959" t="s">
        <v>47</v>
      </c>
      <c r="N959">
        <v>1</v>
      </c>
      <c r="O959">
        <v>14</v>
      </c>
      <c r="P959" t="s">
        <v>154</v>
      </c>
      <c r="Q959" t="s">
        <v>28</v>
      </c>
      <c r="R959" t="s">
        <v>28</v>
      </c>
      <c r="S959" t="s">
        <v>28</v>
      </c>
      <c r="T959" t="s">
        <v>28</v>
      </c>
      <c r="U959" t="s">
        <v>28</v>
      </c>
      <c r="V959" t="s">
        <v>28</v>
      </c>
      <c r="W959">
        <v>6</v>
      </c>
      <c r="X959" t="s">
        <v>151</v>
      </c>
    </row>
    <row r="960" spans="1:24" x14ac:dyDescent="0.2">
      <c r="A960" t="str">
        <f t="shared" si="42"/>
        <v>sample_novaseq-16S-D-H11-L6_SICap-P15-H11-P4D14-RCM-SIPool-yesBile-rep1-day14</v>
      </c>
      <c r="B960" s="1" t="s">
        <v>556</v>
      </c>
      <c r="C960" s="3" t="s">
        <v>1132</v>
      </c>
      <c r="D960" s="3" t="s">
        <v>1328</v>
      </c>
      <c r="E960" t="s">
        <v>20</v>
      </c>
      <c r="F960" t="s">
        <v>152</v>
      </c>
      <c r="G960" t="s">
        <v>140</v>
      </c>
      <c r="H960" t="str">
        <f t="shared" si="43"/>
        <v>11</v>
      </c>
      <c r="I960" t="str">
        <f t="shared" si="44"/>
        <v>H</v>
      </c>
      <c r="J960" t="s">
        <v>153</v>
      </c>
      <c r="K960" t="s">
        <v>130</v>
      </c>
      <c r="L960" t="s">
        <v>142</v>
      </c>
      <c r="M960" t="s">
        <v>49</v>
      </c>
      <c r="N960">
        <v>1</v>
      </c>
      <c r="O960">
        <v>14</v>
      </c>
      <c r="P960" t="s">
        <v>154</v>
      </c>
      <c r="Q960" t="s">
        <v>28</v>
      </c>
      <c r="R960" t="s">
        <v>28</v>
      </c>
      <c r="S960" t="s">
        <v>28</v>
      </c>
      <c r="T960" t="s">
        <v>28</v>
      </c>
      <c r="U960" t="s">
        <v>28</v>
      </c>
      <c r="V960" t="s">
        <v>28</v>
      </c>
      <c r="W960">
        <v>6</v>
      </c>
      <c r="X960" t="s">
        <v>151</v>
      </c>
    </row>
    <row r="961" spans="1:24" x14ac:dyDescent="0.2">
      <c r="A961" t="str">
        <f t="shared" si="42"/>
        <v>sample_novaseq-16S-D-H12-L6_SICap-P15-H12-P4D14-RCM-Media-yesBile-rep1-day14</v>
      </c>
      <c r="B961" s="1" t="s">
        <v>557</v>
      </c>
      <c r="C961" s="3" t="s">
        <v>1133</v>
      </c>
      <c r="D961" s="3" t="s">
        <v>1328</v>
      </c>
      <c r="E961" t="s">
        <v>20</v>
      </c>
      <c r="F961" t="s">
        <v>152</v>
      </c>
      <c r="G961" t="s">
        <v>141</v>
      </c>
      <c r="H961" t="str">
        <f t="shared" si="43"/>
        <v>12</v>
      </c>
      <c r="I961" t="str">
        <f t="shared" si="44"/>
        <v>H</v>
      </c>
      <c r="J961" t="s">
        <v>153</v>
      </c>
      <c r="K961" t="s">
        <v>130</v>
      </c>
      <c r="L961" t="s">
        <v>142</v>
      </c>
      <c r="M961" t="s">
        <v>6</v>
      </c>
      <c r="N961">
        <v>1</v>
      </c>
      <c r="O961">
        <v>14</v>
      </c>
      <c r="P961" t="s">
        <v>154</v>
      </c>
      <c r="Q961" t="s">
        <v>28</v>
      </c>
      <c r="R961" t="s">
        <v>28</v>
      </c>
      <c r="S961" t="s">
        <v>28</v>
      </c>
      <c r="T961" t="s">
        <v>28</v>
      </c>
      <c r="U961" t="s">
        <v>28</v>
      </c>
      <c r="V961" t="s">
        <v>28</v>
      </c>
      <c r="W961">
        <v>6</v>
      </c>
      <c r="X961" t="s">
        <v>151</v>
      </c>
    </row>
    <row r="962" spans="1:24" x14ac:dyDescent="0.2">
      <c r="A962" t="str">
        <f t="shared" si="42"/>
        <v>sample_novaseq-16S-E-A01-L3_SICap-P20-A1-P1D14-RP3-M9-C1R1-noBile-rep1-day14-repassage3</v>
      </c>
      <c r="B962" s="1" t="s">
        <v>558</v>
      </c>
      <c r="C962" s="3" t="s">
        <v>1134</v>
      </c>
      <c r="D962" s="3" t="s">
        <v>1328</v>
      </c>
      <c r="E962" t="s">
        <v>20</v>
      </c>
      <c r="F962" t="s">
        <v>156</v>
      </c>
      <c r="G962" t="s">
        <v>22</v>
      </c>
      <c r="H962" t="str">
        <f t="shared" si="43"/>
        <v>01</v>
      </c>
      <c r="I962" t="str">
        <f t="shared" si="44"/>
        <v>A</v>
      </c>
      <c r="J962" t="s">
        <v>157</v>
      </c>
      <c r="K962" t="s">
        <v>24</v>
      </c>
      <c r="L962" t="s">
        <v>25</v>
      </c>
      <c r="M962" t="s">
        <v>26</v>
      </c>
      <c r="N962">
        <v>1</v>
      </c>
      <c r="O962" t="s">
        <v>158</v>
      </c>
      <c r="P962" t="s">
        <v>159</v>
      </c>
      <c r="Q962" t="s">
        <v>28</v>
      </c>
      <c r="R962" t="s">
        <v>28</v>
      </c>
      <c r="S962" t="s">
        <v>28</v>
      </c>
      <c r="T962" t="s">
        <v>28</v>
      </c>
      <c r="U962" t="s">
        <v>28</v>
      </c>
      <c r="V962" t="s">
        <v>28</v>
      </c>
      <c r="W962">
        <v>3</v>
      </c>
      <c r="X962" t="s">
        <v>155</v>
      </c>
    </row>
    <row r="963" spans="1:24" x14ac:dyDescent="0.2">
      <c r="A963" t="str">
        <f t="shared" ref="A963:A1026" si="45">_xlfn.CONCAT("sample_novaseq-",C963)</f>
        <v>sample_novaseq-16S-E-A02-L3_SICap-P20-A2-P1D14-RP3-M9-C1R2-noBile-rep1-day14-repassage3</v>
      </c>
      <c r="B963" s="1" t="s">
        <v>559</v>
      </c>
      <c r="C963" s="3" t="s">
        <v>1135</v>
      </c>
      <c r="D963" s="3" t="s">
        <v>1328</v>
      </c>
      <c r="E963" t="s">
        <v>20</v>
      </c>
      <c r="F963" t="s">
        <v>156</v>
      </c>
      <c r="G963" t="s">
        <v>30</v>
      </c>
      <c r="H963" t="str">
        <f t="shared" ref="H963:H1026" si="46">RIGHT(G963,2)</f>
        <v>02</v>
      </c>
      <c r="I963" t="str">
        <f t="shared" ref="I963:I1026" si="47">LEFT(G963)</f>
        <v>A</v>
      </c>
      <c r="J963" t="s">
        <v>157</v>
      </c>
      <c r="K963" t="s">
        <v>24</v>
      </c>
      <c r="L963" t="s">
        <v>25</v>
      </c>
      <c r="M963" t="s">
        <v>31</v>
      </c>
      <c r="N963">
        <v>1</v>
      </c>
      <c r="O963" t="s">
        <v>158</v>
      </c>
      <c r="P963" t="s">
        <v>159</v>
      </c>
      <c r="Q963" t="s">
        <v>28</v>
      </c>
      <c r="R963" t="s">
        <v>28</v>
      </c>
      <c r="S963" t="s">
        <v>28</v>
      </c>
      <c r="T963" t="s">
        <v>28</v>
      </c>
      <c r="U963" t="s">
        <v>28</v>
      </c>
      <c r="V963" t="s">
        <v>28</v>
      </c>
      <c r="W963">
        <v>3</v>
      </c>
      <c r="X963" t="s">
        <v>155</v>
      </c>
    </row>
    <row r="964" spans="1:24" x14ac:dyDescent="0.2">
      <c r="A964" t="str">
        <f t="shared" si="45"/>
        <v>sample_novaseq-16S-E-A03-L3_SICap-P20-A3-P1D14-RP3-M9-C2R1-noBile-rep1-day14-repassage3</v>
      </c>
      <c r="B964" s="1" t="s">
        <v>560</v>
      </c>
      <c r="C964" s="3" t="s">
        <v>1136</v>
      </c>
      <c r="D964" s="3" t="s">
        <v>1328</v>
      </c>
      <c r="E964" t="s">
        <v>20</v>
      </c>
      <c r="F964" t="s">
        <v>156</v>
      </c>
      <c r="G964" t="s">
        <v>32</v>
      </c>
      <c r="H964" t="str">
        <f t="shared" si="46"/>
        <v>03</v>
      </c>
      <c r="I964" t="str">
        <f t="shared" si="47"/>
        <v>A</v>
      </c>
      <c r="J964" t="s">
        <v>157</v>
      </c>
      <c r="K964" t="s">
        <v>24</v>
      </c>
      <c r="L964" t="s">
        <v>25</v>
      </c>
      <c r="M964" t="s">
        <v>33</v>
      </c>
      <c r="N964">
        <v>1</v>
      </c>
      <c r="O964" t="s">
        <v>158</v>
      </c>
      <c r="P964" t="s">
        <v>159</v>
      </c>
      <c r="Q964" t="s">
        <v>28</v>
      </c>
      <c r="R964" t="s">
        <v>28</v>
      </c>
      <c r="S964" t="s">
        <v>28</v>
      </c>
      <c r="T964" t="s">
        <v>28</v>
      </c>
      <c r="U964" t="s">
        <v>28</v>
      </c>
      <c r="V964" t="s">
        <v>28</v>
      </c>
      <c r="W964">
        <v>3</v>
      </c>
      <c r="X964" t="s">
        <v>155</v>
      </c>
    </row>
    <row r="965" spans="1:24" x14ac:dyDescent="0.2">
      <c r="A965" t="str">
        <f t="shared" si="45"/>
        <v>sample_novaseq-16S-E-A04-L3_SICap-P20-A4-P1D14-RP3-M9-C2R2-noBile-rep1-day14-repassage3</v>
      </c>
      <c r="B965" s="1" t="s">
        <v>561</v>
      </c>
      <c r="C965" s="3" t="s">
        <v>1137</v>
      </c>
      <c r="D965" s="3" t="s">
        <v>1328</v>
      </c>
      <c r="E965" t="s">
        <v>20</v>
      </c>
      <c r="F965" t="s">
        <v>156</v>
      </c>
      <c r="G965" t="s">
        <v>34</v>
      </c>
      <c r="H965" t="str">
        <f t="shared" si="46"/>
        <v>04</v>
      </c>
      <c r="I965" t="str">
        <f t="shared" si="47"/>
        <v>A</v>
      </c>
      <c r="J965" t="s">
        <v>157</v>
      </c>
      <c r="K965" t="s">
        <v>24</v>
      </c>
      <c r="L965" t="s">
        <v>25</v>
      </c>
      <c r="M965" t="s">
        <v>35</v>
      </c>
      <c r="N965">
        <v>1</v>
      </c>
      <c r="O965" t="s">
        <v>158</v>
      </c>
      <c r="P965" t="s">
        <v>159</v>
      </c>
      <c r="Q965" t="s">
        <v>28</v>
      </c>
      <c r="R965" t="s">
        <v>28</v>
      </c>
      <c r="S965" t="s">
        <v>28</v>
      </c>
      <c r="T965" t="s">
        <v>28</v>
      </c>
      <c r="U965" t="s">
        <v>28</v>
      </c>
      <c r="V965" t="s">
        <v>28</v>
      </c>
      <c r="W965">
        <v>3</v>
      </c>
      <c r="X965" t="s">
        <v>155</v>
      </c>
    </row>
    <row r="966" spans="1:24" x14ac:dyDescent="0.2">
      <c r="A966" t="str">
        <f t="shared" si="45"/>
        <v>sample_novaseq-16S-E-A05-L3_SICap-P20-A5-P1D14-RP3-M9-C3R1-noBile-rep1-day14-repassage3</v>
      </c>
      <c r="B966" s="1" t="s">
        <v>562</v>
      </c>
      <c r="C966" s="3" t="s">
        <v>1138</v>
      </c>
      <c r="D966" s="3" t="s">
        <v>1328</v>
      </c>
      <c r="E966" t="s">
        <v>20</v>
      </c>
      <c r="F966" t="s">
        <v>156</v>
      </c>
      <c r="G966" t="s">
        <v>36</v>
      </c>
      <c r="H966" t="str">
        <f t="shared" si="46"/>
        <v>05</v>
      </c>
      <c r="I966" t="str">
        <f t="shared" si="47"/>
        <v>A</v>
      </c>
      <c r="J966" t="s">
        <v>157</v>
      </c>
      <c r="K966" t="s">
        <v>24</v>
      </c>
      <c r="L966" t="s">
        <v>25</v>
      </c>
      <c r="M966" t="s">
        <v>37</v>
      </c>
      <c r="N966">
        <v>1</v>
      </c>
      <c r="O966" t="s">
        <v>158</v>
      </c>
      <c r="P966" t="s">
        <v>159</v>
      </c>
      <c r="Q966" t="s">
        <v>28</v>
      </c>
      <c r="R966" t="s">
        <v>28</v>
      </c>
      <c r="S966" t="s">
        <v>28</v>
      </c>
      <c r="T966" t="s">
        <v>28</v>
      </c>
      <c r="U966" t="s">
        <v>28</v>
      </c>
      <c r="V966" t="s">
        <v>28</v>
      </c>
      <c r="W966">
        <v>3</v>
      </c>
      <c r="X966" t="s">
        <v>155</v>
      </c>
    </row>
    <row r="967" spans="1:24" x14ac:dyDescent="0.2">
      <c r="A967" t="str">
        <f t="shared" si="45"/>
        <v>sample_novaseq-16S-E-A06-L3_SICap-P20-A6-P1D14-RP3-M9-C3R2-noBile-rep1-day14-repassage3</v>
      </c>
      <c r="B967" s="1" t="s">
        <v>563</v>
      </c>
      <c r="C967" s="3" t="s">
        <v>1139</v>
      </c>
      <c r="D967" s="3" t="s">
        <v>1328</v>
      </c>
      <c r="E967" t="s">
        <v>20</v>
      </c>
      <c r="F967" t="s">
        <v>156</v>
      </c>
      <c r="G967" t="s">
        <v>38</v>
      </c>
      <c r="H967" t="str">
        <f t="shared" si="46"/>
        <v>06</v>
      </c>
      <c r="I967" t="str">
        <f t="shared" si="47"/>
        <v>A</v>
      </c>
      <c r="J967" t="s">
        <v>157</v>
      </c>
      <c r="K967" t="s">
        <v>24</v>
      </c>
      <c r="L967" t="s">
        <v>25</v>
      </c>
      <c r="M967" t="s">
        <v>39</v>
      </c>
      <c r="N967">
        <v>1</v>
      </c>
      <c r="O967" t="s">
        <v>158</v>
      </c>
      <c r="P967" t="s">
        <v>159</v>
      </c>
      <c r="Q967" t="s">
        <v>28</v>
      </c>
      <c r="R967" t="s">
        <v>28</v>
      </c>
      <c r="S967" t="s">
        <v>28</v>
      </c>
      <c r="T967" t="s">
        <v>28</v>
      </c>
      <c r="U967" t="s">
        <v>28</v>
      </c>
      <c r="V967" t="s">
        <v>28</v>
      </c>
      <c r="W967">
        <v>3</v>
      </c>
      <c r="X967" t="s">
        <v>155</v>
      </c>
    </row>
    <row r="968" spans="1:24" x14ac:dyDescent="0.2">
      <c r="A968" t="str">
        <f t="shared" si="45"/>
        <v>sample_novaseq-16S-E-A07-L3_SICap-P20-A7-P1D14-RP3-M9-C4R1-noBile-rep1-day14-repassage3</v>
      </c>
      <c r="B968" s="1" t="s">
        <v>564</v>
      </c>
      <c r="C968" s="3" t="s">
        <v>1140</v>
      </c>
      <c r="D968" s="3" t="s">
        <v>1328</v>
      </c>
      <c r="E968" t="s">
        <v>20</v>
      </c>
      <c r="F968" t="s">
        <v>156</v>
      </c>
      <c r="G968" t="s">
        <v>40</v>
      </c>
      <c r="H968" t="str">
        <f t="shared" si="46"/>
        <v>07</v>
      </c>
      <c r="I968" t="str">
        <f t="shared" si="47"/>
        <v>A</v>
      </c>
      <c r="J968" t="s">
        <v>157</v>
      </c>
      <c r="K968" t="s">
        <v>24</v>
      </c>
      <c r="L968" t="s">
        <v>25</v>
      </c>
      <c r="M968" t="s">
        <v>41</v>
      </c>
      <c r="N968">
        <v>1</v>
      </c>
      <c r="O968" t="s">
        <v>158</v>
      </c>
      <c r="P968" t="s">
        <v>159</v>
      </c>
      <c r="Q968" t="s">
        <v>28</v>
      </c>
      <c r="R968" t="s">
        <v>28</v>
      </c>
      <c r="S968" t="s">
        <v>28</v>
      </c>
      <c r="T968" t="s">
        <v>28</v>
      </c>
      <c r="U968" t="s">
        <v>28</v>
      </c>
      <c r="V968" t="s">
        <v>28</v>
      </c>
      <c r="W968">
        <v>3</v>
      </c>
      <c r="X968" t="s">
        <v>155</v>
      </c>
    </row>
    <row r="969" spans="1:24" x14ac:dyDescent="0.2">
      <c r="A969" t="str">
        <f t="shared" si="45"/>
        <v>sample_novaseq-16S-E-A08-L3_SICap-P20-A8-P1D14-RP3-M9-C4R2-noBile-rep1-day14-repassage3</v>
      </c>
      <c r="B969" s="1" t="s">
        <v>565</v>
      </c>
      <c r="C969" s="3" t="s">
        <v>1141</v>
      </c>
      <c r="D969" s="3" t="s">
        <v>1328</v>
      </c>
      <c r="E969" t="s">
        <v>20</v>
      </c>
      <c r="F969" t="s">
        <v>156</v>
      </c>
      <c r="G969" t="s">
        <v>42</v>
      </c>
      <c r="H969" t="str">
        <f t="shared" si="46"/>
        <v>08</v>
      </c>
      <c r="I969" t="str">
        <f t="shared" si="47"/>
        <v>A</v>
      </c>
      <c r="J969" t="s">
        <v>157</v>
      </c>
      <c r="K969" t="s">
        <v>24</v>
      </c>
      <c r="L969" t="s">
        <v>25</v>
      </c>
      <c r="M969" t="s">
        <v>43</v>
      </c>
      <c r="N969">
        <v>1</v>
      </c>
      <c r="O969" t="s">
        <v>158</v>
      </c>
      <c r="P969" t="s">
        <v>159</v>
      </c>
      <c r="Q969" t="s">
        <v>28</v>
      </c>
      <c r="R969" t="s">
        <v>28</v>
      </c>
      <c r="S969" t="s">
        <v>28</v>
      </c>
      <c r="T969" t="s">
        <v>28</v>
      </c>
      <c r="U969" t="s">
        <v>28</v>
      </c>
      <c r="V969" t="s">
        <v>28</v>
      </c>
      <c r="W969">
        <v>3</v>
      </c>
      <c r="X969" t="s">
        <v>155</v>
      </c>
    </row>
    <row r="970" spans="1:24" x14ac:dyDescent="0.2">
      <c r="A970" t="str">
        <f t="shared" si="45"/>
        <v>sample_novaseq-16S-E-A09-L3_SICap-P20-A9-P1D14-RP3-M9-S1R2-noBile-rep1-day14-repassage3</v>
      </c>
      <c r="B970" s="1" t="s">
        <v>566</v>
      </c>
      <c r="C970" s="3" t="s">
        <v>1142</v>
      </c>
      <c r="D970" s="3" t="s">
        <v>1328</v>
      </c>
      <c r="E970" t="s">
        <v>20</v>
      </c>
      <c r="F970" t="s">
        <v>156</v>
      </c>
      <c r="G970" t="s">
        <v>44</v>
      </c>
      <c r="H970" t="str">
        <f t="shared" si="46"/>
        <v>09</v>
      </c>
      <c r="I970" t="str">
        <f t="shared" si="47"/>
        <v>A</v>
      </c>
      <c r="J970" t="s">
        <v>157</v>
      </c>
      <c r="K970" t="s">
        <v>24</v>
      </c>
      <c r="L970" t="s">
        <v>25</v>
      </c>
      <c r="M970" t="s">
        <v>45</v>
      </c>
      <c r="N970">
        <v>1</v>
      </c>
      <c r="O970" t="s">
        <v>158</v>
      </c>
      <c r="P970" t="s">
        <v>159</v>
      </c>
      <c r="Q970" t="s">
        <v>28</v>
      </c>
      <c r="R970" t="s">
        <v>28</v>
      </c>
      <c r="S970" t="s">
        <v>28</v>
      </c>
      <c r="T970" t="s">
        <v>28</v>
      </c>
      <c r="U970" t="s">
        <v>28</v>
      </c>
      <c r="V970" t="s">
        <v>28</v>
      </c>
      <c r="W970">
        <v>3</v>
      </c>
      <c r="X970" t="s">
        <v>155</v>
      </c>
    </row>
    <row r="971" spans="1:24" x14ac:dyDescent="0.2">
      <c r="A971" t="str">
        <f t="shared" si="45"/>
        <v>sample_novaseq-16S-E-A10-L3_SICap-P20-A10-P1D14-RP3-M9-StoolPool-noBile-rep1-day14-repassage3</v>
      </c>
      <c r="B971" s="1" t="s">
        <v>567</v>
      </c>
      <c r="C971" s="3" t="s">
        <v>1143</v>
      </c>
      <c r="D971" s="3" t="s">
        <v>1328</v>
      </c>
      <c r="E971" t="s">
        <v>20</v>
      </c>
      <c r="F971" t="s">
        <v>156</v>
      </c>
      <c r="G971" t="s">
        <v>46</v>
      </c>
      <c r="H971" t="str">
        <f t="shared" si="46"/>
        <v>10</v>
      </c>
      <c r="I971" t="str">
        <f t="shared" si="47"/>
        <v>A</v>
      </c>
      <c r="J971" t="s">
        <v>157</v>
      </c>
      <c r="K971" t="s">
        <v>24</v>
      </c>
      <c r="L971" t="s">
        <v>25</v>
      </c>
      <c r="M971" t="s">
        <v>47</v>
      </c>
      <c r="N971">
        <v>1</v>
      </c>
      <c r="O971" t="s">
        <v>158</v>
      </c>
      <c r="P971" t="s">
        <v>159</v>
      </c>
      <c r="Q971" t="s">
        <v>28</v>
      </c>
      <c r="R971" t="s">
        <v>28</v>
      </c>
      <c r="S971" t="s">
        <v>28</v>
      </c>
      <c r="T971" t="s">
        <v>28</v>
      </c>
      <c r="U971" t="s">
        <v>28</v>
      </c>
      <c r="V971" t="s">
        <v>28</v>
      </c>
      <c r="W971">
        <v>3</v>
      </c>
      <c r="X971" t="s">
        <v>155</v>
      </c>
    </row>
    <row r="972" spans="1:24" x14ac:dyDescent="0.2">
      <c r="A972" t="str">
        <f t="shared" si="45"/>
        <v>sample_novaseq-16S-E-A11-L3_SICap-P20-A11-P1D14-RP3-M9-SIPool-noBile-rep1-day14-repassage3</v>
      </c>
      <c r="B972" s="1" t="s">
        <v>568</v>
      </c>
      <c r="C972" s="3" t="s">
        <v>1144</v>
      </c>
      <c r="D972" s="3" t="s">
        <v>1328</v>
      </c>
      <c r="E972" t="s">
        <v>20</v>
      </c>
      <c r="F972" t="s">
        <v>156</v>
      </c>
      <c r="G972" t="s">
        <v>48</v>
      </c>
      <c r="H972" t="str">
        <f t="shared" si="46"/>
        <v>11</v>
      </c>
      <c r="I972" t="str">
        <f t="shared" si="47"/>
        <v>A</v>
      </c>
      <c r="J972" t="s">
        <v>157</v>
      </c>
      <c r="K972" t="s">
        <v>24</v>
      </c>
      <c r="L972" t="s">
        <v>25</v>
      </c>
      <c r="M972" t="s">
        <v>49</v>
      </c>
      <c r="N972">
        <v>1</v>
      </c>
      <c r="O972" t="s">
        <v>158</v>
      </c>
      <c r="P972" t="s">
        <v>159</v>
      </c>
      <c r="Q972" t="s">
        <v>28</v>
      </c>
      <c r="R972" t="s">
        <v>28</v>
      </c>
      <c r="S972" t="s">
        <v>28</v>
      </c>
      <c r="T972" t="s">
        <v>28</v>
      </c>
      <c r="U972" t="s">
        <v>28</v>
      </c>
      <c r="V972" t="s">
        <v>28</v>
      </c>
      <c r="W972">
        <v>3</v>
      </c>
      <c r="X972" t="s">
        <v>155</v>
      </c>
    </row>
    <row r="973" spans="1:24" x14ac:dyDescent="0.2">
      <c r="A973" t="str">
        <f t="shared" si="45"/>
        <v>sample_novaseq-16S-E-A12-L3_SICap-P20-A12-P1D14-RP3-M9-Media-noBile-rep1-day14-repassage3</v>
      </c>
      <c r="B973" s="1" t="s">
        <v>569</v>
      </c>
      <c r="C973" s="3" t="s">
        <v>1145</v>
      </c>
      <c r="D973" s="3" t="s">
        <v>1328</v>
      </c>
      <c r="E973" t="s">
        <v>20</v>
      </c>
      <c r="F973" t="s">
        <v>156</v>
      </c>
      <c r="G973" t="s">
        <v>50</v>
      </c>
      <c r="H973" t="str">
        <f t="shared" si="46"/>
        <v>12</v>
      </c>
      <c r="I973" t="str">
        <f t="shared" si="47"/>
        <v>A</v>
      </c>
      <c r="J973" t="s">
        <v>157</v>
      </c>
      <c r="K973" t="s">
        <v>24</v>
      </c>
      <c r="L973" t="s">
        <v>25</v>
      </c>
      <c r="M973" t="s">
        <v>6</v>
      </c>
      <c r="N973">
        <v>1</v>
      </c>
      <c r="O973" t="s">
        <v>158</v>
      </c>
      <c r="P973" t="s">
        <v>159</v>
      </c>
      <c r="Q973" t="s">
        <v>28</v>
      </c>
      <c r="R973" t="s">
        <v>28</v>
      </c>
      <c r="S973" t="s">
        <v>28</v>
      </c>
      <c r="T973" t="s">
        <v>28</v>
      </c>
      <c r="U973" t="s">
        <v>28</v>
      </c>
      <c r="V973" t="s">
        <v>28</v>
      </c>
      <c r="W973">
        <v>3</v>
      </c>
      <c r="X973" t="s">
        <v>155</v>
      </c>
    </row>
    <row r="974" spans="1:24" x14ac:dyDescent="0.2">
      <c r="A974" t="str">
        <f t="shared" si="45"/>
        <v>sample_novaseq-16S-E-B01-L3_SICap-P20-B1-P1D14-RP3-EZ-RDM-C1R1-noBile-rep1-day14-repassage3</v>
      </c>
      <c r="B974" s="1" t="s">
        <v>570</v>
      </c>
      <c r="C974" s="3" t="s">
        <v>1146</v>
      </c>
      <c r="D974" s="3" t="s">
        <v>1328</v>
      </c>
      <c r="E974" t="s">
        <v>20</v>
      </c>
      <c r="F974" t="s">
        <v>156</v>
      </c>
      <c r="G974" t="s">
        <v>51</v>
      </c>
      <c r="H974" t="str">
        <f t="shared" si="46"/>
        <v>01</v>
      </c>
      <c r="I974" t="str">
        <f t="shared" si="47"/>
        <v>B</v>
      </c>
      <c r="J974" t="s">
        <v>157</v>
      </c>
      <c r="K974" t="s">
        <v>52</v>
      </c>
      <c r="L974" t="s">
        <v>25</v>
      </c>
      <c r="M974" t="s">
        <v>26</v>
      </c>
      <c r="N974">
        <v>1</v>
      </c>
      <c r="O974" t="s">
        <v>158</v>
      </c>
      <c r="P974" t="s">
        <v>159</v>
      </c>
      <c r="Q974" t="s">
        <v>28</v>
      </c>
      <c r="R974" t="s">
        <v>28</v>
      </c>
      <c r="S974" t="s">
        <v>28</v>
      </c>
      <c r="T974" t="s">
        <v>28</v>
      </c>
      <c r="U974" t="s">
        <v>28</v>
      </c>
      <c r="V974" t="s">
        <v>28</v>
      </c>
      <c r="W974">
        <v>3</v>
      </c>
      <c r="X974" t="s">
        <v>155</v>
      </c>
    </row>
    <row r="975" spans="1:24" x14ac:dyDescent="0.2">
      <c r="A975" t="str">
        <f t="shared" si="45"/>
        <v>sample_novaseq-16S-E-B02-L3_SICap-P20-B2-P1D14-RP3-EZ-RDM-C1R2-noBile-rep1-day14-repassage3</v>
      </c>
      <c r="B975" s="1" t="s">
        <v>571</v>
      </c>
      <c r="C975" s="3" t="s">
        <v>1147</v>
      </c>
      <c r="D975" s="3" t="s">
        <v>1328</v>
      </c>
      <c r="E975" t="s">
        <v>20</v>
      </c>
      <c r="F975" t="s">
        <v>156</v>
      </c>
      <c r="G975" t="s">
        <v>53</v>
      </c>
      <c r="H975" t="str">
        <f t="shared" si="46"/>
        <v>02</v>
      </c>
      <c r="I975" t="str">
        <f t="shared" si="47"/>
        <v>B</v>
      </c>
      <c r="J975" t="s">
        <v>157</v>
      </c>
      <c r="K975" t="s">
        <v>52</v>
      </c>
      <c r="L975" t="s">
        <v>25</v>
      </c>
      <c r="M975" t="s">
        <v>31</v>
      </c>
      <c r="N975">
        <v>1</v>
      </c>
      <c r="O975" t="s">
        <v>158</v>
      </c>
      <c r="P975" t="s">
        <v>159</v>
      </c>
      <c r="Q975" t="s">
        <v>28</v>
      </c>
      <c r="R975" t="s">
        <v>28</v>
      </c>
      <c r="S975" t="s">
        <v>28</v>
      </c>
      <c r="T975" t="s">
        <v>28</v>
      </c>
      <c r="U975" t="s">
        <v>28</v>
      </c>
      <c r="V975" t="s">
        <v>28</v>
      </c>
      <c r="W975">
        <v>3</v>
      </c>
      <c r="X975" t="s">
        <v>155</v>
      </c>
    </row>
    <row r="976" spans="1:24" x14ac:dyDescent="0.2">
      <c r="A976" t="str">
        <f t="shared" si="45"/>
        <v>sample_novaseq-16S-E-B03-L3_SICap-P20-B3-P1D14-RP3-EZ-RDM-C2R1-noBile-rep1-day14-repassage3</v>
      </c>
      <c r="B976" s="1" t="s">
        <v>572</v>
      </c>
      <c r="C976" s="3" t="s">
        <v>1148</v>
      </c>
      <c r="D976" s="3" t="s">
        <v>1328</v>
      </c>
      <c r="E976" t="s">
        <v>20</v>
      </c>
      <c r="F976" t="s">
        <v>156</v>
      </c>
      <c r="G976" t="s">
        <v>54</v>
      </c>
      <c r="H976" t="str">
        <f t="shared" si="46"/>
        <v>03</v>
      </c>
      <c r="I976" t="str">
        <f t="shared" si="47"/>
        <v>B</v>
      </c>
      <c r="J976" t="s">
        <v>157</v>
      </c>
      <c r="K976" t="s">
        <v>52</v>
      </c>
      <c r="L976" t="s">
        <v>25</v>
      </c>
      <c r="M976" t="s">
        <v>33</v>
      </c>
      <c r="N976">
        <v>1</v>
      </c>
      <c r="O976" t="s">
        <v>158</v>
      </c>
      <c r="P976" t="s">
        <v>159</v>
      </c>
      <c r="Q976" t="s">
        <v>28</v>
      </c>
      <c r="R976" t="s">
        <v>28</v>
      </c>
      <c r="S976" t="s">
        <v>28</v>
      </c>
      <c r="T976" t="s">
        <v>28</v>
      </c>
      <c r="U976" t="s">
        <v>28</v>
      </c>
      <c r="V976" t="s">
        <v>28</v>
      </c>
      <c r="W976">
        <v>3</v>
      </c>
      <c r="X976" t="s">
        <v>155</v>
      </c>
    </row>
    <row r="977" spans="1:24" x14ac:dyDescent="0.2">
      <c r="A977" t="str">
        <f t="shared" si="45"/>
        <v>sample_novaseq-16S-E-B04-L3_SICap-P20-B4-P1D14-RP3-EZ-RDM-C2R2-noBile-rep1-day14-repassage3</v>
      </c>
      <c r="B977" s="1" t="s">
        <v>573</v>
      </c>
      <c r="C977" s="3" t="s">
        <v>1149</v>
      </c>
      <c r="D977" s="3" t="s">
        <v>1328</v>
      </c>
      <c r="E977" t="s">
        <v>20</v>
      </c>
      <c r="F977" t="s">
        <v>156</v>
      </c>
      <c r="G977" t="s">
        <v>55</v>
      </c>
      <c r="H977" t="str">
        <f t="shared" si="46"/>
        <v>04</v>
      </c>
      <c r="I977" t="str">
        <f t="shared" si="47"/>
        <v>B</v>
      </c>
      <c r="J977" t="s">
        <v>157</v>
      </c>
      <c r="K977" t="s">
        <v>52</v>
      </c>
      <c r="L977" t="s">
        <v>25</v>
      </c>
      <c r="M977" t="s">
        <v>35</v>
      </c>
      <c r="N977">
        <v>1</v>
      </c>
      <c r="O977" t="s">
        <v>158</v>
      </c>
      <c r="P977" t="s">
        <v>159</v>
      </c>
      <c r="Q977" t="s">
        <v>28</v>
      </c>
      <c r="R977" t="s">
        <v>28</v>
      </c>
      <c r="S977" t="s">
        <v>28</v>
      </c>
      <c r="T977" t="s">
        <v>28</v>
      </c>
      <c r="U977" t="s">
        <v>28</v>
      </c>
      <c r="V977" t="s">
        <v>28</v>
      </c>
      <c r="W977">
        <v>3</v>
      </c>
      <c r="X977" t="s">
        <v>155</v>
      </c>
    </row>
    <row r="978" spans="1:24" x14ac:dyDescent="0.2">
      <c r="A978" t="str">
        <f t="shared" si="45"/>
        <v>sample_novaseq-16S-E-B05-L3_SICap-P20-B5-P1D14-RP3-EZ-RDM-C3R1-noBile-rep1-day14-repassage3</v>
      </c>
      <c r="B978" s="1" t="s">
        <v>574</v>
      </c>
      <c r="C978" s="3" t="s">
        <v>1150</v>
      </c>
      <c r="D978" s="3" t="s">
        <v>1328</v>
      </c>
      <c r="E978" t="s">
        <v>20</v>
      </c>
      <c r="F978" t="s">
        <v>156</v>
      </c>
      <c r="G978" t="s">
        <v>56</v>
      </c>
      <c r="H978" t="str">
        <f t="shared" si="46"/>
        <v>05</v>
      </c>
      <c r="I978" t="str">
        <f t="shared" si="47"/>
        <v>B</v>
      </c>
      <c r="J978" t="s">
        <v>157</v>
      </c>
      <c r="K978" t="s">
        <v>52</v>
      </c>
      <c r="L978" t="s">
        <v>25</v>
      </c>
      <c r="M978" t="s">
        <v>37</v>
      </c>
      <c r="N978">
        <v>1</v>
      </c>
      <c r="O978" t="s">
        <v>158</v>
      </c>
      <c r="P978" t="s">
        <v>159</v>
      </c>
      <c r="Q978" t="s">
        <v>28</v>
      </c>
      <c r="R978" t="s">
        <v>28</v>
      </c>
      <c r="S978" t="s">
        <v>28</v>
      </c>
      <c r="T978" t="s">
        <v>28</v>
      </c>
      <c r="U978" t="s">
        <v>28</v>
      </c>
      <c r="V978" t="s">
        <v>28</v>
      </c>
      <c r="W978">
        <v>3</v>
      </c>
      <c r="X978" t="s">
        <v>155</v>
      </c>
    </row>
    <row r="979" spans="1:24" x14ac:dyDescent="0.2">
      <c r="A979" t="str">
        <f t="shared" si="45"/>
        <v>sample_novaseq-16S-E-B06-L3_SICap-P20-B6-P1D14-RP3-EZ-RDM-C3R2-noBile-rep1-day14-repassage3</v>
      </c>
      <c r="B979" s="1" t="s">
        <v>575</v>
      </c>
      <c r="C979" s="3" t="s">
        <v>1151</v>
      </c>
      <c r="D979" s="3" t="s">
        <v>1328</v>
      </c>
      <c r="E979" t="s">
        <v>20</v>
      </c>
      <c r="F979" t="s">
        <v>156</v>
      </c>
      <c r="G979" t="s">
        <v>57</v>
      </c>
      <c r="H979" t="str">
        <f t="shared" si="46"/>
        <v>06</v>
      </c>
      <c r="I979" t="str">
        <f t="shared" si="47"/>
        <v>B</v>
      </c>
      <c r="J979" t="s">
        <v>157</v>
      </c>
      <c r="K979" t="s">
        <v>52</v>
      </c>
      <c r="L979" t="s">
        <v>25</v>
      </c>
      <c r="M979" t="s">
        <v>39</v>
      </c>
      <c r="N979">
        <v>1</v>
      </c>
      <c r="O979" t="s">
        <v>158</v>
      </c>
      <c r="P979" t="s">
        <v>159</v>
      </c>
      <c r="Q979" t="s">
        <v>28</v>
      </c>
      <c r="R979" t="s">
        <v>28</v>
      </c>
      <c r="S979" t="s">
        <v>28</v>
      </c>
      <c r="T979" t="s">
        <v>28</v>
      </c>
      <c r="U979" t="s">
        <v>28</v>
      </c>
      <c r="V979" t="s">
        <v>28</v>
      </c>
      <c r="W979">
        <v>3</v>
      </c>
      <c r="X979" t="s">
        <v>155</v>
      </c>
    </row>
    <row r="980" spans="1:24" x14ac:dyDescent="0.2">
      <c r="A980" t="str">
        <f t="shared" si="45"/>
        <v>sample_novaseq-16S-E-B07-L3_SICap-P20-B7-P1D14-RP3-EZ-RDM-C4R1-noBile-rep1-day14-repassage3</v>
      </c>
      <c r="B980" s="1" t="s">
        <v>576</v>
      </c>
      <c r="C980" s="3" t="s">
        <v>1152</v>
      </c>
      <c r="D980" s="3" t="s">
        <v>1328</v>
      </c>
      <c r="E980" t="s">
        <v>20</v>
      </c>
      <c r="F980" t="s">
        <v>156</v>
      </c>
      <c r="G980" t="s">
        <v>58</v>
      </c>
      <c r="H980" t="str">
        <f t="shared" si="46"/>
        <v>07</v>
      </c>
      <c r="I980" t="str">
        <f t="shared" si="47"/>
        <v>B</v>
      </c>
      <c r="J980" t="s">
        <v>157</v>
      </c>
      <c r="K980" t="s">
        <v>52</v>
      </c>
      <c r="L980" t="s">
        <v>25</v>
      </c>
      <c r="M980" t="s">
        <v>41</v>
      </c>
      <c r="N980">
        <v>1</v>
      </c>
      <c r="O980" t="s">
        <v>158</v>
      </c>
      <c r="P980" t="s">
        <v>159</v>
      </c>
      <c r="Q980" t="s">
        <v>28</v>
      </c>
      <c r="R980" t="s">
        <v>28</v>
      </c>
      <c r="S980" t="s">
        <v>28</v>
      </c>
      <c r="T980" t="s">
        <v>28</v>
      </c>
      <c r="U980" t="s">
        <v>28</v>
      </c>
      <c r="V980" t="s">
        <v>28</v>
      </c>
      <c r="W980">
        <v>3</v>
      </c>
      <c r="X980" t="s">
        <v>155</v>
      </c>
    </row>
    <row r="981" spans="1:24" x14ac:dyDescent="0.2">
      <c r="A981" t="str">
        <f t="shared" si="45"/>
        <v>sample_novaseq-16S-E-B08-L3_SICap-P20-B8-P1D14-RP3-EZ-RDM-C4R2-noBile-rep1-day14-repassage3</v>
      </c>
      <c r="B981" s="1" t="s">
        <v>577</v>
      </c>
      <c r="C981" s="3" t="s">
        <v>1153</v>
      </c>
      <c r="D981" s="3" t="s">
        <v>1328</v>
      </c>
      <c r="E981" t="s">
        <v>20</v>
      </c>
      <c r="F981" t="s">
        <v>156</v>
      </c>
      <c r="G981" t="s">
        <v>59</v>
      </c>
      <c r="H981" t="str">
        <f t="shared" si="46"/>
        <v>08</v>
      </c>
      <c r="I981" t="str">
        <f t="shared" si="47"/>
        <v>B</v>
      </c>
      <c r="J981" t="s">
        <v>157</v>
      </c>
      <c r="K981" t="s">
        <v>52</v>
      </c>
      <c r="L981" t="s">
        <v>25</v>
      </c>
      <c r="M981" t="s">
        <v>43</v>
      </c>
      <c r="N981">
        <v>1</v>
      </c>
      <c r="O981" t="s">
        <v>158</v>
      </c>
      <c r="P981" t="s">
        <v>159</v>
      </c>
      <c r="Q981" t="s">
        <v>28</v>
      </c>
      <c r="R981" t="s">
        <v>28</v>
      </c>
      <c r="S981" t="s">
        <v>28</v>
      </c>
      <c r="T981" t="s">
        <v>28</v>
      </c>
      <c r="U981" t="s">
        <v>28</v>
      </c>
      <c r="V981" t="s">
        <v>28</v>
      </c>
      <c r="W981">
        <v>3</v>
      </c>
      <c r="X981" t="s">
        <v>155</v>
      </c>
    </row>
    <row r="982" spans="1:24" x14ac:dyDescent="0.2">
      <c r="A982" t="str">
        <f t="shared" si="45"/>
        <v>sample_novaseq-16S-E-B09-L3_SICap-P20-B9-P1D14-RP3-EZ-RDM-S1R2-noBile-rep1-day14-repassage3</v>
      </c>
      <c r="B982" s="1" t="s">
        <v>578</v>
      </c>
      <c r="C982" s="3" t="s">
        <v>1154</v>
      </c>
      <c r="D982" s="3" t="s">
        <v>1328</v>
      </c>
      <c r="E982" t="s">
        <v>20</v>
      </c>
      <c r="F982" t="s">
        <v>156</v>
      </c>
      <c r="G982" t="s">
        <v>60</v>
      </c>
      <c r="H982" t="str">
        <f t="shared" si="46"/>
        <v>09</v>
      </c>
      <c r="I982" t="str">
        <f t="shared" si="47"/>
        <v>B</v>
      </c>
      <c r="J982" t="s">
        <v>157</v>
      </c>
      <c r="K982" t="s">
        <v>52</v>
      </c>
      <c r="L982" t="s">
        <v>25</v>
      </c>
      <c r="M982" t="s">
        <v>45</v>
      </c>
      <c r="N982">
        <v>1</v>
      </c>
      <c r="O982" t="s">
        <v>158</v>
      </c>
      <c r="P982" t="s">
        <v>159</v>
      </c>
      <c r="Q982" t="s">
        <v>28</v>
      </c>
      <c r="R982" t="s">
        <v>28</v>
      </c>
      <c r="S982" t="s">
        <v>28</v>
      </c>
      <c r="T982" t="s">
        <v>28</v>
      </c>
      <c r="U982" t="s">
        <v>28</v>
      </c>
      <c r="V982" t="s">
        <v>28</v>
      </c>
      <c r="W982">
        <v>3</v>
      </c>
      <c r="X982" t="s">
        <v>155</v>
      </c>
    </row>
    <row r="983" spans="1:24" x14ac:dyDescent="0.2">
      <c r="A983" t="str">
        <f t="shared" si="45"/>
        <v>sample_novaseq-16S-E-B10-L3_SICap-P20-B10-P1D14-RP3-EZ-RDM-StoolPool-noBile-rep1-day14-repassage3</v>
      </c>
      <c r="B983" s="1" t="s">
        <v>579</v>
      </c>
      <c r="C983" s="3" t="s">
        <v>1155</v>
      </c>
      <c r="D983" s="3" t="s">
        <v>1328</v>
      </c>
      <c r="E983" t="s">
        <v>20</v>
      </c>
      <c r="F983" t="s">
        <v>156</v>
      </c>
      <c r="G983" t="s">
        <v>61</v>
      </c>
      <c r="H983" t="str">
        <f t="shared" si="46"/>
        <v>10</v>
      </c>
      <c r="I983" t="str">
        <f t="shared" si="47"/>
        <v>B</v>
      </c>
      <c r="J983" t="s">
        <v>157</v>
      </c>
      <c r="K983" t="s">
        <v>52</v>
      </c>
      <c r="L983" t="s">
        <v>25</v>
      </c>
      <c r="M983" t="s">
        <v>47</v>
      </c>
      <c r="N983">
        <v>1</v>
      </c>
      <c r="O983" t="s">
        <v>158</v>
      </c>
      <c r="P983" t="s">
        <v>159</v>
      </c>
      <c r="Q983" t="s">
        <v>28</v>
      </c>
      <c r="R983" t="s">
        <v>28</v>
      </c>
      <c r="S983" t="s">
        <v>28</v>
      </c>
      <c r="T983" t="s">
        <v>28</v>
      </c>
      <c r="U983" t="s">
        <v>28</v>
      </c>
      <c r="V983" t="s">
        <v>28</v>
      </c>
      <c r="W983">
        <v>3</v>
      </c>
      <c r="X983" t="s">
        <v>155</v>
      </c>
    </row>
    <row r="984" spans="1:24" x14ac:dyDescent="0.2">
      <c r="A984" t="str">
        <f t="shared" si="45"/>
        <v>sample_novaseq-16S-E-B11-L3_SICap-P20-B11-P1D14-RP3-EZ-RDM-SIPool-noBile-rep1-day14-repassage3</v>
      </c>
      <c r="B984" s="1" t="s">
        <v>580</v>
      </c>
      <c r="C984" s="3" t="s">
        <v>1156</v>
      </c>
      <c r="D984" s="3" t="s">
        <v>1328</v>
      </c>
      <c r="E984" t="s">
        <v>20</v>
      </c>
      <c r="F984" t="s">
        <v>156</v>
      </c>
      <c r="G984" t="s">
        <v>62</v>
      </c>
      <c r="H984" t="str">
        <f t="shared" si="46"/>
        <v>11</v>
      </c>
      <c r="I984" t="str">
        <f t="shared" si="47"/>
        <v>B</v>
      </c>
      <c r="J984" t="s">
        <v>157</v>
      </c>
      <c r="K984" t="s">
        <v>52</v>
      </c>
      <c r="L984" t="s">
        <v>25</v>
      </c>
      <c r="M984" t="s">
        <v>49</v>
      </c>
      <c r="N984">
        <v>1</v>
      </c>
      <c r="O984" t="s">
        <v>158</v>
      </c>
      <c r="P984" t="s">
        <v>159</v>
      </c>
      <c r="Q984" t="s">
        <v>28</v>
      </c>
      <c r="R984" t="s">
        <v>28</v>
      </c>
      <c r="S984" t="s">
        <v>28</v>
      </c>
      <c r="T984" t="s">
        <v>28</v>
      </c>
      <c r="U984" t="s">
        <v>28</v>
      </c>
      <c r="V984" t="s">
        <v>28</v>
      </c>
      <c r="W984">
        <v>3</v>
      </c>
      <c r="X984" t="s">
        <v>155</v>
      </c>
    </row>
    <row r="985" spans="1:24" x14ac:dyDescent="0.2">
      <c r="A985" t="str">
        <f t="shared" si="45"/>
        <v>sample_novaseq-16S-E-B12-L3_SICap-P20-B12-P1D14-RP3-EZ-RDM-Media-noBile-rep1-day14-repassage3</v>
      </c>
      <c r="B985" s="1" t="s">
        <v>581</v>
      </c>
      <c r="C985" s="3" t="s">
        <v>1157</v>
      </c>
      <c r="D985" s="3" t="s">
        <v>1328</v>
      </c>
      <c r="E985" t="s">
        <v>20</v>
      </c>
      <c r="F985" t="s">
        <v>156</v>
      </c>
      <c r="G985" t="s">
        <v>63</v>
      </c>
      <c r="H985" t="str">
        <f t="shared" si="46"/>
        <v>12</v>
      </c>
      <c r="I985" t="str">
        <f t="shared" si="47"/>
        <v>B</v>
      </c>
      <c r="J985" t="s">
        <v>157</v>
      </c>
      <c r="K985" t="s">
        <v>52</v>
      </c>
      <c r="L985" t="s">
        <v>25</v>
      </c>
      <c r="M985" t="s">
        <v>6</v>
      </c>
      <c r="N985">
        <v>1</v>
      </c>
      <c r="O985" t="s">
        <v>158</v>
      </c>
      <c r="P985" t="s">
        <v>159</v>
      </c>
      <c r="Q985" t="s">
        <v>28</v>
      </c>
      <c r="R985" t="s">
        <v>28</v>
      </c>
      <c r="S985" t="s">
        <v>28</v>
      </c>
      <c r="T985" t="s">
        <v>28</v>
      </c>
      <c r="U985" t="s">
        <v>28</v>
      </c>
      <c r="V985" t="s">
        <v>28</v>
      </c>
      <c r="W985">
        <v>3</v>
      </c>
      <c r="X985" t="s">
        <v>155</v>
      </c>
    </row>
    <row r="986" spans="1:24" x14ac:dyDescent="0.2">
      <c r="A986" t="str">
        <f t="shared" si="45"/>
        <v>sample_novaseq-16S-E-C01-L3_SICap-P20-C1-P1D14-RP3-BHI-C1R1-noBile-rep1-day14-repassage3</v>
      </c>
      <c r="B986" s="1" t="s">
        <v>582</v>
      </c>
      <c r="C986" s="3" t="s">
        <v>1158</v>
      </c>
      <c r="D986" s="3" t="s">
        <v>1328</v>
      </c>
      <c r="E986" t="s">
        <v>20</v>
      </c>
      <c r="F986" t="s">
        <v>156</v>
      </c>
      <c r="G986" t="s">
        <v>64</v>
      </c>
      <c r="H986" t="str">
        <f t="shared" si="46"/>
        <v>01</v>
      </c>
      <c r="I986" t="str">
        <f t="shared" si="47"/>
        <v>C</v>
      </c>
      <c r="J986" t="s">
        <v>157</v>
      </c>
      <c r="K986" t="s">
        <v>65</v>
      </c>
      <c r="L986" t="s">
        <v>25</v>
      </c>
      <c r="M986" t="s">
        <v>26</v>
      </c>
      <c r="N986">
        <v>1</v>
      </c>
      <c r="O986" t="s">
        <v>158</v>
      </c>
      <c r="P986" t="s">
        <v>159</v>
      </c>
      <c r="Q986" t="s">
        <v>28</v>
      </c>
      <c r="R986" t="s">
        <v>28</v>
      </c>
      <c r="S986" t="s">
        <v>28</v>
      </c>
      <c r="T986" t="s">
        <v>28</v>
      </c>
      <c r="U986" t="s">
        <v>28</v>
      </c>
      <c r="V986" t="s">
        <v>28</v>
      </c>
      <c r="W986">
        <v>3</v>
      </c>
      <c r="X986" t="s">
        <v>155</v>
      </c>
    </row>
    <row r="987" spans="1:24" x14ac:dyDescent="0.2">
      <c r="A987" t="str">
        <f t="shared" si="45"/>
        <v>sample_novaseq-16S-E-C02-L3_SICap-P20-C2-P1D14-RP3-BHI-C1R2-noBile-rep1-day14-repassage3</v>
      </c>
      <c r="B987" s="1" t="s">
        <v>583</v>
      </c>
      <c r="C987" s="3" t="s">
        <v>1159</v>
      </c>
      <c r="D987" s="3" t="s">
        <v>1328</v>
      </c>
      <c r="E987" t="s">
        <v>20</v>
      </c>
      <c r="F987" t="s">
        <v>156</v>
      </c>
      <c r="G987" t="s">
        <v>66</v>
      </c>
      <c r="H987" t="str">
        <f t="shared" si="46"/>
        <v>02</v>
      </c>
      <c r="I987" t="str">
        <f t="shared" si="47"/>
        <v>C</v>
      </c>
      <c r="J987" t="s">
        <v>157</v>
      </c>
      <c r="K987" t="s">
        <v>65</v>
      </c>
      <c r="L987" t="s">
        <v>25</v>
      </c>
      <c r="M987" t="s">
        <v>31</v>
      </c>
      <c r="N987">
        <v>1</v>
      </c>
      <c r="O987" t="s">
        <v>158</v>
      </c>
      <c r="P987" t="s">
        <v>159</v>
      </c>
      <c r="Q987" t="s">
        <v>28</v>
      </c>
      <c r="R987" t="s">
        <v>28</v>
      </c>
      <c r="S987" t="s">
        <v>28</v>
      </c>
      <c r="T987" t="s">
        <v>28</v>
      </c>
      <c r="U987" t="s">
        <v>28</v>
      </c>
      <c r="V987" t="s">
        <v>28</v>
      </c>
      <c r="W987">
        <v>3</v>
      </c>
      <c r="X987" t="s">
        <v>155</v>
      </c>
    </row>
    <row r="988" spans="1:24" x14ac:dyDescent="0.2">
      <c r="A988" t="str">
        <f t="shared" si="45"/>
        <v>sample_novaseq-16S-E-C03-L3_SICap-P20-C3-P1D14-RP3-BHI-C2R1-noBile-rep1-day14-repassage3</v>
      </c>
      <c r="B988" s="1" t="s">
        <v>584</v>
      </c>
      <c r="C988" s="3" t="s">
        <v>1160</v>
      </c>
      <c r="D988" s="3" t="s">
        <v>1328</v>
      </c>
      <c r="E988" t="s">
        <v>20</v>
      </c>
      <c r="F988" t="s">
        <v>156</v>
      </c>
      <c r="G988" t="s">
        <v>67</v>
      </c>
      <c r="H988" t="str">
        <f t="shared" si="46"/>
        <v>03</v>
      </c>
      <c r="I988" t="str">
        <f t="shared" si="47"/>
        <v>C</v>
      </c>
      <c r="J988" t="s">
        <v>157</v>
      </c>
      <c r="K988" t="s">
        <v>65</v>
      </c>
      <c r="L988" t="s">
        <v>25</v>
      </c>
      <c r="M988" t="s">
        <v>33</v>
      </c>
      <c r="N988">
        <v>1</v>
      </c>
      <c r="O988" t="s">
        <v>158</v>
      </c>
      <c r="P988" t="s">
        <v>159</v>
      </c>
      <c r="Q988" t="s">
        <v>28</v>
      </c>
      <c r="R988" t="s">
        <v>28</v>
      </c>
      <c r="S988" t="s">
        <v>28</v>
      </c>
      <c r="T988" t="s">
        <v>28</v>
      </c>
      <c r="U988" t="s">
        <v>28</v>
      </c>
      <c r="V988" t="s">
        <v>28</v>
      </c>
      <c r="W988">
        <v>3</v>
      </c>
      <c r="X988" t="s">
        <v>155</v>
      </c>
    </row>
    <row r="989" spans="1:24" x14ac:dyDescent="0.2">
      <c r="A989" t="str">
        <f t="shared" si="45"/>
        <v>sample_novaseq-16S-E-C04-L3_SICap-P20-C4-P1D14-RP3-BHI-C2R2-noBile-rep1-day14-repassage3</v>
      </c>
      <c r="B989" s="1" t="s">
        <v>585</v>
      </c>
      <c r="C989" s="3" t="s">
        <v>1161</v>
      </c>
      <c r="D989" s="3" t="s">
        <v>1328</v>
      </c>
      <c r="E989" t="s">
        <v>20</v>
      </c>
      <c r="F989" t="s">
        <v>156</v>
      </c>
      <c r="G989" t="s">
        <v>68</v>
      </c>
      <c r="H989" t="str">
        <f t="shared" si="46"/>
        <v>04</v>
      </c>
      <c r="I989" t="str">
        <f t="shared" si="47"/>
        <v>C</v>
      </c>
      <c r="J989" t="s">
        <v>157</v>
      </c>
      <c r="K989" t="s">
        <v>65</v>
      </c>
      <c r="L989" t="s">
        <v>25</v>
      </c>
      <c r="M989" t="s">
        <v>35</v>
      </c>
      <c r="N989">
        <v>1</v>
      </c>
      <c r="O989" t="s">
        <v>158</v>
      </c>
      <c r="P989" t="s">
        <v>159</v>
      </c>
      <c r="Q989" t="s">
        <v>28</v>
      </c>
      <c r="R989" t="s">
        <v>28</v>
      </c>
      <c r="S989" t="s">
        <v>28</v>
      </c>
      <c r="T989" t="s">
        <v>28</v>
      </c>
      <c r="U989" t="s">
        <v>28</v>
      </c>
      <c r="V989" t="s">
        <v>28</v>
      </c>
      <c r="W989">
        <v>3</v>
      </c>
      <c r="X989" t="s">
        <v>155</v>
      </c>
    </row>
    <row r="990" spans="1:24" x14ac:dyDescent="0.2">
      <c r="A990" t="str">
        <f t="shared" si="45"/>
        <v>sample_novaseq-16S-E-C05-L3_SICap-P20-C5-P1D14-RP3-BHI-C3R1-noBile-rep1-day14-repassage3</v>
      </c>
      <c r="B990" s="1" t="s">
        <v>586</v>
      </c>
      <c r="C990" s="3" t="s">
        <v>1162</v>
      </c>
      <c r="D990" s="3" t="s">
        <v>1328</v>
      </c>
      <c r="E990" t="s">
        <v>20</v>
      </c>
      <c r="F990" t="s">
        <v>156</v>
      </c>
      <c r="G990" t="s">
        <v>69</v>
      </c>
      <c r="H990" t="str">
        <f t="shared" si="46"/>
        <v>05</v>
      </c>
      <c r="I990" t="str">
        <f t="shared" si="47"/>
        <v>C</v>
      </c>
      <c r="J990" t="s">
        <v>157</v>
      </c>
      <c r="K990" t="s">
        <v>65</v>
      </c>
      <c r="L990" t="s">
        <v>25</v>
      </c>
      <c r="M990" t="s">
        <v>37</v>
      </c>
      <c r="N990">
        <v>1</v>
      </c>
      <c r="O990" t="s">
        <v>158</v>
      </c>
      <c r="P990" t="s">
        <v>159</v>
      </c>
      <c r="Q990" t="s">
        <v>28</v>
      </c>
      <c r="R990" t="s">
        <v>28</v>
      </c>
      <c r="S990" t="s">
        <v>28</v>
      </c>
      <c r="T990" t="s">
        <v>28</v>
      </c>
      <c r="U990" t="s">
        <v>28</v>
      </c>
      <c r="V990" t="s">
        <v>28</v>
      </c>
      <c r="W990">
        <v>3</v>
      </c>
      <c r="X990" t="s">
        <v>155</v>
      </c>
    </row>
    <row r="991" spans="1:24" x14ac:dyDescent="0.2">
      <c r="A991" t="str">
        <f t="shared" si="45"/>
        <v>sample_novaseq-16S-E-C06-L3_SICap-P20-C6-P1D14-RP3-BHI-C3R2-noBile-rep1-day14-repassage3</v>
      </c>
      <c r="B991" s="1" t="s">
        <v>587</v>
      </c>
      <c r="C991" s="3" t="s">
        <v>1163</v>
      </c>
      <c r="D991" s="3" t="s">
        <v>1328</v>
      </c>
      <c r="E991" t="s">
        <v>20</v>
      </c>
      <c r="F991" t="s">
        <v>156</v>
      </c>
      <c r="G991" t="s">
        <v>70</v>
      </c>
      <c r="H991" t="str">
        <f t="shared" si="46"/>
        <v>06</v>
      </c>
      <c r="I991" t="str">
        <f t="shared" si="47"/>
        <v>C</v>
      </c>
      <c r="J991" t="s">
        <v>157</v>
      </c>
      <c r="K991" t="s">
        <v>65</v>
      </c>
      <c r="L991" t="s">
        <v>25</v>
      </c>
      <c r="M991" t="s">
        <v>39</v>
      </c>
      <c r="N991">
        <v>1</v>
      </c>
      <c r="O991" t="s">
        <v>158</v>
      </c>
      <c r="P991" t="s">
        <v>159</v>
      </c>
      <c r="Q991" t="s">
        <v>28</v>
      </c>
      <c r="R991" t="s">
        <v>28</v>
      </c>
      <c r="S991" t="s">
        <v>28</v>
      </c>
      <c r="T991" t="s">
        <v>28</v>
      </c>
      <c r="U991" t="s">
        <v>28</v>
      </c>
      <c r="V991" t="s">
        <v>28</v>
      </c>
      <c r="W991">
        <v>3</v>
      </c>
      <c r="X991" t="s">
        <v>155</v>
      </c>
    </row>
    <row r="992" spans="1:24" x14ac:dyDescent="0.2">
      <c r="A992" t="str">
        <f t="shared" si="45"/>
        <v>sample_novaseq-16S-E-C07-L3_SICap-P20-C7-P1D14-RP3-BHI-C4R1-noBile-rep1-day14-repassage3</v>
      </c>
      <c r="B992" s="1" t="s">
        <v>588</v>
      </c>
      <c r="C992" s="3" t="s">
        <v>1164</v>
      </c>
      <c r="D992" s="3" t="s">
        <v>1328</v>
      </c>
      <c r="E992" t="s">
        <v>20</v>
      </c>
      <c r="F992" t="s">
        <v>156</v>
      </c>
      <c r="G992" t="s">
        <v>71</v>
      </c>
      <c r="H992" t="str">
        <f t="shared" si="46"/>
        <v>07</v>
      </c>
      <c r="I992" t="str">
        <f t="shared" si="47"/>
        <v>C</v>
      </c>
      <c r="J992" t="s">
        <v>157</v>
      </c>
      <c r="K992" t="s">
        <v>65</v>
      </c>
      <c r="L992" t="s">
        <v>25</v>
      </c>
      <c r="M992" t="s">
        <v>41</v>
      </c>
      <c r="N992">
        <v>1</v>
      </c>
      <c r="O992" t="s">
        <v>158</v>
      </c>
      <c r="P992" t="s">
        <v>159</v>
      </c>
      <c r="Q992" t="s">
        <v>28</v>
      </c>
      <c r="R992" t="s">
        <v>28</v>
      </c>
      <c r="S992" t="s">
        <v>28</v>
      </c>
      <c r="T992" t="s">
        <v>28</v>
      </c>
      <c r="U992" t="s">
        <v>28</v>
      </c>
      <c r="V992" t="s">
        <v>28</v>
      </c>
      <c r="W992">
        <v>3</v>
      </c>
      <c r="X992" t="s">
        <v>155</v>
      </c>
    </row>
    <row r="993" spans="1:24" x14ac:dyDescent="0.2">
      <c r="A993" t="str">
        <f t="shared" si="45"/>
        <v>sample_novaseq-16S-E-C08-L3_SICap-P20-C8-P1D14-RP3-BHI-C4R2-noBile-rep1-day14-repassage3</v>
      </c>
      <c r="B993" s="1" t="s">
        <v>589</v>
      </c>
      <c r="C993" s="3" t="s">
        <v>1165</v>
      </c>
      <c r="D993" s="3" t="s">
        <v>1328</v>
      </c>
      <c r="E993" t="s">
        <v>20</v>
      </c>
      <c r="F993" t="s">
        <v>156</v>
      </c>
      <c r="G993" t="s">
        <v>72</v>
      </c>
      <c r="H993" t="str">
        <f t="shared" si="46"/>
        <v>08</v>
      </c>
      <c r="I993" t="str">
        <f t="shared" si="47"/>
        <v>C</v>
      </c>
      <c r="J993" t="s">
        <v>157</v>
      </c>
      <c r="K993" t="s">
        <v>65</v>
      </c>
      <c r="L993" t="s">
        <v>25</v>
      </c>
      <c r="M993" t="s">
        <v>43</v>
      </c>
      <c r="N993">
        <v>1</v>
      </c>
      <c r="O993" t="s">
        <v>158</v>
      </c>
      <c r="P993" t="s">
        <v>159</v>
      </c>
      <c r="Q993" t="s">
        <v>28</v>
      </c>
      <c r="R993" t="s">
        <v>28</v>
      </c>
      <c r="S993" t="s">
        <v>28</v>
      </c>
      <c r="T993" t="s">
        <v>28</v>
      </c>
      <c r="U993" t="s">
        <v>28</v>
      </c>
      <c r="V993" t="s">
        <v>28</v>
      </c>
      <c r="W993">
        <v>3</v>
      </c>
      <c r="X993" t="s">
        <v>155</v>
      </c>
    </row>
    <row r="994" spans="1:24" x14ac:dyDescent="0.2">
      <c r="A994" t="str">
        <f t="shared" si="45"/>
        <v>sample_novaseq-16S-E-C09-L3_SICap-P20-C9-P1D14-RP3-BHI-S1R2-noBile-rep1-day14-repassage3</v>
      </c>
      <c r="B994" s="1" t="s">
        <v>590</v>
      </c>
      <c r="C994" s="3" t="s">
        <v>1166</v>
      </c>
      <c r="D994" s="3" t="s">
        <v>1328</v>
      </c>
      <c r="E994" t="s">
        <v>20</v>
      </c>
      <c r="F994" t="s">
        <v>156</v>
      </c>
      <c r="G994" t="s">
        <v>73</v>
      </c>
      <c r="H994" t="str">
        <f t="shared" si="46"/>
        <v>09</v>
      </c>
      <c r="I994" t="str">
        <f t="shared" si="47"/>
        <v>C</v>
      </c>
      <c r="J994" t="s">
        <v>157</v>
      </c>
      <c r="K994" t="s">
        <v>65</v>
      </c>
      <c r="L994" t="s">
        <v>25</v>
      </c>
      <c r="M994" t="s">
        <v>45</v>
      </c>
      <c r="N994">
        <v>1</v>
      </c>
      <c r="O994" t="s">
        <v>158</v>
      </c>
      <c r="P994" t="s">
        <v>159</v>
      </c>
      <c r="Q994" t="s">
        <v>28</v>
      </c>
      <c r="R994" t="s">
        <v>28</v>
      </c>
      <c r="S994" t="s">
        <v>28</v>
      </c>
      <c r="T994" t="s">
        <v>28</v>
      </c>
      <c r="U994" t="s">
        <v>28</v>
      </c>
      <c r="V994" t="s">
        <v>28</v>
      </c>
      <c r="W994">
        <v>3</v>
      </c>
      <c r="X994" t="s">
        <v>155</v>
      </c>
    </row>
    <row r="995" spans="1:24" x14ac:dyDescent="0.2">
      <c r="A995" t="str">
        <f t="shared" si="45"/>
        <v>sample_novaseq-16S-E-C10-L3_SICap-P20-C10-P1D14-RP3-BHI-StoolPool-noBile-rep1-day14-repassage3</v>
      </c>
      <c r="B995" s="1" t="s">
        <v>591</v>
      </c>
      <c r="C995" s="3" t="s">
        <v>1167</v>
      </c>
      <c r="D995" s="3" t="s">
        <v>1328</v>
      </c>
      <c r="E995" t="s">
        <v>20</v>
      </c>
      <c r="F995" t="s">
        <v>156</v>
      </c>
      <c r="G995" t="s">
        <v>74</v>
      </c>
      <c r="H995" t="str">
        <f t="shared" si="46"/>
        <v>10</v>
      </c>
      <c r="I995" t="str">
        <f t="shared" si="47"/>
        <v>C</v>
      </c>
      <c r="J995" t="s">
        <v>157</v>
      </c>
      <c r="K995" t="s">
        <v>65</v>
      </c>
      <c r="L995" t="s">
        <v>25</v>
      </c>
      <c r="M995" t="s">
        <v>47</v>
      </c>
      <c r="N995">
        <v>1</v>
      </c>
      <c r="O995" t="s">
        <v>158</v>
      </c>
      <c r="P995" t="s">
        <v>159</v>
      </c>
      <c r="Q995" t="s">
        <v>28</v>
      </c>
      <c r="R995" t="s">
        <v>28</v>
      </c>
      <c r="S995" t="s">
        <v>28</v>
      </c>
      <c r="T995" t="s">
        <v>28</v>
      </c>
      <c r="U995" t="s">
        <v>28</v>
      </c>
      <c r="V995" t="s">
        <v>28</v>
      </c>
      <c r="W995">
        <v>3</v>
      </c>
      <c r="X995" t="s">
        <v>155</v>
      </c>
    </row>
    <row r="996" spans="1:24" x14ac:dyDescent="0.2">
      <c r="A996" t="str">
        <f t="shared" si="45"/>
        <v>sample_novaseq-16S-E-C11-L3_SICap-P20-C11-P1D14-RP3-BHI-SIPool-noBile-rep1-day14-repassage3</v>
      </c>
      <c r="B996" s="1" t="s">
        <v>592</v>
      </c>
      <c r="C996" s="3" t="s">
        <v>1168</v>
      </c>
      <c r="D996" s="3" t="s">
        <v>1328</v>
      </c>
      <c r="E996" t="s">
        <v>20</v>
      </c>
      <c r="F996" t="s">
        <v>156</v>
      </c>
      <c r="G996" t="s">
        <v>75</v>
      </c>
      <c r="H996" t="str">
        <f t="shared" si="46"/>
        <v>11</v>
      </c>
      <c r="I996" t="str">
        <f t="shared" si="47"/>
        <v>C</v>
      </c>
      <c r="J996" t="s">
        <v>157</v>
      </c>
      <c r="K996" t="s">
        <v>65</v>
      </c>
      <c r="L996" t="s">
        <v>25</v>
      </c>
      <c r="M996" t="s">
        <v>49</v>
      </c>
      <c r="N996">
        <v>1</v>
      </c>
      <c r="O996" t="s">
        <v>158</v>
      </c>
      <c r="P996" t="s">
        <v>159</v>
      </c>
      <c r="Q996" t="s">
        <v>28</v>
      </c>
      <c r="R996" t="s">
        <v>28</v>
      </c>
      <c r="S996" t="s">
        <v>28</v>
      </c>
      <c r="T996" t="s">
        <v>28</v>
      </c>
      <c r="U996" t="s">
        <v>28</v>
      </c>
      <c r="V996" t="s">
        <v>28</v>
      </c>
      <c r="W996">
        <v>3</v>
      </c>
      <c r="X996" t="s">
        <v>155</v>
      </c>
    </row>
    <row r="997" spans="1:24" x14ac:dyDescent="0.2">
      <c r="A997" t="str">
        <f t="shared" si="45"/>
        <v>sample_novaseq-16S-E-C12-L3_SICap-P20-C12-P1D14-RP3-BHI-Media-noBile-rep1-day14-repassage3</v>
      </c>
      <c r="B997" s="1" t="s">
        <v>593</v>
      </c>
      <c r="C997" s="3" t="s">
        <v>1169</v>
      </c>
      <c r="D997" s="3" t="s">
        <v>1328</v>
      </c>
      <c r="E997" t="s">
        <v>20</v>
      </c>
      <c r="F997" t="s">
        <v>156</v>
      </c>
      <c r="G997" t="s">
        <v>76</v>
      </c>
      <c r="H997" t="str">
        <f t="shared" si="46"/>
        <v>12</v>
      </c>
      <c r="I997" t="str">
        <f t="shared" si="47"/>
        <v>C</v>
      </c>
      <c r="J997" t="s">
        <v>157</v>
      </c>
      <c r="K997" t="s">
        <v>65</v>
      </c>
      <c r="L997" t="s">
        <v>25</v>
      </c>
      <c r="M997" t="s">
        <v>6</v>
      </c>
      <c r="N997">
        <v>1</v>
      </c>
      <c r="O997" t="s">
        <v>158</v>
      </c>
      <c r="P997" t="s">
        <v>159</v>
      </c>
      <c r="Q997" t="s">
        <v>28</v>
      </c>
      <c r="R997" t="s">
        <v>28</v>
      </c>
      <c r="S997" t="s">
        <v>28</v>
      </c>
      <c r="T997" t="s">
        <v>28</v>
      </c>
      <c r="U997" t="s">
        <v>28</v>
      </c>
      <c r="V997" t="s">
        <v>28</v>
      </c>
      <c r="W997">
        <v>3</v>
      </c>
      <c r="X997" t="s">
        <v>155</v>
      </c>
    </row>
    <row r="998" spans="1:24" x14ac:dyDescent="0.2">
      <c r="A998" t="str">
        <f t="shared" si="45"/>
        <v>sample_novaseq-16S-E-D01-L3_SICap-P20-D1-P1D14-RP3-GAM-C1R1-noBile-rep1-day14-repassage3</v>
      </c>
      <c r="B998" s="1" t="s">
        <v>594</v>
      </c>
      <c r="C998" s="3" t="s">
        <v>1170</v>
      </c>
      <c r="D998" s="3" t="s">
        <v>1328</v>
      </c>
      <c r="E998" t="s">
        <v>20</v>
      </c>
      <c r="F998" t="s">
        <v>156</v>
      </c>
      <c r="G998" t="s">
        <v>77</v>
      </c>
      <c r="H998" t="str">
        <f t="shared" si="46"/>
        <v>01</v>
      </c>
      <c r="I998" t="str">
        <f t="shared" si="47"/>
        <v>D</v>
      </c>
      <c r="J998" t="s">
        <v>157</v>
      </c>
      <c r="K998" t="s">
        <v>78</v>
      </c>
      <c r="L998" t="s">
        <v>25</v>
      </c>
      <c r="M998" t="s">
        <v>26</v>
      </c>
      <c r="N998">
        <v>1</v>
      </c>
      <c r="O998" t="s">
        <v>158</v>
      </c>
      <c r="P998" t="s">
        <v>159</v>
      </c>
      <c r="Q998" t="s">
        <v>28</v>
      </c>
      <c r="R998" t="s">
        <v>28</v>
      </c>
      <c r="S998" t="s">
        <v>28</v>
      </c>
      <c r="T998" t="s">
        <v>28</v>
      </c>
      <c r="U998" t="s">
        <v>28</v>
      </c>
      <c r="V998" t="s">
        <v>28</v>
      </c>
      <c r="W998">
        <v>3</v>
      </c>
      <c r="X998" t="s">
        <v>155</v>
      </c>
    </row>
    <row r="999" spans="1:24" x14ac:dyDescent="0.2">
      <c r="A999" t="str">
        <f t="shared" si="45"/>
        <v>sample_novaseq-16S-E-D02-L3_SICap-P20-D2-P1D14-RP3-GAM-C1R2-noBile-rep1-day14-repassage3</v>
      </c>
      <c r="B999" s="1" t="s">
        <v>595</v>
      </c>
      <c r="C999" s="3" t="s">
        <v>1171</v>
      </c>
      <c r="D999" s="3" t="s">
        <v>1328</v>
      </c>
      <c r="E999" t="s">
        <v>20</v>
      </c>
      <c r="F999" t="s">
        <v>156</v>
      </c>
      <c r="G999" t="s">
        <v>79</v>
      </c>
      <c r="H999" t="str">
        <f t="shared" si="46"/>
        <v>02</v>
      </c>
      <c r="I999" t="str">
        <f t="shared" si="47"/>
        <v>D</v>
      </c>
      <c r="J999" t="s">
        <v>157</v>
      </c>
      <c r="K999" t="s">
        <v>78</v>
      </c>
      <c r="L999" t="s">
        <v>25</v>
      </c>
      <c r="M999" t="s">
        <v>31</v>
      </c>
      <c r="N999">
        <v>1</v>
      </c>
      <c r="O999" t="s">
        <v>158</v>
      </c>
      <c r="P999" t="s">
        <v>159</v>
      </c>
      <c r="Q999" t="s">
        <v>28</v>
      </c>
      <c r="R999" t="s">
        <v>28</v>
      </c>
      <c r="S999" t="s">
        <v>28</v>
      </c>
      <c r="T999" t="s">
        <v>28</v>
      </c>
      <c r="U999" t="s">
        <v>28</v>
      </c>
      <c r="V999" t="s">
        <v>28</v>
      </c>
      <c r="W999">
        <v>3</v>
      </c>
      <c r="X999" t="s">
        <v>155</v>
      </c>
    </row>
    <row r="1000" spans="1:24" x14ac:dyDescent="0.2">
      <c r="A1000" t="str">
        <f t="shared" si="45"/>
        <v>sample_novaseq-16S-E-D03-L3_SICap-P20-D3-P1D14-RP3-GAM-C2R1-noBile-rep1-day14-repassage3</v>
      </c>
      <c r="B1000" s="1" t="s">
        <v>596</v>
      </c>
      <c r="C1000" s="3" t="s">
        <v>1172</v>
      </c>
      <c r="D1000" s="3" t="s">
        <v>1328</v>
      </c>
      <c r="E1000" t="s">
        <v>20</v>
      </c>
      <c r="F1000" t="s">
        <v>156</v>
      </c>
      <c r="G1000" t="s">
        <v>80</v>
      </c>
      <c r="H1000" t="str">
        <f t="shared" si="46"/>
        <v>03</v>
      </c>
      <c r="I1000" t="str">
        <f t="shared" si="47"/>
        <v>D</v>
      </c>
      <c r="J1000" t="s">
        <v>157</v>
      </c>
      <c r="K1000" t="s">
        <v>78</v>
      </c>
      <c r="L1000" t="s">
        <v>25</v>
      </c>
      <c r="M1000" t="s">
        <v>33</v>
      </c>
      <c r="N1000">
        <v>1</v>
      </c>
      <c r="O1000" t="s">
        <v>158</v>
      </c>
      <c r="P1000" t="s">
        <v>159</v>
      </c>
      <c r="Q1000" t="s">
        <v>28</v>
      </c>
      <c r="R1000" t="s">
        <v>28</v>
      </c>
      <c r="S1000" t="s">
        <v>28</v>
      </c>
      <c r="T1000" t="s">
        <v>28</v>
      </c>
      <c r="U1000" t="s">
        <v>28</v>
      </c>
      <c r="V1000" t="s">
        <v>28</v>
      </c>
      <c r="W1000">
        <v>3</v>
      </c>
      <c r="X1000" t="s">
        <v>155</v>
      </c>
    </row>
    <row r="1001" spans="1:24" x14ac:dyDescent="0.2">
      <c r="A1001" t="str">
        <f t="shared" si="45"/>
        <v>sample_novaseq-16S-E-D04-L3_SICap-P20-D4-P1D14-RP3-GAM-C2R2-noBile-rep1-day14-repassage3</v>
      </c>
      <c r="B1001" s="1" t="s">
        <v>597</v>
      </c>
      <c r="C1001" s="3" t="s">
        <v>1173</v>
      </c>
      <c r="D1001" s="3" t="s">
        <v>1328</v>
      </c>
      <c r="E1001" t="s">
        <v>20</v>
      </c>
      <c r="F1001" t="s">
        <v>156</v>
      </c>
      <c r="G1001" t="s">
        <v>81</v>
      </c>
      <c r="H1001" t="str">
        <f t="shared" si="46"/>
        <v>04</v>
      </c>
      <c r="I1001" t="str">
        <f t="shared" si="47"/>
        <v>D</v>
      </c>
      <c r="J1001" t="s">
        <v>157</v>
      </c>
      <c r="K1001" t="s">
        <v>78</v>
      </c>
      <c r="L1001" t="s">
        <v>25</v>
      </c>
      <c r="M1001" t="s">
        <v>35</v>
      </c>
      <c r="N1001">
        <v>1</v>
      </c>
      <c r="O1001" t="s">
        <v>158</v>
      </c>
      <c r="P1001" t="s">
        <v>159</v>
      </c>
      <c r="Q1001" t="s">
        <v>28</v>
      </c>
      <c r="R1001" t="s">
        <v>28</v>
      </c>
      <c r="S1001" t="s">
        <v>28</v>
      </c>
      <c r="T1001" t="s">
        <v>28</v>
      </c>
      <c r="U1001" t="s">
        <v>28</v>
      </c>
      <c r="V1001" t="s">
        <v>28</v>
      </c>
      <c r="W1001">
        <v>3</v>
      </c>
      <c r="X1001" t="s">
        <v>155</v>
      </c>
    </row>
    <row r="1002" spans="1:24" x14ac:dyDescent="0.2">
      <c r="A1002" t="str">
        <f t="shared" si="45"/>
        <v>sample_novaseq-16S-E-D05-L3_SICap-P20-D5-P1D14-RP3-GAM-C3R1-noBile-rep1-day14-repassage3</v>
      </c>
      <c r="B1002" s="1" t="s">
        <v>598</v>
      </c>
      <c r="C1002" s="3" t="s">
        <v>1174</v>
      </c>
      <c r="D1002" s="3" t="s">
        <v>1328</v>
      </c>
      <c r="E1002" t="s">
        <v>20</v>
      </c>
      <c r="F1002" t="s">
        <v>156</v>
      </c>
      <c r="G1002" t="s">
        <v>82</v>
      </c>
      <c r="H1002" t="str">
        <f t="shared" si="46"/>
        <v>05</v>
      </c>
      <c r="I1002" t="str">
        <f t="shared" si="47"/>
        <v>D</v>
      </c>
      <c r="J1002" t="s">
        <v>157</v>
      </c>
      <c r="K1002" t="s">
        <v>78</v>
      </c>
      <c r="L1002" t="s">
        <v>25</v>
      </c>
      <c r="M1002" t="s">
        <v>37</v>
      </c>
      <c r="N1002">
        <v>1</v>
      </c>
      <c r="O1002" t="s">
        <v>158</v>
      </c>
      <c r="P1002" t="s">
        <v>159</v>
      </c>
      <c r="Q1002" t="s">
        <v>28</v>
      </c>
      <c r="R1002" t="s">
        <v>28</v>
      </c>
      <c r="S1002" t="s">
        <v>28</v>
      </c>
      <c r="T1002" t="s">
        <v>28</v>
      </c>
      <c r="U1002" t="s">
        <v>28</v>
      </c>
      <c r="V1002" t="s">
        <v>28</v>
      </c>
      <c r="W1002">
        <v>3</v>
      </c>
      <c r="X1002" t="s">
        <v>155</v>
      </c>
    </row>
    <row r="1003" spans="1:24" x14ac:dyDescent="0.2">
      <c r="A1003" t="str">
        <f t="shared" si="45"/>
        <v>sample_novaseq-16S-E-D06-L3_SICap-P20-D6-P1D14-RP3-GAM-C3R2-noBile-rep1-day14-repassage3</v>
      </c>
      <c r="B1003" s="1" t="s">
        <v>599</v>
      </c>
      <c r="C1003" s="3" t="s">
        <v>1175</v>
      </c>
      <c r="D1003" s="3" t="s">
        <v>1328</v>
      </c>
      <c r="E1003" t="s">
        <v>20</v>
      </c>
      <c r="F1003" t="s">
        <v>156</v>
      </c>
      <c r="G1003" t="s">
        <v>83</v>
      </c>
      <c r="H1003" t="str">
        <f t="shared" si="46"/>
        <v>06</v>
      </c>
      <c r="I1003" t="str">
        <f t="shared" si="47"/>
        <v>D</v>
      </c>
      <c r="J1003" t="s">
        <v>157</v>
      </c>
      <c r="K1003" t="s">
        <v>78</v>
      </c>
      <c r="L1003" t="s">
        <v>25</v>
      </c>
      <c r="M1003" t="s">
        <v>39</v>
      </c>
      <c r="N1003">
        <v>1</v>
      </c>
      <c r="O1003" t="s">
        <v>158</v>
      </c>
      <c r="P1003" t="s">
        <v>159</v>
      </c>
      <c r="Q1003" t="s">
        <v>28</v>
      </c>
      <c r="R1003" t="s">
        <v>28</v>
      </c>
      <c r="S1003" t="s">
        <v>28</v>
      </c>
      <c r="T1003" t="s">
        <v>28</v>
      </c>
      <c r="U1003" t="s">
        <v>28</v>
      </c>
      <c r="V1003" t="s">
        <v>28</v>
      </c>
      <c r="W1003">
        <v>3</v>
      </c>
      <c r="X1003" t="s">
        <v>155</v>
      </c>
    </row>
    <row r="1004" spans="1:24" x14ac:dyDescent="0.2">
      <c r="A1004" t="str">
        <f t="shared" si="45"/>
        <v>sample_novaseq-16S-E-D07-L3_SICap-P20-D7-P1D14-RP3-GAM-C4R1-noBile-rep1-day14-repassage3</v>
      </c>
      <c r="B1004" s="1" t="s">
        <v>600</v>
      </c>
      <c r="C1004" s="3" t="s">
        <v>1176</v>
      </c>
      <c r="D1004" s="3" t="s">
        <v>1328</v>
      </c>
      <c r="E1004" t="s">
        <v>20</v>
      </c>
      <c r="F1004" t="s">
        <v>156</v>
      </c>
      <c r="G1004" t="s">
        <v>84</v>
      </c>
      <c r="H1004" t="str">
        <f t="shared" si="46"/>
        <v>07</v>
      </c>
      <c r="I1004" t="str">
        <f t="shared" si="47"/>
        <v>D</v>
      </c>
      <c r="J1004" t="s">
        <v>157</v>
      </c>
      <c r="K1004" t="s">
        <v>78</v>
      </c>
      <c r="L1004" t="s">
        <v>25</v>
      </c>
      <c r="M1004" t="s">
        <v>41</v>
      </c>
      <c r="N1004">
        <v>1</v>
      </c>
      <c r="O1004" t="s">
        <v>158</v>
      </c>
      <c r="P1004" t="s">
        <v>159</v>
      </c>
      <c r="Q1004" t="s">
        <v>28</v>
      </c>
      <c r="R1004" t="s">
        <v>28</v>
      </c>
      <c r="S1004" t="s">
        <v>28</v>
      </c>
      <c r="T1004" t="s">
        <v>28</v>
      </c>
      <c r="U1004" t="s">
        <v>28</v>
      </c>
      <c r="V1004" t="s">
        <v>28</v>
      </c>
      <c r="W1004">
        <v>3</v>
      </c>
      <c r="X1004" t="s">
        <v>155</v>
      </c>
    </row>
    <row r="1005" spans="1:24" x14ac:dyDescent="0.2">
      <c r="A1005" t="str">
        <f t="shared" si="45"/>
        <v>sample_novaseq-16S-E-D08-L3_SICap-P20-D8-P1D14-RP3-GAM-C4R2-noBile-rep1-day14-repassage3</v>
      </c>
      <c r="B1005" s="1" t="s">
        <v>601</v>
      </c>
      <c r="C1005" s="3" t="s">
        <v>1177</v>
      </c>
      <c r="D1005" s="3" t="s">
        <v>1328</v>
      </c>
      <c r="E1005" t="s">
        <v>20</v>
      </c>
      <c r="F1005" t="s">
        <v>156</v>
      </c>
      <c r="G1005" t="s">
        <v>85</v>
      </c>
      <c r="H1005" t="str">
        <f t="shared" si="46"/>
        <v>08</v>
      </c>
      <c r="I1005" t="str">
        <f t="shared" si="47"/>
        <v>D</v>
      </c>
      <c r="J1005" t="s">
        <v>157</v>
      </c>
      <c r="K1005" t="s">
        <v>78</v>
      </c>
      <c r="L1005" t="s">
        <v>25</v>
      </c>
      <c r="M1005" t="s">
        <v>43</v>
      </c>
      <c r="N1005">
        <v>1</v>
      </c>
      <c r="O1005" t="s">
        <v>158</v>
      </c>
      <c r="P1005" t="s">
        <v>159</v>
      </c>
      <c r="Q1005" t="s">
        <v>28</v>
      </c>
      <c r="R1005" t="s">
        <v>28</v>
      </c>
      <c r="S1005" t="s">
        <v>28</v>
      </c>
      <c r="T1005" t="s">
        <v>28</v>
      </c>
      <c r="U1005" t="s">
        <v>28</v>
      </c>
      <c r="V1005" t="s">
        <v>28</v>
      </c>
      <c r="W1005">
        <v>3</v>
      </c>
      <c r="X1005" t="s">
        <v>155</v>
      </c>
    </row>
    <row r="1006" spans="1:24" x14ac:dyDescent="0.2">
      <c r="A1006" t="str">
        <f t="shared" si="45"/>
        <v>sample_novaseq-16S-E-D09-L3_SICap-P20-D9-P1D14-RP3-GAM-S1R2-noBile-rep1-day14-repassage3</v>
      </c>
      <c r="B1006" s="1" t="s">
        <v>602</v>
      </c>
      <c r="C1006" s="3" t="s">
        <v>1178</v>
      </c>
      <c r="D1006" s="3" t="s">
        <v>1328</v>
      </c>
      <c r="E1006" t="s">
        <v>20</v>
      </c>
      <c r="F1006" t="s">
        <v>156</v>
      </c>
      <c r="G1006" t="s">
        <v>86</v>
      </c>
      <c r="H1006" t="str">
        <f t="shared" si="46"/>
        <v>09</v>
      </c>
      <c r="I1006" t="str">
        <f t="shared" si="47"/>
        <v>D</v>
      </c>
      <c r="J1006" t="s">
        <v>157</v>
      </c>
      <c r="K1006" t="s">
        <v>78</v>
      </c>
      <c r="L1006" t="s">
        <v>25</v>
      </c>
      <c r="M1006" t="s">
        <v>45</v>
      </c>
      <c r="N1006">
        <v>1</v>
      </c>
      <c r="O1006" t="s">
        <v>158</v>
      </c>
      <c r="P1006" t="s">
        <v>159</v>
      </c>
      <c r="Q1006" t="s">
        <v>28</v>
      </c>
      <c r="R1006" t="s">
        <v>28</v>
      </c>
      <c r="S1006" t="s">
        <v>28</v>
      </c>
      <c r="T1006" t="s">
        <v>28</v>
      </c>
      <c r="U1006" t="s">
        <v>28</v>
      </c>
      <c r="V1006" t="s">
        <v>28</v>
      </c>
      <c r="W1006">
        <v>3</v>
      </c>
      <c r="X1006" t="s">
        <v>155</v>
      </c>
    </row>
    <row r="1007" spans="1:24" x14ac:dyDescent="0.2">
      <c r="A1007" t="str">
        <f t="shared" si="45"/>
        <v>sample_novaseq-16S-E-D10-L3_SICap-P20-D10-P1D14-RP3-GAM-StoolPool-noBile-rep1-day14-repassage3</v>
      </c>
      <c r="B1007" s="1" t="s">
        <v>603</v>
      </c>
      <c r="C1007" s="3" t="s">
        <v>1179</v>
      </c>
      <c r="D1007" s="3" t="s">
        <v>1328</v>
      </c>
      <c r="E1007" t="s">
        <v>20</v>
      </c>
      <c r="F1007" t="s">
        <v>156</v>
      </c>
      <c r="G1007" t="s">
        <v>87</v>
      </c>
      <c r="H1007" t="str">
        <f t="shared" si="46"/>
        <v>10</v>
      </c>
      <c r="I1007" t="str">
        <f t="shared" si="47"/>
        <v>D</v>
      </c>
      <c r="J1007" t="s">
        <v>157</v>
      </c>
      <c r="K1007" t="s">
        <v>78</v>
      </c>
      <c r="L1007" t="s">
        <v>25</v>
      </c>
      <c r="M1007" t="s">
        <v>47</v>
      </c>
      <c r="N1007">
        <v>1</v>
      </c>
      <c r="O1007" t="s">
        <v>158</v>
      </c>
      <c r="P1007" t="s">
        <v>159</v>
      </c>
      <c r="Q1007" t="s">
        <v>28</v>
      </c>
      <c r="R1007" t="s">
        <v>28</v>
      </c>
      <c r="S1007" t="s">
        <v>28</v>
      </c>
      <c r="T1007" t="s">
        <v>28</v>
      </c>
      <c r="U1007" t="s">
        <v>28</v>
      </c>
      <c r="V1007" t="s">
        <v>28</v>
      </c>
      <c r="W1007">
        <v>3</v>
      </c>
      <c r="X1007" t="s">
        <v>155</v>
      </c>
    </row>
    <row r="1008" spans="1:24" x14ac:dyDescent="0.2">
      <c r="A1008" t="str">
        <f t="shared" si="45"/>
        <v>sample_novaseq-16S-E-D11-L3_SICap-P20-D11-P1D14-RP3-GAM-SIPool-noBile-rep1-day14-repassage3</v>
      </c>
      <c r="B1008" s="1" t="s">
        <v>604</v>
      </c>
      <c r="C1008" s="3" t="s">
        <v>1180</v>
      </c>
      <c r="D1008" s="3" t="s">
        <v>1328</v>
      </c>
      <c r="E1008" t="s">
        <v>20</v>
      </c>
      <c r="F1008" t="s">
        <v>156</v>
      </c>
      <c r="G1008" t="s">
        <v>88</v>
      </c>
      <c r="H1008" t="str">
        <f t="shared" si="46"/>
        <v>11</v>
      </c>
      <c r="I1008" t="str">
        <f t="shared" si="47"/>
        <v>D</v>
      </c>
      <c r="J1008" t="s">
        <v>157</v>
      </c>
      <c r="K1008" t="s">
        <v>78</v>
      </c>
      <c r="L1008" t="s">
        <v>25</v>
      </c>
      <c r="M1008" t="s">
        <v>49</v>
      </c>
      <c r="N1008">
        <v>1</v>
      </c>
      <c r="O1008" t="s">
        <v>158</v>
      </c>
      <c r="P1008" t="s">
        <v>159</v>
      </c>
      <c r="Q1008" t="s">
        <v>28</v>
      </c>
      <c r="R1008" t="s">
        <v>28</v>
      </c>
      <c r="S1008" t="s">
        <v>28</v>
      </c>
      <c r="T1008" t="s">
        <v>28</v>
      </c>
      <c r="U1008" t="s">
        <v>28</v>
      </c>
      <c r="V1008" t="s">
        <v>28</v>
      </c>
      <c r="W1008">
        <v>3</v>
      </c>
      <c r="X1008" t="s">
        <v>155</v>
      </c>
    </row>
    <row r="1009" spans="1:24" x14ac:dyDescent="0.2">
      <c r="A1009" t="str">
        <f t="shared" si="45"/>
        <v>sample_novaseq-16S-E-D12-L3_SICap-P20-D12-P1D14-RP3-GAM-Media-noBile-rep1-day14-repassage3</v>
      </c>
      <c r="B1009" s="1" t="s">
        <v>605</v>
      </c>
      <c r="C1009" s="3" t="s">
        <v>1181</v>
      </c>
      <c r="D1009" s="3" t="s">
        <v>1328</v>
      </c>
      <c r="E1009" t="s">
        <v>20</v>
      </c>
      <c r="F1009" t="s">
        <v>156</v>
      </c>
      <c r="G1009" t="s">
        <v>89</v>
      </c>
      <c r="H1009" t="str">
        <f t="shared" si="46"/>
        <v>12</v>
      </c>
      <c r="I1009" t="str">
        <f t="shared" si="47"/>
        <v>D</v>
      </c>
      <c r="J1009" t="s">
        <v>157</v>
      </c>
      <c r="K1009" t="s">
        <v>78</v>
      </c>
      <c r="L1009" t="s">
        <v>25</v>
      </c>
      <c r="M1009" t="s">
        <v>6</v>
      </c>
      <c r="N1009">
        <v>1</v>
      </c>
      <c r="O1009" t="s">
        <v>158</v>
      </c>
      <c r="P1009" t="s">
        <v>159</v>
      </c>
      <c r="Q1009" t="s">
        <v>28</v>
      </c>
      <c r="R1009" t="s">
        <v>28</v>
      </c>
      <c r="S1009" t="s">
        <v>28</v>
      </c>
      <c r="T1009" t="s">
        <v>28</v>
      </c>
      <c r="U1009" t="s">
        <v>28</v>
      </c>
      <c r="V1009" t="s">
        <v>28</v>
      </c>
      <c r="W1009">
        <v>3</v>
      </c>
      <c r="X1009" t="s">
        <v>155</v>
      </c>
    </row>
    <row r="1010" spans="1:24" x14ac:dyDescent="0.2">
      <c r="A1010" t="str">
        <f t="shared" si="45"/>
        <v>sample_novaseq-16S-E-E01-L3_SICap-P20-E1-P1D14-RP3-BB-C1R1-noBile-rep1-day14-repassage3</v>
      </c>
      <c r="B1010" s="1" t="s">
        <v>606</v>
      </c>
      <c r="C1010" s="3" t="s">
        <v>1182</v>
      </c>
      <c r="D1010" s="3" t="s">
        <v>1328</v>
      </c>
      <c r="E1010" t="s">
        <v>20</v>
      </c>
      <c r="F1010" t="s">
        <v>156</v>
      </c>
      <c r="G1010" t="s">
        <v>90</v>
      </c>
      <c r="H1010" t="str">
        <f t="shared" si="46"/>
        <v>01</v>
      </c>
      <c r="I1010" t="str">
        <f t="shared" si="47"/>
        <v>E</v>
      </c>
      <c r="J1010" t="s">
        <v>157</v>
      </c>
      <c r="K1010" t="s">
        <v>91</v>
      </c>
      <c r="L1010" t="s">
        <v>25</v>
      </c>
      <c r="M1010" t="s">
        <v>26</v>
      </c>
      <c r="N1010">
        <v>1</v>
      </c>
      <c r="O1010" t="s">
        <v>158</v>
      </c>
      <c r="P1010" t="s">
        <v>159</v>
      </c>
      <c r="Q1010" t="s">
        <v>28</v>
      </c>
      <c r="R1010" t="s">
        <v>28</v>
      </c>
      <c r="S1010" t="s">
        <v>28</v>
      </c>
      <c r="T1010" t="s">
        <v>28</v>
      </c>
      <c r="U1010" t="s">
        <v>28</v>
      </c>
      <c r="V1010" t="s">
        <v>28</v>
      </c>
      <c r="W1010">
        <v>3</v>
      </c>
      <c r="X1010" t="s">
        <v>155</v>
      </c>
    </row>
    <row r="1011" spans="1:24" x14ac:dyDescent="0.2">
      <c r="A1011" t="str">
        <f t="shared" si="45"/>
        <v>sample_novaseq-16S-E-E02-L3_SICap-P20-E2-P1D14-RP3-BB-C1R2-noBile-rep1-day14-repassage3</v>
      </c>
      <c r="B1011" s="1" t="s">
        <v>607</v>
      </c>
      <c r="C1011" s="3" t="s">
        <v>1183</v>
      </c>
      <c r="D1011" s="3" t="s">
        <v>1328</v>
      </c>
      <c r="E1011" t="s">
        <v>20</v>
      </c>
      <c r="F1011" t="s">
        <v>156</v>
      </c>
      <c r="G1011" t="s">
        <v>92</v>
      </c>
      <c r="H1011" t="str">
        <f t="shared" si="46"/>
        <v>02</v>
      </c>
      <c r="I1011" t="str">
        <f t="shared" si="47"/>
        <v>E</v>
      </c>
      <c r="J1011" t="s">
        <v>157</v>
      </c>
      <c r="K1011" t="s">
        <v>91</v>
      </c>
      <c r="L1011" t="s">
        <v>25</v>
      </c>
      <c r="M1011" t="s">
        <v>31</v>
      </c>
      <c r="N1011">
        <v>1</v>
      </c>
      <c r="O1011" t="s">
        <v>158</v>
      </c>
      <c r="P1011" t="s">
        <v>159</v>
      </c>
      <c r="Q1011" t="s">
        <v>28</v>
      </c>
      <c r="R1011" t="s">
        <v>28</v>
      </c>
      <c r="S1011" t="s">
        <v>28</v>
      </c>
      <c r="T1011" t="s">
        <v>28</v>
      </c>
      <c r="U1011" t="s">
        <v>28</v>
      </c>
      <c r="V1011" t="s">
        <v>28</v>
      </c>
      <c r="W1011">
        <v>3</v>
      </c>
      <c r="X1011" t="s">
        <v>155</v>
      </c>
    </row>
    <row r="1012" spans="1:24" x14ac:dyDescent="0.2">
      <c r="A1012" t="str">
        <f t="shared" si="45"/>
        <v>sample_novaseq-16S-E-E03-L3_SICap-P20-E3-P1D14-RP3-BB-C2R1-noBile-rep1-day14-repassage3</v>
      </c>
      <c r="B1012" s="1" t="s">
        <v>608</v>
      </c>
      <c r="C1012" s="3" t="s">
        <v>1184</v>
      </c>
      <c r="D1012" s="3" t="s">
        <v>1328</v>
      </c>
      <c r="E1012" t="s">
        <v>20</v>
      </c>
      <c r="F1012" t="s">
        <v>156</v>
      </c>
      <c r="G1012" t="s">
        <v>93</v>
      </c>
      <c r="H1012" t="str">
        <f t="shared" si="46"/>
        <v>03</v>
      </c>
      <c r="I1012" t="str">
        <f t="shared" si="47"/>
        <v>E</v>
      </c>
      <c r="J1012" t="s">
        <v>157</v>
      </c>
      <c r="K1012" t="s">
        <v>91</v>
      </c>
      <c r="L1012" t="s">
        <v>25</v>
      </c>
      <c r="M1012" t="s">
        <v>33</v>
      </c>
      <c r="N1012">
        <v>1</v>
      </c>
      <c r="O1012" t="s">
        <v>158</v>
      </c>
      <c r="P1012" t="s">
        <v>159</v>
      </c>
      <c r="Q1012" t="s">
        <v>28</v>
      </c>
      <c r="R1012" t="s">
        <v>28</v>
      </c>
      <c r="S1012" t="s">
        <v>28</v>
      </c>
      <c r="T1012" t="s">
        <v>28</v>
      </c>
      <c r="U1012" t="s">
        <v>28</v>
      </c>
      <c r="V1012" t="s">
        <v>28</v>
      </c>
      <c r="W1012">
        <v>3</v>
      </c>
      <c r="X1012" t="s">
        <v>155</v>
      </c>
    </row>
    <row r="1013" spans="1:24" x14ac:dyDescent="0.2">
      <c r="A1013" t="str">
        <f t="shared" si="45"/>
        <v>sample_novaseq-16S-E-E04-L3_SICap-P20-E4-P1D14-RP3-BB-C2R2-noBile-rep1-day14-repassage3</v>
      </c>
      <c r="B1013" s="1" t="s">
        <v>609</v>
      </c>
      <c r="C1013" s="3" t="s">
        <v>1185</v>
      </c>
      <c r="D1013" s="3" t="s">
        <v>1328</v>
      </c>
      <c r="E1013" t="s">
        <v>20</v>
      </c>
      <c r="F1013" t="s">
        <v>156</v>
      </c>
      <c r="G1013" t="s">
        <v>94</v>
      </c>
      <c r="H1013" t="str">
        <f t="shared" si="46"/>
        <v>04</v>
      </c>
      <c r="I1013" t="str">
        <f t="shared" si="47"/>
        <v>E</v>
      </c>
      <c r="J1013" t="s">
        <v>157</v>
      </c>
      <c r="K1013" t="s">
        <v>91</v>
      </c>
      <c r="L1013" t="s">
        <v>25</v>
      </c>
      <c r="M1013" t="s">
        <v>35</v>
      </c>
      <c r="N1013">
        <v>1</v>
      </c>
      <c r="O1013" t="s">
        <v>158</v>
      </c>
      <c r="P1013" t="s">
        <v>159</v>
      </c>
      <c r="Q1013" t="s">
        <v>28</v>
      </c>
      <c r="R1013" t="s">
        <v>28</v>
      </c>
      <c r="S1013" t="s">
        <v>28</v>
      </c>
      <c r="T1013" t="s">
        <v>28</v>
      </c>
      <c r="U1013" t="s">
        <v>28</v>
      </c>
      <c r="V1013" t="s">
        <v>28</v>
      </c>
      <c r="W1013">
        <v>3</v>
      </c>
      <c r="X1013" t="s">
        <v>155</v>
      </c>
    </row>
    <row r="1014" spans="1:24" x14ac:dyDescent="0.2">
      <c r="A1014" t="str">
        <f t="shared" si="45"/>
        <v>sample_novaseq-16S-E-E05-L3_SICap-P20-E5-P1D14-RP3-BB-C3R1-noBile-rep1-day14-repassage3</v>
      </c>
      <c r="B1014" s="1" t="s">
        <v>610</v>
      </c>
      <c r="C1014" s="3" t="s">
        <v>1186</v>
      </c>
      <c r="D1014" s="3" t="s">
        <v>1328</v>
      </c>
      <c r="E1014" t="s">
        <v>20</v>
      </c>
      <c r="F1014" t="s">
        <v>156</v>
      </c>
      <c r="G1014" t="s">
        <v>95</v>
      </c>
      <c r="H1014" t="str">
        <f t="shared" si="46"/>
        <v>05</v>
      </c>
      <c r="I1014" t="str">
        <f t="shared" si="47"/>
        <v>E</v>
      </c>
      <c r="J1014" t="s">
        <v>157</v>
      </c>
      <c r="K1014" t="s">
        <v>91</v>
      </c>
      <c r="L1014" t="s">
        <v>25</v>
      </c>
      <c r="M1014" t="s">
        <v>37</v>
      </c>
      <c r="N1014">
        <v>1</v>
      </c>
      <c r="O1014" t="s">
        <v>158</v>
      </c>
      <c r="P1014" t="s">
        <v>159</v>
      </c>
      <c r="Q1014" t="s">
        <v>28</v>
      </c>
      <c r="R1014" t="s">
        <v>28</v>
      </c>
      <c r="S1014" t="s">
        <v>28</v>
      </c>
      <c r="T1014" t="s">
        <v>28</v>
      </c>
      <c r="U1014" t="s">
        <v>28</v>
      </c>
      <c r="V1014" t="s">
        <v>28</v>
      </c>
      <c r="W1014">
        <v>3</v>
      </c>
      <c r="X1014" t="s">
        <v>155</v>
      </c>
    </row>
    <row r="1015" spans="1:24" x14ac:dyDescent="0.2">
      <c r="A1015" t="str">
        <f t="shared" si="45"/>
        <v>sample_novaseq-16S-E-E06-L3_SICap-P20-E6-P1D14-RP3-BB-C3R2-noBile-rep1-day14-repassage3</v>
      </c>
      <c r="B1015" s="1" t="s">
        <v>611</v>
      </c>
      <c r="C1015" s="3" t="s">
        <v>1187</v>
      </c>
      <c r="D1015" s="3" t="s">
        <v>1328</v>
      </c>
      <c r="E1015" t="s">
        <v>20</v>
      </c>
      <c r="F1015" t="s">
        <v>156</v>
      </c>
      <c r="G1015" t="s">
        <v>96</v>
      </c>
      <c r="H1015" t="str">
        <f t="shared" si="46"/>
        <v>06</v>
      </c>
      <c r="I1015" t="str">
        <f t="shared" si="47"/>
        <v>E</v>
      </c>
      <c r="J1015" t="s">
        <v>157</v>
      </c>
      <c r="K1015" t="s">
        <v>91</v>
      </c>
      <c r="L1015" t="s">
        <v>25</v>
      </c>
      <c r="M1015" t="s">
        <v>39</v>
      </c>
      <c r="N1015">
        <v>1</v>
      </c>
      <c r="O1015" t="s">
        <v>158</v>
      </c>
      <c r="P1015" t="s">
        <v>159</v>
      </c>
      <c r="Q1015" t="s">
        <v>28</v>
      </c>
      <c r="R1015" t="s">
        <v>28</v>
      </c>
      <c r="S1015" t="s">
        <v>28</v>
      </c>
      <c r="T1015" t="s">
        <v>28</v>
      </c>
      <c r="U1015" t="s">
        <v>28</v>
      </c>
      <c r="V1015" t="s">
        <v>28</v>
      </c>
      <c r="W1015">
        <v>3</v>
      </c>
      <c r="X1015" t="s">
        <v>155</v>
      </c>
    </row>
    <row r="1016" spans="1:24" x14ac:dyDescent="0.2">
      <c r="A1016" t="str">
        <f t="shared" si="45"/>
        <v>sample_novaseq-16S-E-E07-L3_SICap-P20-E7-P1D14-RP3-BB-C4R1-noBile-rep1-day14-repassage3</v>
      </c>
      <c r="B1016" s="1" t="s">
        <v>612</v>
      </c>
      <c r="C1016" s="3" t="s">
        <v>1188</v>
      </c>
      <c r="D1016" s="3" t="s">
        <v>1328</v>
      </c>
      <c r="E1016" t="s">
        <v>20</v>
      </c>
      <c r="F1016" t="s">
        <v>156</v>
      </c>
      <c r="G1016" t="s">
        <v>97</v>
      </c>
      <c r="H1016" t="str">
        <f t="shared" si="46"/>
        <v>07</v>
      </c>
      <c r="I1016" t="str">
        <f t="shared" si="47"/>
        <v>E</v>
      </c>
      <c r="J1016" t="s">
        <v>157</v>
      </c>
      <c r="K1016" t="s">
        <v>91</v>
      </c>
      <c r="L1016" t="s">
        <v>25</v>
      </c>
      <c r="M1016" t="s">
        <v>41</v>
      </c>
      <c r="N1016">
        <v>1</v>
      </c>
      <c r="O1016" t="s">
        <v>158</v>
      </c>
      <c r="P1016" t="s">
        <v>159</v>
      </c>
      <c r="Q1016" t="s">
        <v>28</v>
      </c>
      <c r="R1016" t="s">
        <v>28</v>
      </c>
      <c r="S1016" t="s">
        <v>28</v>
      </c>
      <c r="T1016" t="s">
        <v>28</v>
      </c>
      <c r="U1016" t="s">
        <v>28</v>
      </c>
      <c r="V1016" t="s">
        <v>28</v>
      </c>
      <c r="W1016">
        <v>3</v>
      </c>
      <c r="X1016" t="s">
        <v>155</v>
      </c>
    </row>
    <row r="1017" spans="1:24" x14ac:dyDescent="0.2">
      <c r="A1017" t="str">
        <f t="shared" si="45"/>
        <v>sample_novaseq-16S-E-E08-L3_SICap-P20-E8-P1D14-RP3-BB-C4R2-noBile-rep1-day14-repassage3</v>
      </c>
      <c r="B1017" s="1" t="s">
        <v>613</v>
      </c>
      <c r="C1017" s="3" t="s">
        <v>1189</v>
      </c>
      <c r="D1017" s="3" t="s">
        <v>1328</v>
      </c>
      <c r="E1017" t="s">
        <v>20</v>
      </c>
      <c r="F1017" t="s">
        <v>156</v>
      </c>
      <c r="G1017" t="s">
        <v>98</v>
      </c>
      <c r="H1017" t="str">
        <f t="shared" si="46"/>
        <v>08</v>
      </c>
      <c r="I1017" t="str">
        <f t="shared" si="47"/>
        <v>E</v>
      </c>
      <c r="J1017" t="s">
        <v>157</v>
      </c>
      <c r="K1017" t="s">
        <v>91</v>
      </c>
      <c r="L1017" t="s">
        <v>25</v>
      </c>
      <c r="M1017" t="s">
        <v>43</v>
      </c>
      <c r="N1017">
        <v>1</v>
      </c>
      <c r="O1017" t="s">
        <v>158</v>
      </c>
      <c r="P1017" t="s">
        <v>159</v>
      </c>
      <c r="Q1017" t="s">
        <v>28</v>
      </c>
      <c r="R1017" t="s">
        <v>28</v>
      </c>
      <c r="S1017" t="s">
        <v>28</v>
      </c>
      <c r="T1017" t="s">
        <v>28</v>
      </c>
      <c r="U1017" t="s">
        <v>28</v>
      </c>
      <c r="V1017" t="s">
        <v>28</v>
      </c>
      <c r="W1017">
        <v>3</v>
      </c>
      <c r="X1017" t="s">
        <v>155</v>
      </c>
    </row>
    <row r="1018" spans="1:24" x14ac:dyDescent="0.2">
      <c r="A1018" t="str">
        <f t="shared" si="45"/>
        <v>sample_novaseq-16S-E-E09-L3_SICap-P20-E9-P1D14-RP3-BB-S1R2-noBile-rep1-day14-repassage3</v>
      </c>
      <c r="B1018" s="1" t="s">
        <v>614</v>
      </c>
      <c r="C1018" s="3" t="s">
        <v>1190</v>
      </c>
      <c r="D1018" s="3" t="s">
        <v>1328</v>
      </c>
      <c r="E1018" t="s">
        <v>20</v>
      </c>
      <c r="F1018" t="s">
        <v>156</v>
      </c>
      <c r="G1018" t="s">
        <v>99</v>
      </c>
      <c r="H1018" t="str">
        <f t="shared" si="46"/>
        <v>09</v>
      </c>
      <c r="I1018" t="str">
        <f t="shared" si="47"/>
        <v>E</v>
      </c>
      <c r="J1018" t="s">
        <v>157</v>
      </c>
      <c r="K1018" t="s">
        <v>91</v>
      </c>
      <c r="L1018" t="s">
        <v>25</v>
      </c>
      <c r="M1018" t="s">
        <v>45</v>
      </c>
      <c r="N1018">
        <v>1</v>
      </c>
      <c r="O1018" t="s">
        <v>158</v>
      </c>
      <c r="P1018" t="s">
        <v>159</v>
      </c>
      <c r="Q1018" t="s">
        <v>28</v>
      </c>
      <c r="R1018" t="s">
        <v>28</v>
      </c>
      <c r="S1018" t="s">
        <v>28</v>
      </c>
      <c r="T1018" t="s">
        <v>28</v>
      </c>
      <c r="U1018" t="s">
        <v>28</v>
      </c>
      <c r="V1018" t="s">
        <v>28</v>
      </c>
      <c r="W1018">
        <v>3</v>
      </c>
      <c r="X1018" t="s">
        <v>155</v>
      </c>
    </row>
    <row r="1019" spans="1:24" x14ac:dyDescent="0.2">
      <c r="A1019" t="str">
        <f t="shared" si="45"/>
        <v>sample_novaseq-16S-E-E10-L3_SICap-P20-E10-P1D14-RP3-BB-StoolPool-noBile-rep1-day14-repassage3</v>
      </c>
      <c r="B1019" s="1" t="s">
        <v>615</v>
      </c>
      <c r="C1019" s="3" t="s">
        <v>1191</v>
      </c>
      <c r="D1019" s="3" t="s">
        <v>1328</v>
      </c>
      <c r="E1019" t="s">
        <v>20</v>
      </c>
      <c r="F1019" t="s">
        <v>156</v>
      </c>
      <c r="G1019" t="s">
        <v>100</v>
      </c>
      <c r="H1019" t="str">
        <f t="shared" si="46"/>
        <v>10</v>
      </c>
      <c r="I1019" t="str">
        <f t="shared" si="47"/>
        <v>E</v>
      </c>
      <c r="J1019" t="s">
        <v>157</v>
      </c>
      <c r="K1019" t="s">
        <v>91</v>
      </c>
      <c r="L1019" t="s">
        <v>25</v>
      </c>
      <c r="M1019" t="s">
        <v>47</v>
      </c>
      <c r="N1019">
        <v>1</v>
      </c>
      <c r="O1019" t="s">
        <v>158</v>
      </c>
      <c r="P1019" t="s">
        <v>159</v>
      </c>
      <c r="Q1019" t="s">
        <v>28</v>
      </c>
      <c r="R1019" t="s">
        <v>28</v>
      </c>
      <c r="S1019" t="s">
        <v>28</v>
      </c>
      <c r="T1019" t="s">
        <v>28</v>
      </c>
      <c r="U1019" t="s">
        <v>28</v>
      </c>
      <c r="V1019" t="s">
        <v>28</v>
      </c>
      <c r="W1019">
        <v>3</v>
      </c>
      <c r="X1019" t="s">
        <v>155</v>
      </c>
    </row>
    <row r="1020" spans="1:24" x14ac:dyDescent="0.2">
      <c r="A1020" t="str">
        <f t="shared" si="45"/>
        <v>sample_novaseq-16S-E-E11-L3_SICap-P20-E11-P1D14-RP3-BB-SIPool-noBile-rep1-day14-repassage3</v>
      </c>
      <c r="B1020" s="1" t="s">
        <v>616</v>
      </c>
      <c r="C1020" s="3" t="s">
        <v>1192</v>
      </c>
      <c r="D1020" s="3" t="s">
        <v>1328</v>
      </c>
      <c r="E1020" t="s">
        <v>20</v>
      </c>
      <c r="F1020" t="s">
        <v>156</v>
      </c>
      <c r="G1020" t="s">
        <v>101</v>
      </c>
      <c r="H1020" t="str">
        <f t="shared" si="46"/>
        <v>11</v>
      </c>
      <c r="I1020" t="str">
        <f t="shared" si="47"/>
        <v>E</v>
      </c>
      <c r="J1020" t="s">
        <v>157</v>
      </c>
      <c r="K1020" t="s">
        <v>91</v>
      </c>
      <c r="L1020" t="s">
        <v>25</v>
      </c>
      <c r="M1020" t="s">
        <v>49</v>
      </c>
      <c r="N1020">
        <v>1</v>
      </c>
      <c r="O1020" t="s">
        <v>158</v>
      </c>
      <c r="P1020" t="s">
        <v>159</v>
      </c>
      <c r="Q1020" t="s">
        <v>28</v>
      </c>
      <c r="R1020" t="s">
        <v>28</v>
      </c>
      <c r="S1020" t="s">
        <v>28</v>
      </c>
      <c r="T1020" t="s">
        <v>28</v>
      </c>
      <c r="U1020" t="s">
        <v>28</v>
      </c>
      <c r="V1020" t="s">
        <v>28</v>
      </c>
      <c r="W1020">
        <v>3</v>
      </c>
      <c r="X1020" t="s">
        <v>155</v>
      </c>
    </row>
    <row r="1021" spans="1:24" x14ac:dyDescent="0.2">
      <c r="A1021" t="str">
        <f t="shared" si="45"/>
        <v>sample_novaseq-16S-E-E12-L3_SICap-P20-E12-P1D14-RP3-BB-Media-noBile-rep1-day14-repassage3</v>
      </c>
      <c r="B1021" s="1" t="s">
        <v>617</v>
      </c>
      <c r="C1021" s="3" t="s">
        <v>1193</v>
      </c>
      <c r="D1021" s="3" t="s">
        <v>1328</v>
      </c>
      <c r="E1021" t="s">
        <v>20</v>
      </c>
      <c r="F1021" t="s">
        <v>156</v>
      </c>
      <c r="G1021" t="s">
        <v>102</v>
      </c>
      <c r="H1021" t="str">
        <f t="shared" si="46"/>
        <v>12</v>
      </c>
      <c r="I1021" t="str">
        <f t="shared" si="47"/>
        <v>E</v>
      </c>
      <c r="J1021" t="s">
        <v>157</v>
      </c>
      <c r="K1021" t="s">
        <v>91</v>
      </c>
      <c r="L1021" t="s">
        <v>25</v>
      </c>
      <c r="M1021" t="s">
        <v>6</v>
      </c>
      <c r="N1021">
        <v>1</v>
      </c>
      <c r="O1021" t="s">
        <v>158</v>
      </c>
      <c r="P1021" t="s">
        <v>159</v>
      </c>
      <c r="Q1021" t="s">
        <v>28</v>
      </c>
      <c r="R1021" t="s">
        <v>28</v>
      </c>
      <c r="S1021" t="s">
        <v>28</v>
      </c>
      <c r="T1021" t="s">
        <v>28</v>
      </c>
      <c r="U1021" t="s">
        <v>28</v>
      </c>
      <c r="V1021" t="s">
        <v>28</v>
      </c>
      <c r="W1021">
        <v>3</v>
      </c>
      <c r="X1021" t="s">
        <v>155</v>
      </c>
    </row>
    <row r="1022" spans="1:24" x14ac:dyDescent="0.2">
      <c r="A1022" t="str">
        <f t="shared" si="45"/>
        <v>sample_novaseq-16S-E-F01-L3_SICap-P20-F1-P1D14-RP3-YCFAG-C1R1-noBile-rep1-day14-repassage3</v>
      </c>
      <c r="B1022" s="1" t="s">
        <v>618</v>
      </c>
      <c r="C1022" s="3" t="s">
        <v>1194</v>
      </c>
      <c r="D1022" s="3" t="s">
        <v>1328</v>
      </c>
      <c r="E1022" t="s">
        <v>20</v>
      </c>
      <c r="F1022" t="s">
        <v>156</v>
      </c>
      <c r="G1022" t="s">
        <v>103</v>
      </c>
      <c r="H1022" t="str">
        <f t="shared" si="46"/>
        <v>01</v>
      </c>
      <c r="I1022" t="str">
        <f t="shared" si="47"/>
        <v>F</v>
      </c>
      <c r="J1022" t="s">
        <v>157</v>
      </c>
      <c r="K1022" t="s">
        <v>104</v>
      </c>
      <c r="L1022" t="s">
        <v>25</v>
      </c>
      <c r="M1022" t="s">
        <v>26</v>
      </c>
      <c r="N1022">
        <v>1</v>
      </c>
      <c r="O1022" t="s">
        <v>158</v>
      </c>
      <c r="P1022" t="s">
        <v>159</v>
      </c>
      <c r="Q1022" t="s">
        <v>28</v>
      </c>
      <c r="R1022" t="s">
        <v>28</v>
      </c>
      <c r="S1022" t="s">
        <v>28</v>
      </c>
      <c r="T1022" t="s">
        <v>28</v>
      </c>
      <c r="U1022" t="s">
        <v>28</v>
      </c>
      <c r="V1022" t="s">
        <v>28</v>
      </c>
      <c r="W1022">
        <v>3</v>
      </c>
      <c r="X1022" t="s">
        <v>155</v>
      </c>
    </row>
    <row r="1023" spans="1:24" x14ac:dyDescent="0.2">
      <c r="A1023" t="str">
        <f t="shared" si="45"/>
        <v>sample_novaseq-16S-E-F02-L3_SICap-P20-F2-P1D14-RP3-YCFAG-C1R2-noBile-rep1-day14-repassage3</v>
      </c>
      <c r="B1023" s="1" t="s">
        <v>619</v>
      </c>
      <c r="C1023" s="3" t="s">
        <v>1195</v>
      </c>
      <c r="D1023" s="3" t="s">
        <v>1328</v>
      </c>
      <c r="E1023" t="s">
        <v>20</v>
      </c>
      <c r="F1023" t="s">
        <v>156</v>
      </c>
      <c r="G1023" t="s">
        <v>105</v>
      </c>
      <c r="H1023" t="str">
        <f t="shared" si="46"/>
        <v>02</v>
      </c>
      <c r="I1023" t="str">
        <f t="shared" si="47"/>
        <v>F</v>
      </c>
      <c r="J1023" t="s">
        <v>157</v>
      </c>
      <c r="K1023" t="s">
        <v>104</v>
      </c>
      <c r="L1023" t="s">
        <v>25</v>
      </c>
      <c r="M1023" t="s">
        <v>31</v>
      </c>
      <c r="N1023">
        <v>1</v>
      </c>
      <c r="O1023" t="s">
        <v>158</v>
      </c>
      <c r="P1023" t="s">
        <v>159</v>
      </c>
      <c r="Q1023" t="s">
        <v>28</v>
      </c>
      <c r="R1023" t="s">
        <v>28</v>
      </c>
      <c r="S1023" t="s">
        <v>28</v>
      </c>
      <c r="T1023" t="s">
        <v>28</v>
      </c>
      <c r="U1023" t="s">
        <v>28</v>
      </c>
      <c r="V1023" t="s">
        <v>28</v>
      </c>
      <c r="W1023">
        <v>3</v>
      </c>
      <c r="X1023" t="s">
        <v>155</v>
      </c>
    </row>
    <row r="1024" spans="1:24" x14ac:dyDescent="0.2">
      <c r="A1024" t="str">
        <f t="shared" si="45"/>
        <v>sample_novaseq-16S-E-F03-L3_SICap-P20-F3-P1D14-RP3-YCFAG-C2R1-noBile-rep1-day14-repassage3</v>
      </c>
      <c r="B1024" s="1" t="s">
        <v>620</v>
      </c>
      <c r="C1024" s="3" t="s">
        <v>1196</v>
      </c>
      <c r="D1024" s="3" t="s">
        <v>1328</v>
      </c>
      <c r="E1024" t="s">
        <v>20</v>
      </c>
      <c r="F1024" t="s">
        <v>156</v>
      </c>
      <c r="G1024" t="s">
        <v>106</v>
      </c>
      <c r="H1024" t="str">
        <f t="shared" si="46"/>
        <v>03</v>
      </c>
      <c r="I1024" t="str">
        <f t="shared" si="47"/>
        <v>F</v>
      </c>
      <c r="J1024" t="s">
        <v>157</v>
      </c>
      <c r="K1024" t="s">
        <v>104</v>
      </c>
      <c r="L1024" t="s">
        <v>25</v>
      </c>
      <c r="M1024" t="s">
        <v>33</v>
      </c>
      <c r="N1024">
        <v>1</v>
      </c>
      <c r="O1024" t="s">
        <v>158</v>
      </c>
      <c r="P1024" t="s">
        <v>159</v>
      </c>
      <c r="Q1024" t="s">
        <v>28</v>
      </c>
      <c r="R1024" t="s">
        <v>28</v>
      </c>
      <c r="S1024" t="s">
        <v>28</v>
      </c>
      <c r="T1024" t="s">
        <v>28</v>
      </c>
      <c r="U1024" t="s">
        <v>28</v>
      </c>
      <c r="V1024" t="s">
        <v>28</v>
      </c>
      <c r="W1024">
        <v>3</v>
      </c>
      <c r="X1024" t="s">
        <v>155</v>
      </c>
    </row>
    <row r="1025" spans="1:24" x14ac:dyDescent="0.2">
      <c r="A1025" t="str">
        <f t="shared" si="45"/>
        <v>sample_novaseq-16S-E-F04-L3_SICap-P20-F4-P1D14-RP3-YCFAG-C2R2-noBile-rep1-day14-repassage3</v>
      </c>
      <c r="B1025" s="1" t="s">
        <v>621</v>
      </c>
      <c r="C1025" s="3" t="s">
        <v>1197</v>
      </c>
      <c r="D1025" s="3" t="s">
        <v>1328</v>
      </c>
      <c r="E1025" t="s">
        <v>20</v>
      </c>
      <c r="F1025" t="s">
        <v>156</v>
      </c>
      <c r="G1025" t="s">
        <v>107</v>
      </c>
      <c r="H1025" t="str">
        <f t="shared" si="46"/>
        <v>04</v>
      </c>
      <c r="I1025" t="str">
        <f t="shared" si="47"/>
        <v>F</v>
      </c>
      <c r="J1025" t="s">
        <v>157</v>
      </c>
      <c r="K1025" t="s">
        <v>104</v>
      </c>
      <c r="L1025" t="s">
        <v>25</v>
      </c>
      <c r="M1025" t="s">
        <v>35</v>
      </c>
      <c r="N1025">
        <v>1</v>
      </c>
      <c r="O1025" t="s">
        <v>158</v>
      </c>
      <c r="P1025" t="s">
        <v>159</v>
      </c>
      <c r="Q1025" t="s">
        <v>28</v>
      </c>
      <c r="R1025" t="s">
        <v>28</v>
      </c>
      <c r="S1025" t="s">
        <v>28</v>
      </c>
      <c r="T1025" t="s">
        <v>28</v>
      </c>
      <c r="U1025" t="s">
        <v>28</v>
      </c>
      <c r="V1025" t="s">
        <v>28</v>
      </c>
      <c r="W1025">
        <v>3</v>
      </c>
      <c r="X1025" t="s">
        <v>155</v>
      </c>
    </row>
    <row r="1026" spans="1:24" x14ac:dyDescent="0.2">
      <c r="A1026" t="str">
        <f t="shared" si="45"/>
        <v>sample_novaseq-16S-E-F05-L3_SICap-P20-F5-P1D14-RP3-YCFAG-C3R1-noBile-rep1-day14-repassage3</v>
      </c>
      <c r="B1026" s="1" t="s">
        <v>622</v>
      </c>
      <c r="C1026" s="3" t="s">
        <v>1198</v>
      </c>
      <c r="D1026" s="3" t="s">
        <v>1328</v>
      </c>
      <c r="E1026" t="s">
        <v>20</v>
      </c>
      <c r="F1026" t="s">
        <v>156</v>
      </c>
      <c r="G1026" t="s">
        <v>108</v>
      </c>
      <c r="H1026" t="str">
        <f t="shared" si="46"/>
        <v>05</v>
      </c>
      <c r="I1026" t="str">
        <f t="shared" si="47"/>
        <v>F</v>
      </c>
      <c r="J1026" t="s">
        <v>157</v>
      </c>
      <c r="K1026" t="s">
        <v>104</v>
      </c>
      <c r="L1026" t="s">
        <v>25</v>
      </c>
      <c r="M1026" t="s">
        <v>37</v>
      </c>
      <c r="N1026">
        <v>1</v>
      </c>
      <c r="O1026" t="s">
        <v>158</v>
      </c>
      <c r="P1026" t="s">
        <v>159</v>
      </c>
      <c r="Q1026" t="s">
        <v>28</v>
      </c>
      <c r="R1026" t="s">
        <v>28</v>
      </c>
      <c r="S1026" t="s">
        <v>28</v>
      </c>
      <c r="T1026" t="s">
        <v>28</v>
      </c>
      <c r="U1026" t="s">
        <v>28</v>
      </c>
      <c r="V1026" t="s">
        <v>28</v>
      </c>
      <c r="W1026">
        <v>3</v>
      </c>
      <c r="X1026" t="s">
        <v>155</v>
      </c>
    </row>
    <row r="1027" spans="1:24" x14ac:dyDescent="0.2">
      <c r="A1027" t="str">
        <f t="shared" ref="A1027:A1090" si="48">_xlfn.CONCAT("sample_novaseq-",C1027)</f>
        <v>sample_novaseq-16S-E-F06-L3_SICap-P20-F6-P1D14-RP3-YCFAG-C3R2-noBile-rep1-day14-repassage3</v>
      </c>
      <c r="B1027" s="1" t="s">
        <v>623</v>
      </c>
      <c r="C1027" s="3" t="s">
        <v>1199</v>
      </c>
      <c r="D1027" s="3" t="s">
        <v>1328</v>
      </c>
      <c r="E1027" t="s">
        <v>20</v>
      </c>
      <c r="F1027" t="s">
        <v>156</v>
      </c>
      <c r="G1027" t="s">
        <v>109</v>
      </c>
      <c r="H1027" t="str">
        <f t="shared" ref="H1027:H1090" si="49">RIGHT(G1027,2)</f>
        <v>06</v>
      </c>
      <c r="I1027" t="str">
        <f t="shared" ref="I1027:I1090" si="50">LEFT(G1027)</f>
        <v>F</v>
      </c>
      <c r="J1027" t="s">
        <v>157</v>
      </c>
      <c r="K1027" t="s">
        <v>104</v>
      </c>
      <c r="L1027" t="s">
        <v>25</v>
      </c>
      <c r="M1027" t="s">
        <v>39</v>
      </c>
      <c r="N1027">
        <v>1</v>
      </c>
      <c r="O1027" t="s">
        <v>158</v>
      </c>
      <c r="P1027" t="s">
        <v>159</v>
      </c>
      <c r="Q1027" t="s">
        <v>28</v>
      </c>
      <c r="R1027" t="s">
        <v>28</v>
      </c>
      <c r="S1027" t="s">
        <v>28</v>
      </c>
      <c r="T1027" t="s">
        <v>28</v>
      </c>
      <c r="U1027" t="s">
        <v>28</v>
      </c>
      <c r="V1027" t="s">
        <v>28</v>
      </c>
      <c r="W1027">
        <v>3</v>
      </c>
      <c r="X1027" t="s">
        <v>155</v>
      </c>
    </row>
    <row r="1028" spans="1:24" x14ac:dyDescent="0.2">
      <c r="A1028" t="str">
        <f t="shared" si="48"/>
        <v>sample_novaseq-16S-E-F07-L3_SICap-P20-F7-P1D14-RP3-YCFAG-C4R1-noBile-rep1-day14-repassage3</v>
      </c>
      <c r="B1028" s="1" t="s">
        <v>624</v>
      </c>
      <c r="C1028" s="3" t="s">
        <v>1200</v>
      </c>
      <c r="D1028" s="3" t="s">
        <v>1328</v>
      </c>
      <c r="E1028" t="s">
        <v>20</v>
      </c>
      <c r="F1028" t="s">
        <v>156</v>
      </c>
      <c r="G1028" t="s">
        <v>110</v>
      </c>
      <c r="H1028" t="str">
        <f t="shared" si="49"/>
        <v>07</v>
      </c>
      <c r="I1028" t="str">
        <f t="shared" si="50"/>
        <v>F</v>
      </c>
      <c r="J1028" t="s">
        <v>157</v>
      </c>
      <c r="K1028" t="s">
        <v>104</v>
      </c>
      <c r="L1028" t="s">
        <v>25</v>
      </c>
      <c r="M1028" t="s">
        <v>41</v>
      </c>
      <c r="N1028">
        <v>1</v>
      </c>
      <c r="O1028" t="s">
        <v>158</v>
      </c>
      <c r="P1028" t="s">
        <v>159</v>
      </c>
      <c r="Q1028" t="s">
        <v>28</v>
      </c>
      <c r="R1028" t="s">
        <v>28</v>
      </c>
      <c r="S1028" t="s">
        <v>28</v>
      </c>
      <c r="T1028" t="s">
        <v>28</v>
      </c>
      <c r="U1028" t="s">
        <v>28</v>
      </c>
      <c r="V1028" t="s">
        <v>28</v>
      </c>
      <c r="W1028">
        <v>3</v>
      </c>
      <c r="X1028" t="s">
        <v>155</v>
      </c>
    </row>
    <row r="1029" spans="1:24" x14ac:dyDescent="0.2">
      <c r="A1029" t="str">
        <f t="shared" si="48"/>
        <v>sample_novaseq-16S-E-F08-L3_SICap-P20-F8-P1D14-RP3-YCFAG-C4R2-noBile-rep1-day14-repassage3</v>
      </c>
      <c r="B1029" s="1" t="s">
        <v>625</v>
      </c>
      <c r="C1029" s="3" t="s">
        <v>1201</v>
      </c>
      <c r="D1029" s="3" t="s">
        <v>1328</v>
      </c>
      <c r="E1029" t="s">
        <v>20</v>
      </c>
      <c r="F1029" t="s">
        <v>156</v>
      </c>
      <c r="G1029" t="s">
        <v>111</v>
      </c>
      <c r="H1029" t="str">
        <f t="shared" si="49"/>
        <v>08</v>
      </c>
      <c r="I1029" t="str">
        <f t="shared" si="50"/>
        <v>F</v>
      </c>
      <c r="J1029" t="s">
        <v>157</v>
      </c>
      <c r="K1029" t="s">
        <v>104</v>
      </c>
      <c r="L1029" t="s">
        <v>25</v>
      </c>
      <c r="M1029" t="s">
        <v>43</v>
      </c>
      <c r="N1029">
        <v>1</v>
      </c>
      <c r="O1029" t="s">
        <v>158</v>
      </c>
      <c r="P1029" t="s">
        <v>159</v>
      </c>
      <c r="Q1029" t="s">
        <v>28</v>
      </c>
      <c r="R1029" t="s">
        <v>28</v>
      </c>
      <c r="S1029" t="s">
        <v>28</v>
      </c>
      <c r="T1029" t="s">
        <v>28</v>
      </c>
      <c r="U1029" t="s">
        <v>28</v>
      </c>
      <c r="V1029" t="s">
        <v>28</v>
      </c>
      <c r="W1029">
        <v>3</v>
      </c>
      <c r="X1029" t="s">
        <v>155</v>
      </c>
    </row>
    <row r="1030" spans="1:24" x14ac:dyDescent="0.2">
      <c r="A1030" t="str">
        <f t="shared" si="48"/>
        <v>sample_novaseq-16S-E-F09-L3_SICap-P20-F9-P1D14-RP3-YCFAG-S1R2-noBile-rep1-day14-repassage3</v>
      </c>
      <c r="B1030" s="1" t="s">
        <v>626</v>
      </c>
      <c r="C1030" s="3" t="s">
        <v>1202</v>
      </c>
      <c r="D1030" s="3" t="s">
        <v>1328</v>
      </c>
      <c r="E1030" t="s">
        <v>20</v>
      </c>
      <c r="F1030" t="s">
        <v>156</v>
      </c>
      <c r="G1030" t="s">
        <v>112</v>
      </c>
      <c r="H1030" t="str">
        <f t="shared" si="49"/>
        <v>09</v>
      </c>
      <c r="I1030" t="str">
        <f t="shared" si="50"/>
        <v>F</v>
      </c>
      <c r="J1030" t="s">
        <v>157</v>
      </c>
      <c r="K1030" t="s">
        <v>104</v>
      </c>
      <c r="L1030" t="s">
        <v>25</v>
      </c>
      <c r="M1030" t="s">
        <v>45</v>
      </c>
      <c r="N1030">
        <v>1</v>
      </c>
      <c r="O1030" t="s">
        <v>158</v>
      </c>
      <c r="P1030" t="s">
        <v>159</v>
      </c>
      <c r="Q1030" t="s">
        <v>28</v>
      </c>
      <c r="R1030" t="s">
        <v>28</v>
      </c>
      <c r="S1030" t="s">
        <v>28</v>
      </c>
      <c r="T1030" t="s">
        <v>28</v>
      </c>
      <c r="U1030" t="s">
        <v>28</v>
      </c>
      <c r="V1030" t="s">
        <v>28</v>
      </c>
      <c r="W1030">
        <v>3</v>
      </c>
      <c r="X1030" t="s">
        <v>155</v>
      </c>
    </row>
    <row r="1031" spans="1:24" x14ac:dyDescent="0.2">
      <c r="A1031" t="str">
        <f t="shared" si="48"/>
        <v>sample_novaseq-16S-E-F10-L3_SICap-P20-F10-P1D14-RP3-YCFAG-StoolPool-noBile-rep1-day14-repassage3</v>
      </c>
      <c r="B1031" s="1" t="s">
        <v>627</v>
      </c>
      <c r="C1031" s="3" t="s">
        <v>1203</v>
      </c>
      <c r="D1031" s="3" t="s">
        <v>1328</v>
      </c>
      <c r="E1031" t="s">
        <v>20</v>
      </c>
      <c r="F1031" t="s">
        <v>156</v>
      </c>
      <c r="G1031" t="s">
        <v>113</v>
      </c>
      <c r="H1031" t="str">
        <f t="shared" si="49"/>
        <v>10</v>
      </c>
      <c r="I1031" t="str">
        <f t="shared" si="50"/>
        <v>F</v>
      </c>
      <c r="J1031" t="s">
        <v>157</v>
      </c>
      <c r="K1031" t="s">
        <v>104</v>
      </c>
      <c r="L1031" t="s">
        <v>25</v>
      </c>
      <c r="M1031" t="s">
        <v>47</v>
      </c>
      <c r="N1031">
        <v>1</v>
      </c>
      <c r="O1031" t="s">
        <v>158</v>
      </c>
      <c r="P1031" t="s">
        <v>159</v>
      </c>
      <c r="Q1031" t="s">
        <v>28</v>
      </c>
      <c r="R1031" t="s">
        <v>28</v>
      </c>
      <c r="S1031" t="s">
        <v>28</v>
      </c>
      <c r="T1031" t="s">
        <v>28</v>
      </c>
      <c r="U1031" t="s">
        <v>28</v>
      </c>
      <c r="V1031" t="s">
        <v>28</v>
      </c>
      <c r="W1031">
        <v>3</v>
      </c>
      <c r="X1031" t="s">
        <v>155</v>
      </c>
    </row>
    <row r="1032" spans="1:24" x14ac:dyDescent="0.2">
      <c r="A1032" t="str">
        <f t="shared" si="48"/>
        <v>sample_novaseq-16S-E-F11-L3_SICap-P20-F11-P1D14-RP3-YCFAG-SIPool-noBile-rep1-day14-repassage3</v>
      </c>
      <c r="B1032" s="1" t="s">
        <v>628</v>
      </c>
      <c r="C1032" s="3" t="s">
        <v>1204</v>
      </c>
      <c r="D1032" s="3" t="s">
        <v>1328</v>
      </c>
      <c r="E1032" t="s">
        <v>20</v>
      </c>
      <c r="F1032" t="s">
        <v>156</v>
      </c>
      <c r="G1032" t="s">
        <v>114</v>
      </c>
      <c r="H1032" t="str">
        <f t="shared" si="49"/>
        <v>11</v>
      </c>
      <c r="I1032" t="str">
        <f t="shared" si="50"/>
        <v>F</v>
      </c>
      <c r="J1032" t="s">
        <v>157</v>
      </c>
      <c r="K1032" t="s">
        <v>104</v>
      </c>
      <c r="L1032" t="s">
        <v>25</v>
      </c>
      <c r="M1032" t="s">
        <v>49</v>
      </c>
      <c r="N1032">
        <v>1</v>
      </c>
      <c r="O1032" t="s">
        <v>158</v>
      </c>
      <c r="P1032" t="s">
        <v>159</v>
      </c>
      <c r="Q1032" t="s">
        <v>28</v>
      </c>
      <c r="R1032" t="s">
        <v>28</v>
      </c>
      <c r="S1032" t="s">
        <v>28</v>
      </c>
      <c r="T1032" t="s">
        <v>28</v>
      </c>
      <c r="U1032" t="s">
        <v>28</v>
      </c>
      <c r="V1032" t="s">
        <v>28</v>
      </c>
      <c r="W1032">
        <v>3</v>
      </c>
      <c r="X1032" t="s">
        <v>155</v>
      </c>
    </row>
    <row r="1033" spans="1:24" x14ac:dyDescent="0.2">
      <c r="A1033" t="str">
        <f t="shared" si="48"/>
        <v>sample_novaseq-16S-E-F12-L3_SICap-P20-F12-P1D14-RP3-YCFAG-Media-noBile-rep1-day14-repassage3</v>
      </c>
      <c r="B1033" s="1" t="s">
        <v>629</v>
      </c>
      <c r="C1033" s="3" t="s">
        <v>1205</v>
      </c>
      <c r="D1033" s="3" t="s">
        <v>1328</v>
      </c>
      <c r="E1033" t="s">
        <v>20</v>
      </c>
      <c r="F1033" t="s">
        <v>156</v>
      </c>
      <c r="G1033" t="s">
        <v>115</v>
      </c>
      <c r="H1033" t="str">
        <f t="shared" si="49"/>
        <v>12</v>
      </c>
      <c r="I1033" t="str">
        <f t="shared" si="50"/>
        <v>F</v>
      </c>
      <c r="J1033" t="s">
        <v>157</v>
      </c>
      <c r="K1033" t="s">
        <v>104</v>
      </c>
      <c r="L1033" t="s">
        <v>25</v>
      </c>
      <c r="M1033" t="s">
        <v>6</v>
      </c>
      <c r="N1033">
        <v>1</v>
      </c>
      <c r="O1033" t="s">
        <v>158</v>
      </c>
      <c r="P1033" t="s">
        <v>159</v>
      </c>
      <c r="Q1033" t="s">
        <v>28</v>
      </c>
      <c r="R1033" t="s">
        <v>28</v>
      </c>
      <c r="S1033" t="s">
        <v>28</v>
      </c>
      <c r="T1033" t="s">
        <v>28</v>
      </c>
      <c r="U1033" t="s">
        <v>28</v>
      </c>
      <c r="V1033" t="s">
        <v>28</v>
      </c>
      <c r="W1033">
        <v>3</v>
      </c>
      <c r="X1033" t="s">
        <v>155</v>
      </c>
    </row>
    <row r="1034" spans="1:24" x14ac:dyDescent="0.2">
      <c r="A1034" t="str">
        <f t="shared" si="48"/>
        <v>sample_novaseq-16S-E-G01-L3_SICap-P20-G1-P1D14-RP3-TYG-C1R1-noBile-rep1-day14-repassage3</v>
      </c>
      <c r="B1034" s="1" t="s">
        <v>630</v>
      </c>
      <c r="C1034" s="3" t="s">
        <v>1206</v>
      </c>
      <c r="D1034" s="3" t="s">
        <v>1328</v>
      </c>
      <c r="E1034" t="s">
        <v>20</v>
      </c>
      <c r="F1034" t="s">
        <v>156</v>
      </c>
      <c r="G1034" t="s">
        <v>116</v>
      </c>
      <c r="H1034" t="str">
        <f t="shared" si="49"/>
        <v>01</v>
      </c>
      <c r="I1034" t="str">
        <f t="shared" si="50"/>
        <v>G</v>
      </c>
      <c r="J1034" t="s">
        <v>157</v>
      </c>
      <c r="K1034" t="s">
        <v>117</v>
      </c>
      <c r="L1034" t="s">
        <v>25</v>
      </c>
      <c r="M1034" t="s">
        <v>26</v>
      </c>
      <c r="N1034">
        <v>1</v>
      </c>
      <c r="O1034" t="s">
        <v>158</v>
      </c>
      <c r="P1034" t="s">
        <v>159</v>
      </c>
      <c r="Q1034" t="s">
        <v>28</v>
      </c>
      <c r="R1034" t="s">
        <v>28</v>
      </c>
      <c r="S1034" t="s">
        <v>28</v>
      </c>
      <c r="T1034" t="s">
        <v>28</v>
      </c>
      <c r="U1034" t="s">
        <v>28</v>
      </c>
      <c r="V1034" t="s">
        <v>28</v>
      </c>
      <c r="W1034">
        <v>3</v>
      </c>
      <c r="X1034" t="s">
        <v>155</v>
      </c>
    </row>
    <row r="1035" spans="1:24" x14ac:dyDescent="0.2">
      <c r="A1035" t="str">
        <f t="shared" si="48"/>
        <v>sample_novaseq-16S-E-G02-L3_SICap-P20-G2-P1D14-RP3-TYG-C1R2-noBile-rep1-day14-repassage3</v>
      </c>
      <c r="B1035" s="1" t="s">
        <v>631</v>
      </c>
      <c r="C1035" s="3" t="s">
        <v>1207</v>
      </c>
      <c r="D1035" s="3" t="s">
        <v>1328</v>
      </c>
      <c r="E1035" t="s">
        <v>20</v>
      </c>
      <c r="F1035" t="s">
        <v>156</v>
      </c>
      <c r="G1035" t="s">
        <v>118</v>
      </c>
      <c r="H1035" t="str">
        <f t="shared" si="49"/>
        <v>02</v>
      </c>
      <c r="I1035" t="str">
        <f t="shared" si="50"/>
        <v>G</v>
      </c>
      <c r="J1035" t="s">
        <v>157</v>
      </c>
      <c r="K1035" t="s">
        <v>117</v>
      </c>
      <c r="L1035" t="s">
        <v>25</v>
      </c>
      <c r="M1035" t="s">
        <v>31</v>
      </c>
      <c r="N1035">
        <v>1</v>
      </c>
      <c r="O1035" t="s">
        <v>158</v>
      </c>
      <c r="P1035" t="s">
        <v>159</v>
      </c>
      <c r="Q1035" t="s">
        <v>28</v>
      </c>
      <c r="R1035" t="s">
        <v>28</v>
      </c>
      <c r="S1035" t="s">
        <v>28</v>
      </c>
      <c r="T1035" t="s">
        <v>28</v>
      </c>
      <c r="U1035" t="s">
        <v>28</v>
      </c>
      <c r="V1035" t="s">
        <v>28</v>
      </c>
      <c r="W1035">
        <v>3</v>
      </c>
      <c r="X1035" t="s">
        <v>155</v>
      </c>
    </row>
    <row r="1036" spans="1:24" x14ac:dyDescent="0.2">
      <c r="A1036" t="str">
        <f t="shared" si="48"/>
        <v>sample_novaseq-16S-E-G03-L3_SICap-P20-G3-P1D14-RP3-TYG-C2R1-noBile-rep1-day14-repassage3</v>
      </c>
      <c r="B1036" s="1" t="s">
        <v>632</v>
      </c>
      <c r="C1036" s="3" t="s">
        <v>1208</v>
      </c>
      <c r="D1036" s="3" t="s">
        <v>1328</v>
      </c>
      <c r="E1036" t="s">
        <v>20</v>
      </c>
      <c r="F1036" t="s">
        <v>156</v>
      </c>
      <c r="G1036" t="s">
        <v>119</v>
      </c>
      <c r="H1036" t="str">
        <f t="shared" si="49"/>
        <v>03</v>
      </c>
      <c r="I1036" t="str">
        <f t="shared" si="50"/>
        <v>G</v>
      </c>
      <c r="J1036" t="s">
        <v>157</v>
      </c>
      <c r="K1036" t="s">
        <v>117</v>
      </c>
      <c r="L1036" t="s">
        <v>25</v>
      </c>
      <c r="M1036" t="s">
        <v>33</v>
      </c>
      <c r="N1036">
        <v>1</v>
      </c>
      <c r="O1036" t="s">
        <v>158</v>
      </c>
      <c r="P1036" t="s">
        <v>159</v>
      </c>
      <c r="Q1036" t="s">
        <v>28</v>
      </c>
      <c r="R1036" t="s">
        <v>28</v>
      </c>
      <c r="S1036" t="s">
        <v>28</v>
      </c>
      <c r="T1036" t="s">
        <v>28</v>
      </c>
      <c r="U1036" t="s">
        <v>28</v>
      </c>
      <c r="V1036" t="s">
        <v>28</v>
      </c>
      <c r="W1036">
        <v>3</v>
      </c>
      <c r="X1036" t="s">
        <v>155</v>
      </c>
    </row>
    <row r="1037" spans="1:24" x14ac:dyDescent="0.2">
      <c r="A1037" t="str">
        <f t="shared" si="48"/>
        <v>sample_novaseq-16S-E-G04-L3_SICap-P20-G4-P1D14-RP3-TYG-C2R2-noBile-rep1-day14-repassage3</v>
      </c>
      <c r="B1037" s="1" t="s">
        <v>633</v>
      </c>
      <c r="C1037" s="3" t="s">
        <v>1209</v>
      </c>
      <c r="D1037" s="3" t="s">
        <v>1328</v>
      </c>
      <c r="E1037" t="s">
        <v>20</v>
      </c>
      <c r="F1037" t="s">
        <v>156</v>
      </c>
      <c r="G1037" t="s">
        <v>120</v>
      </c>
      <c r="H1037" t="str">
        <f t="shared" si="49"/>
        <v>04</v>
      </c>
      <c r="I1037" t="str">
        <f t="shared" si="50"/>
        <v>G</v>
      </c>
      <c r="J1037" t="s">
        <v>157</v>
      </c>
      <c r="K1037" t="s">
        <v>117</v>
      </c>
      <c r="L1037" t="s">
        <v>25</v>
      </c>
      <c r="M1037" t="s">
        <v>35</v>
      </c>
      <c r="N1037">
        <v>1</v>
      </c>
      <c r="O1037" t="s">
        <v>158</v>
      </c>
      <c r="P1037" t="s">
        <v>159</v>
      </c>
      <c r="Q1037" t="s">
        <v>28</v>
      </c>
      <c r="R1037" t="s">
        <v>28</v>
      </c>
      <c r="S1037" t="s">
        <v>28</v>
      </c>
      <c r="T1037" t="s">
        <v>28</v>
      </c>
      <c r="U1037" t="s">
        <v>28</v>
      </c>
      <c r="V1037" t="s">
        <v>28</v>
      </c>
      <c r="W1037">
        <v>3</v>
      </c>
      <c r="X1037" t="s">
        <v>155</v>
      </c>
    </row>
    <row r="1038" spans="1:24" x14ac:dyDescent="0.2">
      <c r="A1038" t="str">
        <f t="shared" si="48"/>
        <v>sample_novaseq-16S-E-G05-L3_SICap-P20-G5-P1D14-RP3-TYG-C3R1-noBile-rep1-day14-repassage3</v>
      </c>
      <c r="B1038" s="1" t="s">
        <v>634</v>
      </c>
      <c r="C1038" s="3" t="s">
        <v>1210</v>
      </c>
      <c r="D1038" s="3" t="s">
        <v>1328</v>
      </c>
      <c r="E1038" t="s">
        <v>20</v>
      </c>
      <c r="F1038" t="s">
        <v>156</v>
      </c>
      <c r="G1038" t="s">
        <v>121</v>
      </c>
      <c r="H1038" t="str">
        <f t="shared" si="49"/>
        <v>05</v>
      </c>
      <c r="I1038" t="str">
        <f t="shared" si="50"/>
        <v>G</v>
      </c>
      <c r="J1038" t="s">
        <v>157</v>
      </c>
      <c r="K1038" t="s">
        <v>117</v>
      </c>
      <c r="L1038" t="s">
        <v>25</v>
      </c>
      <c r="M1038" t="s">
        <v>37</v>
      </c>
      <c r="N1038">
        <v>1</v>
      </c>
      <c r="O1038" t="s">
        <v>158</v>
      </c>
      <c r="P1038" t="s">
        <v>159</v>
      </c>
      <c r="Q1038" t="s">
        <v>28</v>
      </c>
      <c r="R1038" t="s">
        <v>28</v>
      </c>
      <c r="S1038" t="s">
        <v>28</v>
      </c>
      <c r="T1038" t="s">
        <v>28</v>
      </c>
      <c r="U1038" t="s">
        <v>28</v>
      </c>
      <c r="V1038" t="s">
        <v>28</v>
      </c>
      <c r="W1038">
        <v>3</v>
      </c>
      <c r="X1038" t="s">
        <v>155</v>
      </c>
    </row>
    <row r="1039" spans="1:24" x14ac:dyDescent="0.2">
      <c r="A1039" t="str">
        <f t="shared" si="48"/>
        <v>sample_novaseq-16S-E-G06-L3_SICap-P20-G6-P1D14-RP3-TYG-C3R2-noBile-rep1-day14-repassage3</v>
      </c>
      <c r="B1039" s="1" t="s">
        <v>635</v>
      </c>
      <c r="C1039" s="3" t="s">
        <v>1211</v>
      </c>
      <c r="D1039" s="3" t="s">
        <v>1328</v>
      </c>
      <c r="E1039" t="s">
        <v>20</v>
      </c>
      <c r="F1039" t="s">
        <v>156</v>
      </c>
      <c r="G1039" t="s">
        <v>122</v>
      </c>
      <c r="H1039" t="str">
        <f t="shared" si="49"/>
        <v>06</v>
      </c>
      <c r="I1039" t="str">
        <f t="shared" si="50"/>
        <v>G</v>
      </c>
      <c r="J1039" t="s">
        <v>157</v>
      </c>
      <c r="K1039" t="s">
        <v>117</v>
      </c>
      <c r="L1039" t="s">
        <v>25</v>
      </c>
      <c r="M1039" t="s">
        <v>39</v>
      </c>
      <c r="N1039">
        <v>1</v>
      </c>
      <c r="O1039" t="s">
        <v>158</v>
      </c>
      <c r="P1039" t="s">
        <v>159</v>
      </c>
      <c r="Q1039" t="s">
        <v>28</v>
      </c>
      <c r="R1039" t="s">
        <v>28</v>
      </c>
      <c r="S1039" t="s">
        <v>28</v>
      </c>
      <c r="T1039" t="s">
        <v>28</v>
      </c>
      <c r="U1039" t="s">
        <v>28</v>
      </c>
      <c r="V1039" t="s">
        <v>28</v>
      </c>
      <c r="W1039">
        <v>3</v>
      </c>
      <c r="X1039" t="s">
        <v>155</v>
      </c>
    </row>
    <row r="1040" spans="1:24" x14ac:dyDescent="0.2">
      <c r="A1040" t="str">
        <f t="shared" si="48"/>
        <v>sample_novaseq-16S-E-G07-L3_SICap-P20-G7-P1D14-RP3-TYG-C4R1-noBile-rep1-day14-repassage3</v>
      </c>
      <c r="B1040" s="1" t="s">
        <v>636</v>
      </c>
      <c r="C1040" s="3" t="s">
        <v>1212</v>
      </c>
      <c r="D1040" s="3" t="s">
        <v>1328</v>
      </c>
      <c r="E1040" t="s">
        <v>20</v>
      </c>
      <c r="F1040" t="s">
        <v>156</v>
      </c>
      <c r="G1040" t="s">
        <v>123</v>
      </c>
      <c r="H1040" t="str">
        <f t="shared" si="49"/>
        <v>07</v>
      </c>
      <c r="I1040" t="str">
        <f t="shared" si="50"/>
        <v>G</v>
      </c>
      <c r="J1040" t="s">
        <v>157</v>
      </c>
      <c r="K1040" t="s">
        <v>117</v>
      </c>
      <c r="L1040" t="s">
        <v>25</v>
      </c>
      <c r="M1040" t="s">
        <v>41</v>
      </c>
      <c r="N1040">
        <v>1</v>
      </c>
      <c r="O1040" t="s">
        <v>158</v>
      </c>
      <c r="P1040" t="s">
        <v>159</v>
      </c>
      <c r="Q1040" t="s">
        <v>28</v>
      </c>
      <c r="R1040" t="s">
        <v>28</v>
      </c>
      <c r="S1040" t="s">
        <v>28</v>
      </c>
      <c r="T1040" t="s">
        <v>28</v>
      </c>
      <c r="U1040" t="s">
        <v>28</v>
      </c>
      <c r="V1040" t="s">
        <v>28</v>
      </c>
      <c r="W1040">
        <v>3</v>
      </c>
      <c r="X1040" t="s">
        <v>155</v>
      </c>
    </row>
    <row r="1041" spans="1:24" x14ac:dyDescent="0.2">
      <c r="A1041" t="str">
        <f t="shared" si="48"/>
        <v>sample_novaseq-16S-E-G08-L3_SICap-P20-G8-P1D14-RP3-TYG-C4R2-noBile-rep1-day14-repassage3</v>
      </c>
      <c r="B1041" s="1" t="s">
        <v>637</v>
      </c>
      <c r="C1041" s="3" t="s">
        <v>1213</v>
      </c>
      <c r="D1041" s="3" t="s">
        <v>1328</v>
      </c>
      <c r="E1041" t="s">
        <v>20</v>
      </c>
      <c r="F1041" t="s">
        <v>156</v>
      </c>
      <c r="G1041" t="s">
        <v>124</v>
      </c>
      <c r="H1041" t="str">
        <f t="shared" si="49"/>
        <v>08</v>
      </c>
      <c r="I1041" t="str">
        <f t="shared" si="50"/>
        <v>G</v>
      </c>
      <c r="J1041" t="s">
        <v>157</v>
      </c>
      <c r="K1041" t="s">
        <v>117</v>
      </c>
      <c r="L1041" t="s">
        <v>25</v>
      </c>
      <c r="M1041" t="s">
        <v>43</v>
      </c>
      <c r="N1041">
        <v>1</v>
      </c>
      <c r="O1041" t="s">
        <v>158</v>
      </c>
      <c r="P1041" t="s">
        <v>159</v>
      </c>
      <c r="Q1041" t="s">
        <v>28</v>
      </c>
      <c r="R1041" t="s">
        <v>28</v>
      </c>
      <c r="S1041" t="s">
        <v>28</v>
      </c>
      <c r="T1041" t="s">
        <v>28</v>
      </c>
      <c r="U1041" t="s">
        <v>28</v>
      </c>
      <c r="V1041" t="s">
        <v>28</v>
      </c>
      <c r="W1041">
        <v>3</v>
      </c>
      <c r="X1041" t="s">
        <v>155</v>
      </c>
    </row>
    <row r="1042" spans="1:24" x14ac:dyDescent="0.2">
      <c r="A1042" t="str">
        <f t="shared" si="48"/>
        <v>sample_novaseq-16S-E-G09-L3_SICap-P20-G9-P1D14-RP3-TYG-S1R2-noBile-rep1-day14-repassage3</v>
      </c>
      <c r="B1042" s="1" t="s">
        <v>638</v>
      </c>
      <c r="C1042" s="3" t="s">
        <v>1214</v>
      </c>
      <c r="D1042" s="3" t="s">
        <v>1328</v>
      </c>
      <c r="E1042" t="s">
        <v>20</v>
      </c>
      <c r="F1042" t="s">
        <v>156</v>
      </c>
      <c r="G1042" t="s">
        <v>125</v>
      </c>
      <c r="H1042" t="str">
        <f t="shared" si="49"/>
        <v>09</v>
      </c>
      <c r="I1042" t="str">
        <f t="shared" si="50"/>
        <v>G</v>
      </c>
      <c r="J1042" t="s">
        <v>157</v>
      </c>
      <c r="K1042" t="s">
        <v>117</v>
      </c>
      <c r="L1042" t="s">
        <v>25</v>
      </c>
      <c r="M1042" t="s">
        <v>45</v>
      </c>
      <c r="N1042">
        <v>1</v>
      </c>
      <c r="O1042" t="s">
        <v>158</v>
      </c>
      <c r="P1042" t="s">
        <v>159</v>
      </c>
      <c r="Q1042" t="s">
        <v>28</v>
      </c>
      <c r="R1042" t="s">
        <v>28</v>
      </c>
      <c r="S1042" t="s">
        <v>28</v>
      </c>
      <c r="T1042" t="s">
        <v>28</v>
      </c>
      <c r="U1042" t="s">
        <v>28</v>
      </c>
      <c r="V1042" t="s">
        <v>28</v>
      </c>
      <c r="W1042">
        <v>3</v>
      </c>
      <c r="X1042" t="s">
        <v>155</v>
      </c>
    </row>
    <row r="1043" spans="1:24" x14ac:dyDescent="0.2">
      <c r="A1043" t="str">
        <f t="shared" si="48"/>
        <v>sample_novaseq-16S-E-G10-L3_SICap-P20-G10-P1D14-RP3-TYG-StoolPool-noBile-rep1-day14-repassage3</v>
      </c>
      <c r="B1043" s="1" t="s">
        <v>639</v>
      </c>
      <c r="C1043" s="3" t="s">
        <v>1215</v>
      </c>
      <c r="D1043" s="3" t="s">
        <v>1328</v>
      </c>
      <c r="E1043" t="s">
        <v>20</v>
      </c>
      <c r="F1043" t="s">
        <v>156</v>
      </c>
      <c r="G1043" t="s">
        <v>126</v>
      </c>
      <c r="H1043" t="str">
        <f t="shared" si="49"/>
        <v>10</v>
      </c>
      <c r="I1043" t="str">
        <f t="shared" si="50"/>
        <v>G</v>
      </c>
      <c r="J1043" t="s">
        <v>157</v>
      </c>
      <c r="K1043" t="s">
        <v>117</v>
      </c>
      <c r="L1043" t="s">
        <v>25</v>
      </c>
      <c r="M1043" t="s">
        <v>47</v>
      </c>
      <c r="N1043">
        <v>1</v>
      </c>
      <c r="O1043" t="s">
        <v>158</v>
      </c>
      <c r="P1043" t="s">
        <v>159</v>
      </c>
      <c r="Q1043" t="s">
        <v>28</v>
      </c>
      <c r="R1043" t="s">
        <v>28</v>
      </c>
      <c r="S1043" t="s">
        <v>28</v>
      </c>
      <c r="T1043" t="s">
        <v>28</v>
      </c>
      <c r="U1043" t="s">
        <v>28</v>
      </c>
      <c r="V1043" t="s">
        <v>28</v>
      </c>
      <c r="W1043">
        <v>3</v>
      </c>
      <c r="X1043" t="s">
        <v>155</v>
      </c>
    </row>
    <row r="1044" spans="1:24" x14ac:dyDescent="0.2">
      <c r="A1044" t="str">
        <f t="shared" si="48"/>
        <v>sample_novaseq-16S-E-G11-L3_SICap-P20-G11-P1D14-RP3-TYG-SIPool-noBile-rep1-day14-repassage3</v>
      </c>
      <c r="B1044" s="1" t="s">
        <v>640</v>
      </c>
      <c r="C1044" s="3" t="s">
        <v>1216</v>
      </c>
      <c r="D1044" s="3" t="s">
        <v>1328</v>
      </c>
      <c r="E1044" t="s">
        <v>20</v>
      </c>
      <c r="F1044" t="s">
        <v>156</v>
      </c>
      <c r="G1044" t="s">
        <v>127</v>
      </c>
      <c r="H1044" t="str">
        <f t="shared" si="49"/>
        <v>11</v>
      </c>
      <c r="I1044" t="str">
        <f t="shared" si="50"/>
        <v>G</v>
      </c>
      <c r="J1044" t="s">
        <v>157</v>
      </c>
      <c r="K1044" t="s">
        <v>117</v>
      </c>
      <c r="L1044" t="s">
        <v>25</v>
      </c>
      <c r="M1044" t="s">
        <v>49</v>
      </c>
      <c r="N1044">
        <v>1</v>
      </c>
      <c r="O1044" t="s">
        <v>158</v>
      </c>
      <c r="P1044" t="s">
        <v>159</v>
      </c>
      <c r="Q1044" t="s">
        <v>28</v>
      </c>
      <c r="R1044" t="s">
        <v>28</v>
      </c>
      <c r="S1044" t="s">
        <v>28</v>
      </c>
      <c r="T1044" t="s">
        <v>28</v>
      </c>
      <c r="U1044" t="s">
        <v>28</v>
      </c>
      <c r="V1044" t="s">
        <v>28</v>
      </c>
      <c r="W1044">
        <v>3</v>
      </c>
      <c r="X1044" t="s">
        <v>155</v>
      </c>
    </row>
    <row r="1045" spans="1:24" x14ac:dyDescent="0.2">
      <c r="A1045" t="str">
        <f t="shared" si="48"/>
        <v>sample_novaseq-16S-E-G12-L3_SICap-P20-G12-P1D14-RP3-TYG-Media-noBile-rep1-day14-repassage3</v>
      </c>
      <c r="B1045" s="1" t="s">
        <v>641</v>
      </c>
      <c r="C1045" s="3" t="s">
        <v>1217</v>
      </c>
      <c r="D1045" s="3" t="s">
        <v>1328</v>
      </c>
      <c r="E1045" t="s">
        <v>20</v>
      </c>
      <c r="F1045" t="s">
        <v>156</v>
      </c>
      <c r="G1045" t="s">
        <v>128</v>
      </c>
      <c r="H1045" t="str">
        <f t="shared" si="49"/>
        <v>12</v>
      </c>
      <c r="I1045" t="str">
        <f t="shared" si="50"/>
        <v>G</v>
      </c>
      <c r="J1045" t="s">
        <v>157</v>
      </c>
      <c r="K1045" t="s">
        <v>117</v>
      </c>
      <c r="L1045" t="s">
        <v>25</v>
      </c>
      <c r="M1045" t="s">
        <v>6</v>
      </c>
      <c r="N1045">
        <v>1</v>
      </c>
      <c r="O1045" t="s">
        <v>158</v>
      </c>
      <c r="P1045" t="s">
        <v>159</v>
      </c>
      <c r="Q1045" t="s">
        <v>28</v>
      </c>
      <c r="R1045" t="s">
        <v>28</v>
      </c>
      <c r="S1045" t="s">
        <v>28</v>
      </c>
      <c r="T1045" t="s">
        <v>28</v>
      </c>
      <c r="U1045" t="s">
        <v>28</v>
      </c>
      <c r="V1045" t="s">
        <v>28</v>
      </c>
      <c r="W1045">
        <v>3</v>
      </c>
      <c r="X1045" t="s">
        <v>155</v>
      </c>
    </row>
    <row r="1046" spans="1:24" x14ac:dyDescent="0.2">
      <c r="A1046" t="str">
        <f t="shared" si="48"/>
        <v>sample_novaseq-16S-E-H01-L3_SICap-P20-H1-P1D14-RP3-RCM-C1R1-noBile-rep1-day14-repassage3</v>
      </c>
      <c r="B1046" s="1" t="s">
        <v>642</v>
      </c>
      <c r="C1046" s="3" t="s">
        <v>1218</v>
      </c>
      <c r="D1046" s="3" t="s">
        <v>1328</v>
      </c>
      <c r="E1046" t="s">
        <v>20</v>
      </c>
      <c r="F1046" t="s">
        <v>156</v>
      </c>
      <c r="G1046" t="s">
        <v>129</v>
      </c>
      <c r="H1046" t="str">
        <f t="shared" si="49"/>
        <v>01</v>
      </c>
      <c r="I1046" t="str">
        <f t="shared" si="50"/>
        <v>H</v>
      </c>
      <c r="J1046" t="s">
        <v>157</v>
      </c>
      <c r="K1046" t="s">
        <v>130</v>
      </c>
      <c r="L1046" t="s">
        <v>25</v>
      </c>
      <c r="M1046" t="s">
        <v>26</v>
      </c>
      <c r="N1046">
        <v>1</v>
      </c>
      <c r="O1046" t="s">
        <v>158</v>
      </c>
      <c r="P1046" t="s">
        <v>159</v>
      </c>
      <c r="Q1046" t="s">
        <v>28</v>
      </c>
      <c r="R1046" t="s">
        <v>28</v>
      </c>
      <c r="S1046" t="s">
        <v>28</v>
      </c>
      <c r="T1046" t="s">
        <v>28</v>
      </c>
      <c r="U1046" t="s">
        <v>28</v>
      </c>
      <c r="V1046" t="s">
        <v>28</v>
      </c>
      <c r="W1046">
        <v>3</v>
      </c>
      <c r="X1046" t="s">
        <v>155</v>
      </c>
    </row>
    <row r="1047" spans="1:24" x14ac:dyDescent="0.2">
      <c r="A1047" t="str">
        <f t="shared" si="48"/>
        <v>sample_novaseq-16S-E-H02-L3_SICap-P20-H2-P1D14-RP3-RCM-C1R2-noBile-rep1-day14-repassage3</v>
      </c>
      <c r="B1047" s="1" t="s">
        <v>643</v>
      </c>
      <c r="C1047" s="3" t="s">
        <v>1219</v>
      </c>
      <c r="D1047" s="3" t="s">
        <v>1328</v>
      </c>
      <c r="E1047" t="s">
        <v>20</v>
      </c>
      <c r="F1047" t="s">
        <v>156</v>
      </c>
      <c r="G1047" t="s">
        <v>131</v>
      </c>
      <c r="H1047" t="str">
        <f t="shared" si="49"/>
        <v>02</v>
      </c>
      <c r="I1047" t="str">
        <f t="shared" si="50"/>
        <v>H</v>
      </c>
      <c r="J1047" t="s">
        <v>157</v>
      </c>
      <c r="K1047" t="s">
        <v>130</v>
      </c>
      <c r="L1047" t="s">
        <v>25</v>
      </c>
      <c r="M1047" t="s">
        <v>31</v>
      </c>
      <c r="N1047">
        <v>1</v>
      </c>
      <c r="O1047" t="s">
        <v>158</v>
      </c>
      <c r="P1047" t="s">
        <v>159</v>
      </c>
      <c r="Q1047" t="s">
        <v>28</v>
      </c>
      <c r="R1047" t="s">
        <v>28</v>
      </c>
      <c r="S1047" t="s">
        <v>28</v>
      </c>
      <c r="T1047" t="s">
        <v>28</v>
      </c>
      <c r="U1047" t="s">
        <v>28</v>
      </c>
      <c r="V1047" t="s">
        <v>28</v>
      </c>
      <c r="W1047">
        <v>3</v>
      </c>
      <c r="X1047" t="s">
        <v>155</v>
      </c>
    </row>
    <row r="1048" spans="1:24" x14ac:dyDescent="0.2">
      <c r="A1048" t="str">
        <f t="shared" si="48"/>
        <v>sample_novaseq-16S-E-H03-L3_SICap-P20-H3-P1D14-RP3-RCM-C2R1-noBile-rep1-day14-repassage3</v>
      </c>
      <c r="B1048" s="1" t="s">
        <v>644</v>
      </c>
      <c r="C1048" s="3" t="s">
        <v>1220</v>
      </c>
      <c r="D1048" s="3" t="s">
        <v>1328</v>
      </c>
      <c r="E1048" t="s">
        <v>20</v>
      </c>
      <c r="F1048" t="s">
        <v>156</v>
      </c>
      <c r="G1048" t="s">
        <v>132</v>
      </c>
      <c r="H1048" t="str">
        <f t="shared" si="49"/>
        <v>03</v>
      </c>
      <c r="I1048" t="str">
        <f t="shared" si="50"/>
        <v>H</v>
      </c>
      <c r="J1048" t="s">
        <v>157</v>
      </c>
      <c r="K1048" t="s">
        <v>130</v>
      </c>
      <c r="L1048" t="s">
        <v>25</v>
      </c>
      <c r="M1048" t="s">
        <v>33</v>
      </c>
      <c r="N1048">
        <v>1</v>
      </c>
      <c r="O1048" t="s">
        <v>158</v>
      </c>
      <c r="P1048" t="s">
        <v>159</v>
      </c>
      <c r="Q1048" t="s">
        <v>28</v>
      </c>
      <c r="R1048" t="s">
        <v>28</v>
      </c>
      <c r="S1048" t="s">
        <v>28</v>
      </c>
      <c r="T1048" t="s">
        <v>28</v>
      </c>
      <c r="U1048" t="s">
        <v>28</v>
      </c>
      <c r="V1048" t="s">
        <v>28</v>
      </c>
      <c r="W1048">
        <v>3</v>
      </c>
      <c r="X1048" t="s">
        <v>155</v>
      </c>
    </row>
    <row r="1049" spans="1:24" x14ac:dyDescent="0.2">
      <c r="A1049" t="str">
        <f t="shared" si="48"/>
        <v>sample_novaseq-16S-E-H04-L3_SICap-P20-H4-P1D14-RP3-RCM-C2R2-noBile-rep1-day14-repassage3</v>
      </c>
      <c r="B1049" s="1" t="s">
        <v>645</v>
      </c>
      <c r="C1049" s="3" t="s">
        <v>1221</v>
      </c>
      <c r="D1049" s="3" t="s">
        <v>1328</v>
      </c>
      <c r="E1049" t="s">
        <v>20</v>
      </c>
      <c r="F1049" t="s">
        <v>156</v>
      </c>
      <c r="G1049" t="s">
        <v>133</v>
      </c>
      <c r="H1049" t="str">
        <f t="shared" si="49"/>
        <v>04</v>
      </c>
      <c r="I1049" t="str">
        <f t="shared" si="50"/>
        <v>H</v>
      </c>
      <c r="J1049" t="s">
        <v>157</v>
      </c>
      <c r="K1049" t="s">
        <v>130</v>
      </c>
      <c r="L1049" t="s">
        <v>25</v>
      </c>
      <c r="M1049" t="s">
        <v>35</v>
      </c>
      <c r="N1049">
        <v>1</v>
      </c>
      <c r="O1049" t="s">
        <v>158</v>
      </c>
      <c r="P1049" t="s">
        <v>159</v>
      </c>
      <c r="Q1049" t="s">
        <v>28</v>
      </c>
      <c r="R1049" t="s">
        <v>28</v>
      </c>
      <c r="S1049" t="s">
        <v>28</v>
      </c>
      <c r="T1049" t="s">
        <v>28</v>
      </c>
      <c r="U1049" t="s">
        <v>28</v>
      </c>
      <c r="V1049" t="s">
        <v>28</v>
      </c>
      <c r="W1049">
        <v>3</v>
      </c>
      <c r="X1049" t="s">
        <v>155</v>
      </c>
    </row>
    <row r="1050" spans="1:24" x14ac:dyDescent="0.2">
      <c r="A1050" t="str">
        <f t="shared" si="48"/>
        <v>sample_novaseq-16S-E-H05-L3_SICap-P20-H5-P1D14-RP3-RCM-C3R1-noBile-rep1-day14-repassage3</v>
      </c>
      <c r="B1050" s="1" t="s">
        <v>646</v>
      </c>
      <c r="C1050" s="3" t="s">
        <v>1222</v>
      </c>
      <c r="D1050" s="3" t="s">
        <v>1328</v>
      </c>
      <c r="E1050" t="s">
        <v>20</v>
      </c>
      <c r="F1050" t="s">
        <v>156</v>
      </c>
      <c r="G1050" t="s">
        <v>134</v>
      </c>
      <c r="H1050" t="str">
        <f t="shared" si="49"/>
        <v>05</v>
      </c>
      <c r="I1050" t="str">
        <f t="shared" si="50"/>
        <v>H</v>
      </c>
      <c r="J1050" t="s">
        <v>157</v>
      </c>
      <c r="K1050" t="s">
        <v>130</v>
      </c>
      <c r="L1050" t="s">
        <v>25</v>
      </c>
      <c r="M1050" t="s">
        <v>37</v>
      </c>
      <c r="N1050">
        <v>1</v>
      </c>
      <c r="O1050" t="s">
        <v>158</v>
      </c>
      <c r="P1050" t="s">
        <v>159</v>
      </c>
      <c r="Q1050" t="s">
        <v>28</v>
      </c>
      <c r="R1050" t="s">
        <v>28</v>
      </c>
      <c r="S1050" t="s">
        <v>28</v>
      </c>
      <c r="T1050" t="s">
        <v>28</v>
      </c>
      <c r="U1050" t="s">
        <v>28</v>
      </c>
      <c r="V1050" t="s">
        <v>28</v>
      </c>
      <c r="W1050">
        <v>3</v>
      </c>
      <c r="X1050" t="s">
        <v>155</v>
      </c>
    </row>
    <row r="1051" spans="1:24" x14ac:dyDescent="0.2">
      <c r="A1051" t="str">
        <f t="shared" si="48"/>
        <v>sample_novaseq-16S-E-H06-L3_SICap-P20-H6-P1D14-RP3-RCM-C3R2-noBile-rep1-day14-repassage3</v>
      </c>
      <c r="B1051" s="1" t="s">
        <v>647</v>
      </c>
      <c r="C1051" s="3" t="s">
        <v>1223</v>
      </c>
      <c r="D1051" s="3" t="s">
        <v>1328</v>
      </c>
      <c r="E1051" t="s">
        <v>20</v>
      </c>
      <c r="F1051" t="s">
        <v>156</v>
      </c>
      <c r="G1051" t="s">
        <v>135</v>
      </c>
      <c r="H1051" t="str">
        <f t="shared" si="49"/>
        <v>06</v>
      </c>
      <c r="I1051" t="str">
        <f t="shared" si="50"/>
        <v>H</v>
      </c>
      <c r="J1051" t="s">
        <v>157</v>
      </c>
      <c r="K1051" t="s">
        <v>130</v>
      </c>
      <c r="L1051" t="s">
        <v>25</v>
      </c>
      <c r="M1051" t="s">
        <v>39</v>
      </c>
      <c r="N1051">
        <v>1</v>
      </c>
      <c r="O1051" t="s">
        <v>158</v>
      </c>
      <c r="P1051" t="s">
        <v>159</v>
      </c>
      <c r="Q1051" t="s">
        <v>28</v>
      </c>
      <c r="R1051" t="s">
        <v>28</v>
      </c>
      <c r="S1051" t="s">
        <v>28</v>
      </c>
      <c r="T1051" t="s">
        <v>28</v>
      </c>
      <c r="U1051" t="s">
        <v>28</v>
      </c>
      <c r="V1051" t="s">
        <v>28</v>
      </c>
      <c r="W1051">
        <v>3</v>
      </c>
      <c r="X1051" t="s">
        <v>155</v>
      </c>
    </row>
    <row r="1052" spans="1:24" x14ac:dyDescent="0.2">
      <c r="A1052" t="str">
        <f t="shared" si="48"/>
        <v>sample_novaseq-16S-E-H07-L3_SICap-P20-H7-P1D14-RP3-RCM-C4R1-noBile-rep1-day14-repassage3</v>
      </c>
      <c r="B1052" s="1" t="s">
        <v>648</v>
      </c>
      <c r="C1052" s="3" t="s">
        <v>1224</v>
      </c>
      <c r="D1052" s="3" t="s">
        <v>1328</v>
      </c>
      <c r="E1052" t="s">
        <v>20</v>
      </c>
      <c r="F1052" t="s">
        <v>156</v>
      </c>
      <c r="G1052" t="s">
        <v>136</v>
      </c>
      <c r="H1052" t="str">
        <f t="shared" si="49"/>
        <v>07</v>
      </c>
      <c r="I1052" t="str">
        <f t="shared" si="50"/>
        <v>H</v>
      </c>
      <c r="J1052" t="s">
        <v>157</v>
      </c>
      <c r="K1052" t="s">
        <v>130</v>
      </c>
      <c r="L1052" t="s">
        <v>25</v>
      </c>
      <c r="M1052" t="s">
        <v>41</v>
      </c>
      <c r="N1052">
        <v>1</v>
      </c>
      <c r="O1052" t="s">
        <v>158</v>
      </c>
      <c r="P1052" t="s">
        <v>159</v>
      </c>
      <c r="Q1052" t="s">
        <v>28</v>
      </c>
      <c r="R1052" t="s">
        <v>28</v>
      </c>
      <c r="S1052" t="s">
        <v>28</v>
      </c>
      <c r="T1052" t="s">
        <v>28</v>
      </c>
      <c r="U1052" t="s">
        <v>28</v>
      </c>
      <c r="V1052" t="s">
        <v>28</v>
      </c>
      <c r="W1052">
        <v>3</v>
      </c>
      <c r="X1052" t="s">
        <v>155</v>
      </c>
    </row>
    <row r="1053" spans="1:24" x14ac:dyDescent="0.2">
      <c r="A1053" t="str">
        <f t="shared" si="48"/>
        <v>sample_novaseq-16S-E-H08-L3_SICap-P20-H8-P1D14-RP3-RCM-C4R2-noBile-rep1-day14-repassage3</v>
      </c>
      <c r="B1053" s="1" t="s">
        <v>649</v>
      </c>
      <c r="C1053" s="3" t="s">
        <v>1225</v>
      </c>
      <c r="D1053" s="3" t="s">
        <v>1328</v>
      </c>
      <c r="E1053" t="s">
        <v>20</v>
      </c>
      <c r="F1053" t="s">
        <v>156</v>
      </c>
      <c r="G1053" t="s">
        <v>137</v>
      </c>
      <c r="H1053" t="str">
        <f t="shared" si="49"/>
        <v>08</v>
      </c>
      <c r="I1053" t="str">
        <f t="shared" si="50"/>
        <v>H</v>
      </c>
      <c r="J1053" t="s">
        <v>157</v>
      </c>
      <c r="K1053" t="s">
        <v>130</v>
      </c>
      <c r="L1053" t="s">
        <v>25</v>
      </c>
      <c r="M1053" t="s">
        <v>43</v>
      </c>
      <c r="N1053">
        <v>1</v>
      </c>
      <c r="O1053" t="s">
        <v>158</v>
      </c>
      <c r="P1053" t="s">
        <v>159</v>
      </c>
      <c r="Q1053" t="s">
        <v>28</v>
      </c>
      <c r="R1053" t="s">
        <v>28</v>
      </c>
      <c r="S1053" t="s">
        <v>28</v>
      </c>
      <c r="T1053" t="s">
        <v>28</v>
      </c>
      <c r="U1053" t="s">
        <v>28</v>
      </c>
      <c r="V1053" t="s">
        <v>28</v>
      </c>
      <c r="W1053">
        <v>3</v>
      </c>
      <c r="X1053" t="s">
        <v>155</v>
      </c>
    </row>
    <row r="1054" spans="1:24" x14ac:dyDescent="0.2">
      <c r="A1054" t="str">
        <f t="shared" si="48"/>
        <v>sample_novaseq-16S-E-H09-L3_SICap-P20-H9-P1D14-RP3-RCM-S1R2-noBile-rep1-day14-repassage3</v>
      </c>
      <c r="B1054" s="1" t="s">
        <v>650</v>
      </c>
      <c r="C1054" s="3" t="s">
        <v>1226</v>
      </c>
      <c r="D1054" s="3" t="s">
        <v>1328</v>
      </c>
      <c r="E1054" t="s">
        <v>20</v>
      </c>
      <c r="F1054" t="s">
        <v>156</v>
      </c>
      <c r="G1054" t="s">
        <v>138</v>
      </c>
      <c r="H1054" t="str">
        <f t="shared" si="49"/>
        <v>09</v>
      </c>
      <c r="I1054" t="str">
        <f t="shared" si="50"/>
        <v>H</v>
      </c>
      <c r="J1054" t="s">
        <v>157</v>
      </c>
      <c r="K1054" t="s">
        <v>130</v>
      </c>
      <c r="L1054" t="s">
        <v>25</v>
      </c>
      <c r="M1054" t="s">
        <v>45</v>
      </c>
      <c r="N1054">
        <v>1</v>
      </c>
      <c r="O1054" t="s">
        <v>158</v>
      </c>
      <c r="P1054" t="s">
        <v>159</v>
      </c>
      <c r="Q1054" t="s">
        <v>28</v>
      </c>
      <c r="R1054" t="s">
        <v>28</v>
      </c>
      <c r="S1054" t="s">
        <v>28</v>
      </c>
      <c r="T1054" t="s">
        <v>28</v>
      </c>
      <c r="U1054" t="s">
        <v>28</v>
      </c>
      <c r="V1054" t="s">
        <v>28</v>
      </c>
      <c r="W1054">
        <v>3</v>
      </c>
      <c r="X1054" t="s">
        <v>155</v>
      </c>
    </row>
    <row r="1055" spans="1:24" x14ac:dyDescent="0.2">
      <c r="A1055" t="str">
        <f t="shared" si="48"/>
        <v>sample_novaseq-16S-E-H10-L3_SICap-P20-H10-P1D14-RP3-RCM-StoolPool-noBile-rep1-day14-repassage3</v>
      </c>
      <c r="B1055" s="1" t="s">
        <v>651</v>
      </c>
      <c r="C1055" s="3" t="s">
        <v>1227</v>
      </c>
      <c r="D1055" s="3" t="s">
        <v>1328</v>
      </c>
      <c r="E1055" t="s">
        <v>20</v>
      </c>
      <c r="F1055" t="s">
        <v>156</v>
      </c>
      <c r="G1055" t="s">
        <v>139</v>
      </c>
      <c r="H1055" t="str">
        <f t="shared" si="49"/>
        <v>10</v>
      </c>
      <c r="I1055" t="str">
        <f t="shared" si="50"/>
        <v>H</v>
      </c>
      <c r="J1055" t="s">
        <v>157</v>
      </c>
      <c r="K1055" t="s">
        <v>130</v>
      </c>
      <c r="L1055" t="s">
        <v>25</v>
      </c>
      <c r="M1055" t="s">
        <v>47</v>
      </c>
      <c r="N1055">
        <v>1</v>
      </c>
      <c r="O1055" t="s">
        <v>158</v>
      </c>
      <c r="P1055" t="s">
        <v>159</v>
      </c>
      <c r="Q1055" t="s">
        <v>28</v>
      </c>
      <c r="R1055" t="s">
        <v>28</v>
      </c>
      <c r="S1055" t="s">
        <v>28</v>
      </c>
      <c r="T1055" t="s">
        <v>28</v>
      </c>
      <c r="U1055" t="s">
        <v>28</v>
      </c>
      <c r="V1055" t="s">
        <v>28</v>
      </c>
      <c r="W1055">
        <v>3</v>
      </c>
      <c r="X1055" t="s">
        <v>155</v>
      </c>
    </row>
    <row r="1056" spans="1:24" x14ac:dyDescent="0.2">
      <c r="A1056" t="str">
        <f t="shared" si="48"/>
        <v>sample_novaseq-16S-E-H11-L3_SICap-P20-H11-P1D14-RP3-RCM-SIPool-noBile-rep1-day14-repassage3</v>
      </c>
      <c r="B1056" s="1" t="s">
        <v>652</v>
      </c>
      <c r="C1056" s="3" t="s">
        <v>1228</v>
      </c>
      <c r="D1056" s="3" t="s">
        <v>1328</v>
      </c>
      <c r="E1056" t="s">
        <v>20</v>
      </c>
      <c r="F1056" t="s">
        <v>156</v>
      </c>
      <c r="G1056" t="s">
        <v>140</v>
      </c>
      <c r="H1056" t="str">
        <f t="shared" si="49"/>
        <v>11</v>
      </c>
      <c r="I1056" t="str">
        <f t="shared" si="50"/>
        <v>H</v>
      </c>
      <c r="J1056" t="s">
        <v>157</v>
      </c>
      <c r="K1056" t="s">
        <v>130</v>
      </c>
      <c r="L1056" t="s">
        <v>25</v>
      </c>
      <c r="M1056" t="s">
        <v>49</v>
      </c>
      <c r="N1056">
        <v>1</v>
      </c>
      <c r="O1056" t="s">
        <v>158</v>
      </c>
      <c r="P1056" t="s">
        <v>159</v>
      </c>
      <c r="Q1056" t="s">
        <v>28</v>
      </c>
      <c r="R1056" t="s">
        <v>28</v>
      </c>
      <c r="S1056" t="s">
        <v>28</v>
      </c>
      <c r="T1056" t="s">
        <v>28</v>
      </c>
      <c r="U1056" t="s">
        <v>28</v>
      </c>
      <c r="V1056" t="s">
        <v>28</v>
      </c>
      <c r="W1056">
        <v>3</v>
      </c>
      <c r="X1056" t="s">
        <v>155</v>
      </c>
    </row>
    <row r="1057" spans="1:24" x14ac:dyDescent="0.2">
      <c r="A1057" t="str">
        <f t="shared" si="48"/>
        <v>sample_novaseq-16S-E-H12-L3_SICap-P20-H12-P1D14-RP3-RCM-Media-noBile-rep1-day14-repassage3</v>
      </c>
      <c r="B1057" s="1" t="s">
        <v>653</v>
      </c>
      <c r="C1057" s="3" t="s">
        <v>1229</v>
      </c>
      <c r="D1057" s="3" t="s">
        <v>1328</v>
      </c>
      <c r="E1057" t="s">
        <v>20</v>
      </c>
      <c r="F1057" t="s">
        <v>156</v>
      </c>
      <c r="G1057" t="s">
        <v>141</v>
      </c>
      <c r="H1057" t="str">
        <f t="shared" si="49"/>
        <v>12</v>
      </c>
      <c r="I1057" t="str">
        <f t="shared" si="50"/>
        <v>H</v>
      </c>
      <c r="J1057" t="s">
        <v>157</v>
      </c>
      <c r="K1057" t="s">
        <v>130</v>
      </c>
      <c r="L1057" t="s">
        <v>25</v>
      </c>
      <c r="M1057" t="s">
        <v>6</v>
      </c>
      <c r="N1057">
        <v>1</v>
      </c>
      <c r="O1057" t="s">
        <v>158</v>
      </c>
      <c r="P1057" t="s">
        <v>159</v>
      </c>
      <c r="Q1057" t="s">
        <v>28</v>
      </c>
      <c r="R1057" t="s">
        <v>28</v>
      </c>
      <c r="S1057" t="s">
        <v>28</v>
      </c>
      <c r="T1057" t="s">
        <v>28</v>
      </c>
      <c r="U1057" t="s">
        <v>28</v>
      </c>
      <c r="V1057" t="s">
        <v>28</v>
      </c>
      <c r="W1057">
        <v>3</v>
      </c>
      <c r="X1057" t="s">
        <v>155</v>
      </c>
    </row>
    <row r="1058" spans="1:24" x14ac:dyDescent="0.2">
      <c r="A1058" t="str">
        <f t="shared" si="48"/>
        <v>sample_novaseq-16S-F-A01-L5_SICap-P22-A1-MouseStool-Feces-mouse-20231110-111-Blue-3</v>
      </c>
      <c r="B1058" s="1" t="s">
        <v>654</v>
      </c>
      <c r="C1058" s="3" t="s">
        <v>1230</v>
      </c>
      <c r="D1058" s="3" t="s">
        <v>1328</v>
      </c>
      <c r="E1058" t="s">
        <v>20</v>
      </c>
      <c r="F1058" t="s">
        <v>161</v>
      </c>
      <c r="G1058" t="s">
        <v>22</v>
      </c>
      <c r="H1058" t="str">
        <f t="shared" si="49"/>
        <v>01</v>
      </c>
      <c r="I1058" t="str">
        <f t="shared" si="50"/>
        <v>A</v>
      </c>
      <c r="J1058" t="s">
        <v>162</v>
      </c>
      <c r="K1058" t="s">
        <v>28</v>
      </c>
      <c r="L1058" t="s">
        <v>28</v>
      </c>
      <c r="M1058" t="s">
        <v>28</v>
      </c>
      <c r="N1058" t="s">
        <v>28</v>
      </c>
      <c r="O1058" t="s">
        <v>28</v>
      </c>
      <c r="P1058" t="s">
        <v>28</v>
      </c>
      <c r="Q1058" t="s">
        <v>47</v>
      </c>
      <c r="R1058" t="s">
        <v>163</v>
      </c>
      <c r="S1058">
        <v>111</v>
      </c>
      <c r="T1058" t="s">
        <v>164</v>
      </c>
      <c r="U1058">
        <v>20231110</v>
      </c>
      <c r="V1058">
        <v>1</v>
      </c>
      <c r="W1058">
        <v>5</v>
      </c>
      <c r="X1058" t="s">
        <v>160</v>
      </c>
    </row>
    <row r="1059" spans="1:24" x14ac:dyDescent="0.2">
      <c r="A1059" t="str">
        <f t="shared" si="48"/>
        <v>sample_novaseq-16S-F-A02-L5_SICap-P22-A2-MouseStool-Feces-mouse-20231110-111-Orange-3</v>
      </c>
      <c r="B1059" s="1" t="s">
        <v>655</v>
      </c>
      <c r="C1059" s="3" t="s">
        <v>1231</v>
      </c>
      <c r="D1059" s="3" t="s">
        <v>1328</v>
      </c>
      <c r="E1059" t="s">
        <v>20</v>
      </c>
      <c r="F1059" t="s">
        <v>161</v>
      </c>
      <c r="G1059" t="s">
        <v>30</v>
      </c>
      <c r="H1059" t="str">
        <f t="shared" si="49"/>
        <v>02</v>
      </c>
      <c r="I1059" t="str">
        <f t="shared" si="50"/>
        <v>A</v>
      </c>
      <c r="J1059" t="s">
        <v>162</v>
      </c>
      <c r="K1059" t="s">
        <v>28</v>
      </c>
      <c r="L1059" t="s">
        <v>28</v>
      </c>
      <c r="M1059" t="s">
        <v>28</v>
      </c>
      <c r="N1059" t="s">
        <v>28</v>
      </c>
      <c r="O1059" t="s">
        <v>28</v>
      </c>
      <c r="P1059" t="s">
        <v>28</v>
      </c>
      <c r="Q1059" t="s">
        <v>47</v>
      </c>
      <c r="R1059" t="s">
        <v>163</v>
      </c>
      <c r="S1059">
        <v>111</v>
      </c>
      <c r="T1059" t="s">
        <v>165</v>
      </c>
      <c r="U1059">
        <v>20231110</v>
      </c>
      <c r="V1059">
        <v>1</v>
      </c>
      <c r="W1059">
        <v>5</v>
      </c>
      <c r="X1059" t="s">
        <v>160</v>
      </c>
    </row>
    <row r="1060" spans="1:24" x14ac:dyDescent="0.2">
      <c r="A1060" t="str">
        <f t="shared" si="48"/>
        <v>sample_novaseq-16S-F-A03-L5_SICap-P22-A3-MouseStool-Feces-mouse-20231110-111-Clear-3</v>
      </c>
      <c r="B1060" s="1" t="s">
        <v>656</v>
      </c>
      <c r="C1060" s="3" t="s">
        <v>1232</v>
      </c>
      <c r="D1060" s="3" t="s">
        <v>1328</v>
      </c>
      <c r="E1060" t="s">
        <v>20</v>
      </c>
      <c r="F1060" t="s">
        <v>161</v>
      </c>
      <c r="G1060" t="s">
        <v>32</v>
      </c>
      <c r="H1060" t="str">
        <f t="shared" si="49"/>
        <v>03</v>
      </c>
      <c r="I1060" t="str">
        <f t="shared" si="50"/>
        <v>A</v>
      </c>
      <c r="J1060" t="s">
        <v>162</v>
      </c>
      <c r="K1060" t="s">
        <v>28</v>
      </c>
      <c r="L1060" t="s">
        <v>28</v>
      </c>
      <c r="M1060" t="s">
        <v>28</v>
      </c>
      <c r="N1060" t="s">
        <v>28</v>
      </c>
      <c r="O1060" t="s">
        <v>28</v>
      </c>
      <c r="P1060" t="s">
        <v>28</v>
      </c>
      <c r="Q1060" t="s">
        <v>47</v>
      </c>
      <c r="R1060" t="s">
        <v>163</v>
      </c>
      <c r="S1060">
        <v>111</v>
      </c>
      <c r="T1060" t="s">
        <v>166</v>
      </c>
      <c r="U1060">
        <v>20231110</v>
      </c>
      <c r="V1060">
        <v>1</v>
      </c>
      <c r="W1060">
        <v>5</v>
      </c>
      <c r="X1060" t="s">
        <v>160</v>
      </c>
    </row>
    <row r="1061" spans="1:24" x14ac:dyDescent="0.2">
      <c r="A1061" t="str">
        <f t="shared" si="48"/>
        <v>sample_novaseq-16S-F-A04-L5_SICap-P22-A4-MouseStool-Feces-mouse-20231110-111-Purple-1</v>
      </c>
      <c r="B1061" s="1" t="s">
        <v>657</v>
      </c>
      <c r="C1061" s="3" t="s">
        <v>1233</v>
      </c>
      <c r="D1061" s="3" t="s">
        <v>1328</v>
      </c>
      <c r="E1061" t="s">
        <v>20</v>
      </c>
      <c r="F1061" t="s">
        <v>161</v>
      </c>
      <c r="G1061" t="s">
        <v>34</v>
      </c>
      <c r="H1061" t="str">
        <f t="shared" si="49"/>
        <v>04</v>
      </c>
      <c r="I1061" t="str">
        <f t="shared" si="50"/>
        <v>A</v>
      </c>
      <c r="J1061" t="s">
        <v>162</v>
      </c>
      <c r="K1061" t="s">
        <v>28</v>
      </c>
      <c r="L1061" t="s">
        <v>28</v>
      </c>
      <c r="M1061" t="s">
        <v>28</v>
      </c>
      <c r="N1061" t="s">
        <v>28</v>
      </c>
      <c r="O1061" t="s">
        <v>28</v>
      </c>
      <c r="P1061" t="s">
        <v>28</v>
      </c>
      <c r="Q1061" t="s">
        <v>47</v>
      </c>
      <c r="R1061" t="s">
        <v>163</v>
      </c>
      <c r="S1061">
        <v>111</v>
      </c>
      <c r="T1061" t="s">
        <v>167</v>
      </c>
      <c r="U1061">
        <v>20231110</v>
      </c>
      <c r="V1061">
        <v>1</v>
      </c>
      <c r="W1061">
        <v>5</v>
      </c>
      <c r="X1061" t="s">
        <v>160</v>
      </c>
    </row>
    <row r="1062" spans="1:24" x14ac:dyDescent="0.2">
      <c r="A1062" t="str">
        <f t="shared" si="48"/>
        <v>sample_novaseq-16S-F-A05-L5_SICap-P22-A5-MouseStool-Feces-mouse-20231110-111-Yellow-1</v>
      </c>
      <c r="B1062" s="1" t="s">
        <v>658</v>
      </c>
      <c r="C1062" s="3" t="s">
        <v>1234</v>
      </c>
      <c r="D1062" s="3" t="s">
        <v>1328</v>
      </c>
      <c r="E1062" t="s">
        <v>20</v>
      </c>
      <c r="F1062" t="s">
        <v>161</v>
      </c>
      <c r="G1062" t="s">
        <v>36</v>
      </c>
      <c r="H1062" t="str">
        <f t="shared" si="49"/>
        <v>05</v>
      </c>
      <c r="I1062" t="str">
        <f t="shared" si="50"/>
        <v>A</v>
      </c>
      <c r="J1062" t="s">
        <v>162</v>
      </c>
      <c r="K1062" t="s">
        <v>28</v>
      </c>
      <c r="L1062" t="s">
        <v>28</v>
      </c>
      <c r="M1062" t="s">
        <v>28</v>
      </c>
      <c r="N1062" t="s">
        <v>28</v>
      </c>
      <c r="O1062" t="s">
        <v>28</v>
      </c>
      <c r="P1062" t="s">
        <v>28</v>
      </c>
      <c r="Q1062" t="s">
        <v>47</v>
      </c>
      <c r="R1062" t="s">
        <v>163</v>
      </c>
      <c r="S1062">
        <v>111</v>
      </c>
      <c r="T1062" t="s">
        <v>168</v>
      </c>
      <c r="U1062">
        <v>20231110</v>
      </c>
      <c r="V1062">
        <v>1</v>
      </c>
      <c r="W1062">
        <v>5</v>
      </c>
      <c r="X1062" t="s">
        <v>160</v>
      </c>
    </row>
    <row r="1063" spans="1:24" x14ac:dyDescent="0.2">
      <c r="A1063" t="str">
        <f t="shared" si="48"/>
        <v>sample_novaseq-16S-F-A06-L5_SICap-P22-A6-MouseStool-Feces-mouse-20231110-111-Green-1</v>
      </c>
      <c r="B1063" s="1" t="s">
        <v>659</v>
      </c>
      <c r="C1063" s="3" t="s">
        <v>1235</v>
      </c>
      <c r="D1063" s="3" t="s">
        <v>1328</v>
      </c>
      <c r="E1063" t="s">
        <v>20</v>
      </c>
      <c r="F1063" t="s">
        <v>161</v>
      </c>
      <c r="G1063" t="s">
        <v>38</v>
      </c>
      <c r="H1063" t="str">
        <f t="shared" si="49"/>
        <v>06</v>
      </c>
      <c r="I1063" t="str">
        <f t="shared" si="50"/>
        <v>A</v>
      </c>
      <c r="J1063" t="s">
        <v>162</v>
      </c>
      <c r="K1063" t="s">
        <v>28</v>
      </c>
      <c r="L1063" t="s">
        <v>28</v>
      </c>
      <c r="M1063" t="s">
        <v>28</v>
      </c>
      <c r="N1063" t="s">
        <v>28</v>
      </c>
      <c r="O1063" t="s">
        <v>28</v>
      </c>
      <c r="P1063" t="s">
        <v>28</v>
      </c>
      <c r="Q1063" t="s">
        <v>47</v>
      </c>
      <c r="R1063" t="s">
        <v>163</v>
      </c>
      <c r="S1063">
        <v>111</v>
      </c>
      <c r="T1063" t="s">
        <v>169</v>
      </c>
      <c r="U1063">
        <v>20231110</v>
      </c>
      <c r="V1063">
        <v>1</v>
      </c>
      <c r="W1063">
        <v>5</v>
      </c>
      <c r="X1063" t="s">
        <v>160</v>
      </c>
    </row>
    <row r="1064" spans="1:24" x14ac:dyDescent="0.2">
      <c r="A1064" t="str">
        <f t="shared" si="48"/>
        <v>sample_novaseq-16S-F-A07-L5_SICap-P22-A7-MouseStool-Feces-mouse-20231110-114-Blue-3</v>
      </c>
      <c r="B1064" s="1" t="s">
        <v>660</v>
      </c>
      <c r="C1064" s="3" t="s">
        <v>1236</v>
      </c>
      <c r="D1064" s="3" t="s">
        <v>1328</v>
      </c>
      <c r="E1064" t="s">
        <v>20</v>
      </c>
      <c r="F1064" t="s">
        <v>161</v>
      </c>
      <c r="G1064" t="s">
        <v>40</v>
      </c>
      <c r="H1064" t="str">
        <f t="shared" si="49"/>
        <v>07</v>
      </c>
      <c r="I1064" t="str">
        <f t="shared" si="50"/>
        <v>A</v>
      </c>
      <c r="J1064" t="s">
        <v>162</v>
      </c>
      <c r="K1064" t="s">
        <v>28</v>
      </c>
      <c r="L1064" t="s">
        <v>28</v>
      </c>
      <c r="M1064" t="s">
        <v>28</v>
      </c>
      <c r="N1064" t="s">
        <v>28</v>
      </c>
      <c r="O1064" t="s">
        <v>28</v>
      </c>
      <c r="P1064" t="s">
        <v>28</v>
      </c>
      <c r="Q1064" t="s">
        <v>49</v>
      </c>
      <c r="R1064" t="s">
        <v>163</v>
      </c>
      <c r="S1064">
        <v>114</v>
      </c>
      <c r="T1064" t="s">
        <v>164</v>
      </c>
      <c r="U1064">
        <v>20231110</v>
      </c>
      <c r="V1064">
        <v>1</v>
      </c>
      <c r="W1064">
        <v>5</v>
      </c>
      <c r="X1064" t="s">
        <v>160</v>
      </c>
    </row>
    <row r="1065" spans="1:24" x14ac:dyDescent="0.2">
      <c r="A1065" t="str">
        <f t="shared" si="48"/>
        <v>sample_novaseq-16S-F-A08-L5_SICap-P22-A8-MouseStool-Feces-mouse-20231110-114-Orange-3</v>
      </c>
      <c r="B1065" s="1" t="s">
        <v>661</v>
      </c>
      <c r="C1065" s="3" t="s">
        <v>1237</v>
      </c>
      <c r="D1065" s="3" t="s">
        <v>1328</v>
      </c>
      <c r="E1065" t="s">
        <v>20</v>
      </c>
      <c r="F1065" t="s">
        <v>161</v>
      </c>
      <c r="G1065" t="s">
        <v>42</v>
      </c>
      <c r="H1065" t="str">
        <f t="shared" si="49"/>
        <v>08</v>
      </c>
      <c r="I1065" t="str">
        <f t="shared" si="50"/>
        <v>A</v>
      </c>
      <c r="J1065" t="s">
        <v>162</v>
      </c>
      <c r="K1065" t="s">
        <v>28</v>
      </c>
      <c r="L1065" t="s">
        <v>28</v>
      </c>
      <c r="M1065" t="s">
        <v>28</v>
      </c>
      <c r="N1065" t="s">
        <v>28</v>
      </c>
      <c r="O1065" t="s">
        <v>28</v>
      </c>
      <c r="P1065" t="s">
        <v>28</v>
      </c>
      <c r="Q1065" t="s">
        <v>49</v>
      </c>
      <c r="R1065" t="s">
        <v>163</v>
      </c>
      <c r="S1065">
        <v>114</v>
      </c>
      <c r="T1065" t="s">
        <v>165</v>
      </c>
      <c r="U1065">
        <v>20231110</v>
      </c>
      <c r="V1065">
        <v>1</v>
      </c>
      <c r="W1065">
        <v>5</v>
      </c>
      <c r="X1065" t="s">
        <v>160</v>
      </c>
    </row>
    <row r="1066" spans="1:24" x14ac:dyDescent="0.2">
      <c r="A1066" t="str">
        <f t="shared" si="48"/>
        <v>sample_novaseq-16S-F-A09-L5_SICap-P22-A9-MouseStool-Feces-mouse-20231110-114-Clear-3</v>
      </c>
      <c r="B1066" s="1" t="s">
        <v>662</v>
      </c>
      <c r="C1066" s="3" t="s">
        <v>1238</v>
      </c>
      <c r="D1066" s="3" t="s">
        <v>1328</v>
      </c>
      <c r="E1066" t="s">
        <v>20</v>
      </c>
      <c r="F1066" t="s">
        <v>161</v>
      </c>
      <c r="G1066" t="s">
        <v>44</v>
      </c>
      <c r="H1066" t="str">
        <f t="shared" si="49"/>
        <v>09</v>
      </c>
      <c r="I1066" t="str">
        <f t="shared" si="50"/>
        <v>A</v>
      </c>
      <c r="J1066" t="s">
        <v>162</v>
      </c>
      <c r="K1066" t="s">
        <v>28</v>
      </c>
      <c r="L1066" t="s">
        <v>28</v>
      </c>
      <c r="M1066" t="s">
        <v>28</v>
      </c>
      <c r="N1066" t="s">
        <v>28</v>
      </c>
      <c r="O1066" t="s">
        <v>28</v>
      </c>
      <c r="P1066" t="s">
        <v>28</v>
      </c>
      <c r="Q1066" t="s">
        <v>49</v>
      </c>
      <c r="R1066" t="s">
        <v>163</v>
      </c>
      <c r="S1066">
        <v>114</v>
      </c>
      <c r="T1066" t="s">
        <v>166</v>
      </c>
      <c r="U1066">
        <v>20231110</v>
      </c>
      <c r="V1066">
        <v>1</v>
      </c>
      <c r="W1066">
        <v>5</v>
      </c>
      <c r="X1066" t="s">
        <v>160</v>
      </c>
    </row>
    <row r="1067" spans="1:24" x14ac:dyDescent="0.2">
      <c r="A1067" t="str">
        <f t="shared" si="48"/>
        <v>sample_novaseq-16S-F-A10-L5_SICap-P22-A10-MouseStool-Feces-mouse-20231110-114-Purple-1</v>
      </c>
      <c r="B1067" s="1" t="s">
        <v>663</v>
      </c>
      <c r="C1067" s="3" t="s">
        <v>1239</v>
      </c>
      <c r="D1067" s="3" t="s">
        <v>1328</v>
      </c>
      <c r="E1067" t="s">
        <v>20</v>
      </c>
      <c r="F1067" t="s">
        <v>161</v>
      </c>
      <c r="G1067" t="s">
        <v>46</v>
      </c>
      <c r="H1067" t="str">
        <f t="shared" si="49"/>
        <v>10</v>
      </c>
      <c r="I1067" t="str">
        <f t="shared" si="50"/>
        <v>A</v>
      </c>
      <c r="J1067" t="s">
        <v>162</v>
      </c>
      <c r="K1067" t="s">
        <v>28</v>
      </c>
      <c r="L1067" t="s">
        <v>28</v>
      </c>
      <c r="M1067" t="s">
        <v>28</v>
      </c>
      <c r="N1067" t="s">
        <v>28</v>
      </c>
      <c r="O1067" t="s">
        <v>28</v>
      </c>
      <c r="P1067" t="s">
        <v>28</v>
      </c>
      <c r="Q1067" t="s">
        <v>49</v>
      </c>
      <c r="R1067" t="s">
        <v>163</v>
      </c>
      <c r="S1067">
        <v>114</v>
      </c>
      <c r="T1067" t="s">
        <v>167</v>
      </c>
      <c r="U1067">
        <v>20231110</v>
      </c>
      <c r="V1067">
        <v>1</v>
      </c>
      <c r="W1067">
        <v>5</v>
      </c>
      <c r="X1067" t="s">
        <v>160</v>
      </c>
    </row>
    <row r="1068" spans="1:24" x14ac:dyDescent="0.2">
      <c r="A1068" t="str">
        <f t="shared" si="48"/>
        <v>sample_novaseq-16S-F-A11-L5_SICap-P22-A11-MouseStool-Feces-mouse-20231110-114-Yellow-1</v>
      </c>
      <c r="B1068" s="1" t="s">
        <v>664</v>
      </c>
      <c r="C1068" s="3" t="s">
        <v>1240</v>
      </c>
      <c r="D1068" s="3" t="s">
        <v>1328</v>
      </c>
      <c r="E1068" t="s">
        <v>20</v>
      </c>
      <c r="F1068" t="s">
        <v>161</v>
      </c>
      <c r="G1068" t="s">
        <v>48</v>
      </c>
      <c r="H1068" t="str">
        <f t="shared" si="49"/>
        <v>11</v>
      </c>
      <c r="I1068" t="str">
        <f t="shared" si="50"/>
        <v>A</v>
      </c>
      <c r="J1068" t="s">
        <v>162</v>
      </c>
      <c r="K1068" t="s">
        <v>28</v>
      </c>
      <c r="L1068" t="s">
        <v>28</v>
      </c>
      <c r="M1068" t="s">
        <v>28</v>
      </c>
      <c r="N1068" t="s">
        <v>28</v>
      </c>
      <c r="O1068" t="s">
        <v>28</v>
      </c>
      <c r="P1068" t="s">
        <v>28</v>
      </c>
      <c r="Q1068" t="s">
        <v>49</v>
      </c>
      <c r="R1068" t="s">
        <v>163</v>
      </c>
      <c r="S1068">
        <v>114</v>
      </c>
      <c r="T1068" t="s">
        <v>168</v>
      </c>
      <c r="U1068">
        <v>20231110</v>
      </c>
      <c r="V1068">
        <v>1</v>
      </c>
      <c r="W1068">
        <v>5</v>
      </c>
      <c r="X1068" t="s">
        <v>160</v>
      </c>
    </row>
    <row r="1069" spans="1:24" x14ac:dyDescent="0.2">
      <c r="A1069" t="str">
        <f t="shared" si="48"/>
        <v>sample_novaseq-16S-F-A12-L5_SICap-P22-A12-MouseStool-Feces-mouse-20231110-114-Green-1</v>
      </c>
      <c r="B1069" s="1" t="s">
        <v>665</v>
      </c>
      <c r="C1069" s="3" t="s">
        <v>1241</v>
      </c>
      <c r="D1069" s="3" t="s">
        <v>1328</v>
      </c>
      <c r="E1069" t="s">
        <v>20</v>
      </c>
      <c r="F1069" t="s">
        <v>161</v>
      </c>
      <c r="G1069" t="s">
        <v>50</v>
      </c>
      <c r="H1069" t="str">
        <f t="shared" si="49"/>
        <v>12</v>
      </c>
      <c r="I1069" t="str">
        <f t="shared" si="50"/>
        <v>A</v>
      </c>
      <c r="J1069" t="s">
        <v>162</v>
      </c>
      <c r="K1069" t="s">
        <v>28</v>
      </c>
      <c r="L1069" t="s">
        <v>28</v>
      </c>
      <c r="M1069" t="s">
        <v>28</v>
      </c>
      <c r="N1069" t="s">
        <v>28</v>
      </c>
      <c r="O1069" t="s">
        <v>28</v>
      </c>
      <c r="P1069" t="s">
        <v>28</v>
      </c>
      <c r="Q1069" t="s">
        <v>49</v>
      </c>
      <c r="R1069" t="s">
        <v>163</v>
      </c>
      <c r="S1069">
        <v>114</v>
      </c>
      <c r="T1069" t="s">
        <v>169</v>
      </c>
      <c r="U1069">
        <v>20231110</v>
      </c>
      <c r="V1069">
        <v>1</v>
      </c>
      <c r="W1069">
        <v>5</v>
      </c>
      <c r="X1069" t="s">
        <v>160</v>
      </c>
    </row>
    <row r="1070" spans="1:24" x14ac:dyDescent="0.2">
      <c r="A1070" t="str">
        <f t="shared" si="48"/>
        <v>sample_novaseq-16S-F-B01-L5_SICap-P22-B1-MouseStool-Feces-mouse-20231110-113-Blue-3</v>
      </c>
      <c r="B1070" s="1" t="s">
        <v>666</v>
      </c>
      <c r="C1070" s="3" t="s">
        <v>1242</v>
      </c>
      <c r="D1070" s="3" t="s">
        <v>1328</v>
      </c>
      <c r="E1070" t="s">
        <v>20</v>
      </c>
      <c r="F1070" t="s">
        <v>161</v>
      </c>
      <c r="G1070" t="s">
        <v>51</v>
      </c>
      <c r="H1070" t="str">
        <f t="shared" si="49"/>
        <v>01</v>
      </c>
      <c r="I1070" t="str">
        <f t="shared" si="50"/>
        <v>B</v>
      </c>
      <c r="J1070" t="s">
        <v>162</v>
      </c>
      <c r="K1070" t="s">
        <v>28</v>
      </c>
      <c r="L1070" t="s">
        <v>28</v>
      </c>
      <c r="M1070" t="s">
        <v>28</v>
      </c>
      <c r="N1070" t="s">
        <v>28</v>
      </c>
      <c r="O1070" t="s">
        <v>28</v>
      </c>
      <c r="P1070" t="s">
        <v>28</v>
      </c>
      <c r="Q1070" t="s">
        <v>170</v>
      </c>
      <c r="R1070" t="s">
        <v>163</v>
      </c>
      <c r="S1070">
        <v>113</v>
      </c>
      <c r="T1070" t="s">
        <v>164</v>
      </c>
      <c r="U1070">
        <v>20231110</v>
      </c>
      <c r="V1070">
        <v>1</v>
      </c>
      <c r="W1070">
        <v>5</v>
      </c>
      <c r="X1070" t="s">
        <v>160</v>
      </c>
    </row>
    <row r="1071" spans="1:24" x14ac:dyDescent="0.2">
      <c r="A1071" t="str">
        <f t="shared" si="48"/>
        <v>sample_novaseq-16S-F-B02-L5_SICap-P22-B2-MouseStool-Feces-mouse-20231110-113-Orange-3</v>
      </c>
      <c r="B1071" s="1" t="s">
        <v>667</v>
      </c>
      <c r="C1071" s="3" t="s">
        <v>1243</v>
      </c>
      <c r="D1071" s="3" t="s">
        <v>1328</v>
      </c>
      <c r="E1071" t="s">
        <v>20</v>
      </c>
      <c r="F1071" t="s">
        <v>161</v>
      </c>
      <c r="G1071" t="s">
        <v>53</v>
      </c>
      <c r="H1071" t="str">
        <f t="shared" si="49"/>
        <v>02</v>
      </c>
      <c r="I1071" t="str">
        <f t="shared" si="50"/>
        <v>B</v>
      </c>
      <c r="J1071" t="s">
        <v>162</v>
      </c>
      <c r="K1071" t="s">
        <v>28</v>
      </c>
      <c r="L1071" t="s">
        <v>28</v>
      </c>
      <c r="M1071" t="s">
        <v>28</v>
      </c>
      <c r="N1071" t="s">
        <v>28</v>
      </c>
      <c r="O1071" t="s">
        <v>28</v>
      </c>
      <c r="P1071" t="s">
        <v>28</v>
      </c>
      <c r="Q1071" t="s">
        <v>170</v>
      </c>
      <c r="R1071" t="s">
        <v>163</v>
      </c>
      <c r="S1071">
        <v>113</v>
      </c>
      <c r="T1071" t="s">
        <v>165</v>
      </c>
      <c r="U1071">
        <v>20231110</v>
      </c>
      <c r="V1071">
        <v>1</v>
      </c>
      <c r="W1071">
        <v>5</v>
      </c>
      <c r="X1071" t="s">
        <v>160</v>
      </c>
    </row>
    <row r="1072" spans="1:24" x14ac:dyDescent="0.2">
      <c r="A1072" t="str">
        <f t="shared" si="48"/>
        <v>sample_novaseq-16S-F-B03-L5_SICap-P22-B3-MouseStool-Feces-mouse-20231110-113-Clear-3</v>
      </c>
      <c r="B1072" s="1" t="s">
        <v>668</v>
      </c>
      <c r="C1072" s="3" t="s">
        <v>1244</v>
      </c>
      <c r="D1072" s="3" t="s">
        <v>1328</v>
      </c>
      <c r="E1072" t="s">
        <v>20</v>
      </c>
      <c r="F1072" t="s">
        <v>161</v>
      </c>
      <c r="G1072" t="s">
        <v>54</v>
      </c>
      <c r="H1072" t="str">
        <f t="shared" si="49"/>
        <v>03</v>
      </c>
      <c r="I1072" t="str">
        <f t="shared" si="50"/>
        <v>B</v>
      </c>
      <c r="J1072" t="s">
        <v>162</v>
      </c>
      <c r="K1072" t="s">
        <v>28</v>
      </c>
      <c r="L1072" t="s">
        <v>28</v>
      </c>
      <c r="M1072" t="s">
        <v>28</v>
      </c>
      <c r="N1072" t="s">
        <v>28</v>
      </c>
      <c r="O1072" t="s">
        <v>28</v>
      </c>
      <c r="P1072" t="s">
        <v>28</v>
      </c>
      <c r="Q1072" t="s">
        <v>170</v>
      </c>
      <c r="R1072" t="s">
        <v>163</v>
      </c>
      <c r="S1072">
        <v>113</v>
      </c>
      <c r="T1072" t="s">
        <v>166</v>
      </c>
      <c r="U1072">
        <v>20231110</v>
      </c>
      <c r="V1072">
        <v>1</v>
      </c>
      <c r="W1072">
        <v>5</v>
      </c>
      <c r="X1072" t="s">
        <v>160</v>
      </c>
    </row>
    <row r="1073" spans="1:24" x14ac:dyDescent="0.2">
      <c r="A1073" t="str">
        <f t="shared" si="48"/>
        <v>sample_novaseq-16S-F-B04-L5_SICap-P22-B4-MouseStool-Feces-mouse-20231110-113-Purple-1</v>
      </c>
      <c r="B1073" s="1" t="s">
        <v>669</v>
      </c>
      <c r="C1073" s="3" t="s">
        <v>1245</v>
      </c>
      <c r="D1073" s="3" t="s">
        <v>1328</v>
      </c>
      <c r="E1073" t="s">
        <v>20</v>
      </c>
      <c r="F1073" t="s">
        <v>161</v>
      </c>
      <c r="G1073" t="s">
        <v>55</v>
      </c>
      <c r="H1073" t="str">
        <f t="shared" si="49"/>
        <v>04</v>
      </c>
      <c r="I1073" t="str">
        <f t="shared" si="50"/>
        <v>B</v>
      </c>
      <c r="J1073" t="s">
        <v>162</v>
      </c>
      <c r="K1073" t="s">
        <v>28</v>
      </c>
      <c r="L1073" t="s">
        <v>28</v>
      </c>
      <c r="M1073" t="s">
        <v>28</v>
      </c>
      <c r="N1073" t="s">
        <v>28</v>
      </c>
      <c r="O1073" t="s">
        <v>28</v>
      </c>
      <c r="P1073" t="s">
        <v>28</v>
      </c>
      <c r="Q1073" t="s">
        <v>170</v>
      </c>
      <c r="R1073" t="s">
        <v>163</v>
      </c>
      <c r="S1073">
        <v>113</v>
      </c>
      <c r="T1073" t="s">
        <v>167</v>
      </c>
      <c r="U1073">
        <v>20231110</v>
      </c>
      <c r="V1073">
        <v>1</v>
      </c>
      <c r="W1073">
        <v>5</v>
      </c>
      <c r="X1073" t="s">
        <v>160</v>
      </c>
    </row>
    <row r="1074" spans="1:24" x14ac:dyDescent="0.2">
      <c r="A1074" t="str">
        <f t="shared" si="48"/>
        <v>sample_novaseq-16S-F-B05-L5_SICap-P22-B5-MouseStool-Feces-mouse-20231110-113-Yellow-1</v>
      </c>
      <c r="B1074" s="1" t="s">
        <v>670</v>
      </c>
      <c r="C1074" s="3" t="s">
        <v>1246</v>
      </c>
      <c r="D1074" s="3" t="s">
        <v>1328</v>
      </c>
      <c r="E1074" t="s">
        <v>20</v>
      </c>
      <c r="F1074" t="s">
        <v>161</v>
      </c>
      <c r="G1074" t="s">
        <v>56</v>
      </c>
      <c r="H1074" t="str">
        <f t="shared" si="49"/>
        <v>05</v>
      </c>
      <c r="I1074" t="str">
        <f t="shared" si="50"/>
        <v>B</v>
      </c>
      <c r="J1074" t="s">
        <v>162</v>
      </c>
      <c r="K1074" t="s">
        <v>28</v>
      </c>
      <c r="L1074" t="s">
        <v>28</v>
      </c>
      <c r="M1074" t="s">
        <v>28</v>
      </c>
      <c r="N1074" t="s">
        <v>28</v>
      </c>
      <c r="O1074" t="s">
        <v>28</v>
      </c>
      <c r="P1074" t="s">
        <v>28</v>
      </c>
      <c r="Q1074" t="s">
        <v>170</v>
      </c>
      <c r="R1074" t="s">
        <v>163</v>
      </c>
      <c r="S1074">
        <v>113</v>
      </c>
      <c r="T1074" t="s">
        <v>168</v>
      </c>
      <c r="U1074">
        <v>20231110</v>
      </c>
      <c r="V1074">
        <v>1</v>
      </c>
      <c r="W1074">
        <v>5</v>
      </c>
      <c r="X1074" t="s">
        <v>160</v>
      </c>
    </row>
    <row r="1075" spans="1:24" x14ac:dyDescent="0.2">
      <c r="A1075" t="str">
        <f t="shared" si="48"/>
        <v>sample_novaseq-16S-F-B06-L5_SICap-P22-B6-MouseStool-Feces-mouse-20231110-113-Green-1</v>
      </c>
      <c r="B1075" s="1" t="s">
        <v>671</v>
      </c>
      <c r="C1075" s="3" t="s">
        <v>1247</v>
      </c>
      <c r="D1075" s="3" t="s">
        <v>1328</v>
      </c>
      <c r="E1075" t="s">
        <v>20</v>
      </c>
      <c r="F1075" t="s">
        <v>161</v>
      </c>
      <c r="G1075" t="s">
        <v>57</v>
      </c>
      <c r="H1075" t="str">
        <f t="shared" si="49"/>
        <v>06</v>
      </c>
      <c r="I1075" t="str">
        <f t="shared" si="50"/>
        <v>B</v>
      </c>
      <c r="J1075" t="s">
        <v>162</v>
      </c>
      <c r="K1075" t="s">
        <v>28</v>
      </c>
      <c r="L1075" t="s">
        <v>28</v>
      </c>
      <c r="M1075" t="s">
        <v>28</v>
      </c>
      <c r="N1075" t="s">
        <v>28</v>
      </c>
      <c r="O1075" t="s">
        <v>28</v>
      </c>
      <c r="P1075" t="s">
        <v>28</v>
      </c>
      <c r="Q1075" t="s">
        <v>170</v>
      </c>
      <c r="R1075" t="s">
        <v>163</v>
      </c>
      <c r="S1075">
        <v>113</v>
      </c>
      <c r="T1075" t="s">
        <v>169</v>
      </c>
      <c r="U1075">
        <v>20231110</v>
      </c>
      <c r="V1075">
        <v>1</v>
      </c>
      <c r="W1075">
        <v>5</v>
      </c>
      <c r="X1075" t="s">
        <v>160</v>
      </c>
    </row>
    <row r="1076" spans="1:24" x14ac:dyDescent="0.2">
      <c r="A1076" t="str">
        <f t="shared" si="48"/>
        <v>sample_novaseq-16S-F-B07-L5_SICap-P22-B7-MouseStool-Feces-mouse-20231112-111-Orange-3</v>
      </c>
      <c r="B1076" s="1" t="s">
        <v>672</v>
      </c>
      <c r="C1076" s="3" t="s">
        <v>1248</v>
      </c>
      <c r="D1076" s="3" t="s">
        <v>1328</v>
      </c>
      <c r="E1076" t="s">
        <v>20</v>
      </c>
      <c r="F1076" t="s">
        <v>161</v>
      </c>
      <c r="G1076" t="s">
        <v>58</v>
      </c>
      <c r="H1076" t="str">
        <f t="shared" si="49"/>
        <v>07</v>
      </c>
      <c r="I1076" t="str">
        <f t="shared" si="50"/>
        <v>B</v>
      </c>
      <c r="J1076" t="s">
        <v>162</v>
      </c>
      <c r="K1076" t="s">
        <v>28</v>
      </c>
      <c r="L1076" t="s">
        <v>28</v>
      </c>
      <c r="M1076" t="s">
        <v>28</v>
      </c>
      <c r="N1076" t="s">
        <v>28</v>
      </c>
      <c r="O1076" t="s">
        <v>28</v>
      </c>
      <c r="P1076" t="s">
        <v>28</v>
      </c>
      <c r="Q1076" t="s">
        <v>47</v>
      </c>
      <c r="R1076" t="s">
        <v>163</v>
      </c>
      <c r="S1076">
        <v>111</v>
      </c>
      <c r="T1076" t="s">
        <v>165</v>
      </c>
      <c r="U1076">
        <v>20231112</v>
      </c>
      <c r="V1076">
        <v>3</v>
      </c>
      <c r="W1076">
        <v>5</v>
      </c>
      <c r="X1076" t="s">
        <v>160</v>
      </c>
    </row>
    <row r="1077" spans="1:24" x14ac:dyDescent="0.2">
      <c r="A1077" t="str">
        <f t="shared" si="48"/>
        <v>sample_novaseq-16S-F-B08-L5_SICap-P22-B8-MouseStool-Feces-mouse-20231112-111-Clear-3</v>
      </c>
      <c r="B1077" s="1" t="s">
        <v>673</v>
      </c>
      <c r="C1077" s="3" t="s">
        <v>1249</v>
      </c>
      <c r="D1077" s="3" t="s">
        <v>1328</v>
      </c>
      <c r="E1077" t="s">
        <v>20</v>
      </c>
      <c r="F1077" t="s">
        <v>161</v>
      </c>
      <c r="G1077" t="s">
        <v>59</v>
      </c>
      <c r="H1077" t="str">
        <f t="shared" si="49"/>
        <v>08</v>
      </c>
      <c r="I1077" t="str">
        <f t="shared" si="50"/>
        <v>B</v>
      </c>
      <c r="J1077" t="s">
        <v>162</v>
      </c>
      <c r="K1077" t="s">
        <v>28</v>
      </c>
      <c r="L1077" t="s">
        <v>28</v>
      </c>
      <c r="M1077" t="s">
        <v>28</v>
      </c>
      <c r="N1077" t="s">
        <v>28</v>
      </c>
      <c r="O1077" t="s">
        <v>28</v>
      </c>
      <c r="P1077" t="s">
        <v>28</v>
      </c>
      <c r="Q1077" t="s">
        <v>47</v>
      </c>
      <c r="R1077" t="s">
        <v>163</v>
      </c>
      <c r="S1077">
        <v>111</v>
      </c>
      <c r="T1077" t="s">
        <v>166</v>
      </c>
      <c r="U1077">
        <v>20231112</v>
      </c>
      <c r="V1077">
        <v>3</v>
      </c>
      <c r="W1077">
        <v>5</v>
      </c>
      <c r="X1077" t="s">
        <v>160</v>
      </c>
    </row>
    <row r="1078" spans="1:24" x14ac:dyDescent="0.2">
      <c r="A1078" t="str">
        <f t="shared" si="48"/>
        <v>sample_novaseq-16S-F-B09-L5_SICap-P22-B9-MouseStool-Feces-mouse-20231112-111-Yellow-1</v>
      </c>
      <c r="B1078" s="1" t="s">
        <v>674</v>
      </c>
      <c r="C1078" s="3" t="s">
        <v>1250</v>
      </c>
      <c r="D1078" s="3" t="s">
        <v>1328</v>
      </c>
      <c r="E1078" t="s">
        <v>20</v>
      </c>
      <c r="F1078" t="s">
        <v>161</v>
      </c>
      <c r="G1078" t="s">
        <v>60</v>
      </c>
      <c r="H1078" t="str">
        <f t="shared" si="49"/>
        <v>09</v>
      </c>
      <c r="I1078" t="str">
        <f t="shared" si="50"/>
        <v>B</v>
      </c>
      <c r="J1078" t="s">
        <v>162</v>
      </c>
      <c r="K1078" t="s">
        <v>28</v>
      </c>
      <c r="L1078" t="s">
        <v>28</v>
      </c>
      <c r="M1078" t="s">
        <v>28</v>
      </c>
      <c r="N1078" t="s">
        <v>28</v>
      </c>
      <c r="O1078" t="s">
        <v>28</v>
      </c>
      <c r="P1078" t="s">
        <v>28</v>
      </c>
      <c r="Q1078" t="s">
        <v>47</v>
      </c>
      <c r="R1078" t="s">
        <v>163</v>
      </c>
      <c r="S1078">
        <v>111</v>
      </c>
      <c r="T1078" t="s">
        <v>168</v>
      </c>
      <c r="U1078">
        <v>20231112</v>
      </c>
      <c r="V1078">
        <v>3</v>
      </c>
      <c r="W1078">
        <v>5</v>
      </c>
      <c r="X1078" t="s">
        <v>160</v>
      </c>
    </row>
    <row r="1079" spans="1:24" x14ac:dyDescent="0.2">
      <c r="A1079" t="str">
        <f t="shared" si="48"/>
        <v>sample_novaseq-16S-F-B10-L5_SICap-P22-B10-MouseStool-Feces-mouse-20231112-114-Blue-3</v>
      </c>
      <c r="B1079" s="1" t="s">
        <v>675</v>
      </c>
      <c r="C1079" s="3" t="s">
        <v>1251</v>
      </c>
      <c r="D1079" s="3" t="s">
        <v>1328</v>
      </c>
      <c r="E1079" t="s">
        <v>20</v>
      </c>
      <c r="F1079" t="s">
        <v>161</v>
      </c>
      <c r="G1079" t="s">
        <v>61</v>
      </c>
      <c r="H1079" t="str">
        <f t="shared" si="49"/>
        <v>10</v>
      </c>
      <c r="I1079" t="str">
        <f t="shared" si="50"/>
        <v>B</v>
      </c>
      <c r="J1079" t="s">
        <v>162</v>
      </c>
      <c r="K1079" t="s">
        <v>28</v>
      </c>
      <c r="L1079" t="s">
        <v>28</v>
      </c>
      <c r="M1079" t="s">
        <v>28</v>
      </c>
      <c r="N1079" t="s">
        <v>28</v>
      </c>
      <c r="O1079" t="s">
        <v>28</v>
      </c>
      <c r="P1079" t="s">
        <v>28</v>
      </c>
      <c r="Q1079" t="s">
        <v>49</v>
      </c>
      <c r="R1079" t="s">
        <v>163</v>
      </c>
      <c r="S1079">
        <v>114</v>
      </c>
      <c r="T1079" t="s">
        <v>164</v>
      </c>
      <c r="U1079">
        <v>20231112</v>
      </c>
      <c r="V1079">
        <v>3</v>
      </c>
      <c r="W1079">
        <v>5</v>
      </c>
      <c r="X1079" t="s">
        <v>160</v>
      </c>
    </row>
    <row r="1080" spans="1:24" x14ac:dyDescent="0.2">
      <c r="A1080" t="str">
        <f t="shared" si="48"/>
        <v>sample_novaseq-16S-F-B11-L5_SICap-P22-B11-MouseStool-Feces-mouse-20231112-114-Orange-3</v>
      </c>
      <c r="B1080" s="1" t="s">
        <v>676</v>
      </c>
      <c r="C1080" s="3" t="s">
        <v>1252</v>
      </c>
      <c r="D1080" s="3" t="s">
        <v>1328</v>
      </c>
      <c r="E1080" t="s">
        <v>20</v>
      </c>
      <c r="F1080" t="s">
        <v>161</v>
      </c>
      <c r="G1080" t="s">
        <v>62</v>
      </c>
      <c r="H1080" t="str">
        <f t="shared" si="49"/>
        <v>11</v>
      </c>
      <c r="I1080" t="str">
        <f t="shared" si="50"/>
        <v>B</v>
      </c>
      <c r="J1080" t="s">
        <v>162</v>
      </c>
      <c r="K1080" t="s">
        <v>28</v>
      </c>
      <c r="L1080" t="s">
        <v>28</v>
      </c>
      <c r="M1080" t="s">
        <v>28</v>
      </c>
      <c r="N1080" t="s">
        <v>28</v>
      </c>
      <c r="O1080" t="s">
        <v>28</v>
      </c>
      <c r="P1080" t="s">
        <v>28</v>
      </c>
      <c r="Q1080" t="s">
        <v>49</v>
      </c>
      <c r="R1080" t="s">
        <v>163</v>
      </c>
      <c r="S1080">
        <v>114</v>
      </c>
      <c r="T1080" t="s">
        <v>165</v>
      </c>
      <c r="U1080">
        <v>20231112</v>
      </c>
      <c r="V1080">
        <v>3</v>
      </c>
      <c r="W1080">
        <v>5</v>
      </c>
      <c r="X1080" t="s">
        <v>160</v>
      </c>
    </row>
    <row r="1081" spans="1:24" x14ac:dyDescent="0.2">
      <c r="A1081" t="str">
        <f t="shared" si="48"/>
        <v>sample_novaseq-16S-F-B12-L5_SICap-P22-B12-MouseStool-Feces-mouse-20231112-114-Purple-1</v>
      </c>
      <c r="B1081" s="1" t="s">
        <v>677</v>
      </c>
      <c r="C1081" s="3" t="s">
        <v>1253</v>
      </c>
      <c r="D1081" s="3" t="s">
        <v>1328</v>
      </c>
      <c r="E1081" t="s">
        <v>20</v>
      </c>
      <c r="F1081" t="s">
        <v>161</v>
      </c>
      <c r="G1081" t="s">
        <v>63</v>
      </c>
      <c r="H1081" t="str">
        <f t="shared" si="49"/>
        <v>12</v>
      </c>
      <c r="I1081" t="str">
        <f t="shared" si="50"/>
        <v>B</v>
      </c>
      <c r="J1081" t="s">
        <v>162</v>
      </c>
      <c r="K1081" t="s">
        <v>28</v>
      </c>
      <c r="L1081" t="s">
        <v>28</v>
      </c>
      <c r="M1081" t="s">
        <v>28</v>
      </c>
      <c r="N1081" t="s">
        <v>28</v>
      </c>
      <c r="O1081" t="s">
        <v>28</v>
      </c>
      <c r="P1081" t="s">
        <v>28</v>
      </c>
      <c r="Q1081" t="s">
        <v>49</v>
      </c>
      <c r="R1081" t="s">
        <v>163</v>
      </c>
      <c r="S1081">
        <v>114</v>
      </c>
      <c r="T1081" t="s">
        <v>167</v>
      </c>
      <c r="U1081">
        <v>20231112</v>
      </c>
      <c r="V1081">
        <v>3</v>
      </c>
      <c r="W1081">
        <v>5</v>
      </c>
      <c r="X1081" t="s">
        <v>160</v>
      </c>
    </row>
    <row r="1082" spans="1:24" x14ac:dyDescent="0.2">
      <c r="A1082" t="str">
        <f t="shared" si="48"/>
        <v>sample_novaseq-16S-F-C01-L5_SICap-P22-C1-MouseStool-Feces-mouse-20231112-114-Yellow-1</v>
      </c>
      <c r="B1082" s="1" t="s">
        <v>678</v>
      </c>
      <c r="C1082" s="3" t="s">
        <v>1254</v>
      </c>
      <c r="D1082" s="3" t="s">
        <v>1328</v>
      </c>
      <c r="E1082" t="s">
        <v>20</v>
      </c>
      <c r="F1082" t="s">
        <v>161</v>
      </c>
      <c r="G1082" t="s">
        <v>64</v>
      </c>
      <c r="H1082" t="str">
        <f t="shared" si="49"/>
        <v>01</v>
      </c>
      <c r="I1082" t="str">
        <f t="shared" si="50"/>
        <v>C</v>
      </c>
      <c r="J1082" t="s">
        <v>162</v>
      </c>
      <c r="K1082" t="s">
        <v>28</v>
      </c>
      <c r="L1082" t="s">
        <v>28</v>
      </c>
      <c r="M1082" t="s">
        <v>28</v>
      </c>
      <c r="N1082" t="s">
        <v>28</v>
      </c>
      <c r="O1082" t="s">
        <v>28</v>
      </c>
      <c r="P1082" t="s">
        <v>28</v>
      </c>
      <c r="Q1082" t="s">
        <v>49</v>
      </c>
      <c r="R1082" t="s">
        <v>163</v>
      </c>
      <c r="S1082">
        <v>114</v>
      </c>
      <c r="T1082" t="s">
        <v>168</v>
      </c>
      <c r="U1082">
        <v>20231112</v>
      </c>
      <c r="V1082">
        <v>3</v>
      </c>
      <c r="W1082">
        <v>5</v>
      </c>
      <c r="X1082" t="s">
        <v>160</v>
      </c>
    </row>
    <row r="1083" spans="1:24" x14ac:dyDescent="0.2">
      <c r="A1083" t="str">
        <f t="shared" si="48"/>
        <v>sample_novaseq-16S-F-C02-L5_SICap-P22-C2-MouseStool-Feces-mouse-20231112-114-Green-1</v>
      </c>
      <c r="B1083" s="1" t="s">
        <v>679</v>
      </c>
      <c r="C1083" s="3" t="s">
        <v>1255</v>
      </c>
      <c r="D1083" s="3" t="s">
        <v>1328</v>
      </c>
      <c r="E1083" t="s">
        <v>20</v>
      </c>
      <c r="F1083" t="s">
        <v>161</v>
      </c>
      <c r="G1083" t="s">
        <v>66</v>
      </c>
      <c r="H1083" t="str">
        <f t="shared" si="49"/>
        <v>02</v>
      </c>
      <c r="I1083" t="str">
        <f t="shared" si="50"/>
        <v>C</v>
      </c>
      <c r="J1083" t="s">
        <v>162</v>
      </c>
      <c r="K1083" t="s">
        <v>28</v>
      </c>
      <c r="L1083" t="s">
        <v>28</v>
      </c>
      <c r="M1083" t="s">
        <v>28</v>
      </c>
      <c r="N1083" t="s">
        <v>28</v>
      </c>
      <c r="O1083" t="s">
        <v>28</v>
      </c>
      <c r="P1083" t="s">
        <v>28</v>
      </c>
      <c r="Q1083" t="s">
        <v>49</v>
      </c>
      <c r="R1083" t="s">
        <v>163</v>
      </c>
      <c r="S1083">
        <v>114</v>
      </c>
      <c r="T1083" t="s">
        <v>169</v>
      </c>
      <c r="U1083">
        <v>20231112</v>
      </c>
      <c r="V1083">
        <v>3</v>
      </c>
      <c r="W1083">
        <v>5</v>
      </c>
      <c r="X1083" t="s">
        <v>160</v>
      </c>
    </row>
    <row r="1084" spans="1:24" x14ac:dyDescent="0.2">
      <c r="A1084" t="str">
        <f t="shared" si="48"/>
        <v>sample_novaseq-16S-F-C03-L5_SICap-P22-C3-MouseStool-Feces-mouse-20231112-113-Blue-3</v>
      </c>
      <c r="B1084" s="1" t="s">
        <v>680</v>
      </c>
      <c r="C1084" s="3" t="s">
        <v>1256</v>
      </c>
      <c r="D1084" s="3" t="s">
        <v>1328</v>
      </c>
      <c r="E1084" t="s">
        <v>20</v>
      </c>
      <c r="F1084" t="s">
        <v>161</v>
      </c>
      <c r="G1084" t="s">
        <v>67</v>
      </c>
      <c r="H1084" t="str">
        <f t="shared" si="49"/>
        <v>03</v>
      </c>
      <c r="I1084" t="str">
        <f t="shared" si="50"/>
        <v>C</v>
      </c>
      <c r="J1084" t="s">
        <v>162</v>
      </c>
      <c r="K1084" t="s">
        <v>28</v>
      </c>
      <c r="L1084" t="s">
        <v>28</v>
      </c>
      <c r="M1084" t="s">
        <v>28</v>
      </c>
      <c r="N1084" t="s">
        <v>28</v>
      </c>
      <c r="O1084" t="s">
        <v>28</v>
      </c>
      <c r="P1084" t="s">
        <v>28</v>
      </c>
      <c r="Q1084" t="s">
        <v>170</v>
      </c>
      <c r="R1084" t="s">
        <v>163</v>
      </c>
      <c r="S1084">
        <v>113</v>
      </c>
      <c r="T1084" t="s">
        <v>164</v>
      </c>
      <c r="U1084">
        <v>20231112</v>
      </c>
      <c r="V1084">
        <v>3</v>
      </c>
      <c r="W1084">
        <v>5</v>
      </c>
      <c r="X1084" t="s">
        <v>160</v>
      </c>
    </row>
    <row r="1085" spans="1:24" x14ac:dyDescent="0.2">
      <c r="A1085" t="str">
        <f t="shared" si="48"/>
        <v>sample_novaseq-16S-F-C04-L5_SICap-P22-C4-MouseStool-Feces-mouse-20231112-113-Orange-3</v>
      </c>
      <c r="B1085" s="1" t="s">
        <v>681</v>
      </c>
      <c r="C1085" s="3" t="s">
        <v>1257</v>
      </c>
      <c r="D1085" s="3" t="s">
        <v>1328</v>
      </c>
      <c r="E1085" t="s">
        <v>20</v>
      </c>
      <c r="F1085" t="s">
        <v>161</v>
      </c>
      <c r="G1085" t="s">
        <v>68</v>
      </c>
      <c r="H1085" t="str">
        <f t="shared" si="49"/>
        <v>04</v>
      </c>
      <c r="I1085" t="str">
        <f t="shared" si="50"/>
        <v>C</v>
      </c>
      <c r="J1085" t="s">
        <v>162</v>
      </c>
      <c r="K1085" t="s">
        <v>28</v>
      </c>
      <c r="L1085" t="s">
        <v>28</v>
      </c>
      <c r="M1085" t="s">
        <v>28</v>
      </c>
      <c r="N1085" t="s">
        <v>28</v>
      </c>
      <c r="O1085" t="s">
        <v>28</v>
      </c>
      <c r="P1085" t="s">
        <v>28</v>
      </c>
      <c r="Q1085" t="s">
        <v>170</v>
      </c>
      <c r="R1085" t="s">
        <v>163</v>
      </c>
      <c r="S1085">
        <v>113</v>
      </c>
      <c r="T1085" t="s">
        <v>165</v>
      </c>
      <c r="U1085">
        <v>20231112</v>
      </c>
      <c r="V1085">
        <v>3</v>
      </c>
      <c r="W1085">
        <v>5</v>
      </c>
      <c r="X1085" t="s">
        <v>160</v>
      </c>
    </row>
    <row r="1086" spans="1:24" x14ac:dyDescent="0.2">
      <c r="A1086" t="str">
        <f t="shared" si="48"/>
        <v>sample_novaseq-16S-F-C05-L5_SICap-P22-C5-MouseStool-Feces-mouse-20231112-113-Clear-3</v>
      </c>
      <c r="B1086" s="1" t="s">
        <v>682</v>
      </c>
      <c r="C1086" s="3" t="s">
        <v>1258</v>
      </c>
      <c r="D1086" s="3" t="s">
        <v>1328</v>
      </c>
      <c r="E1086" t="s">
        <v>20</v>
      </c>
      <c r="F1086" t="s">
        <v>161</v>
      </c>
      <c r="G1086" t="s">
        <v>69</v>
      </c>
      <c r="H1086" t="str">
        <f t="shared" si="49"/>
        <v>05</v>
      </c>
      <c r="I1086" t="str">
        <f t="shared" si="50"/>
        <v>C</v>
      </c>
      <c r="J1086" t="s">
        <v>162</v>
      </c>
      <c r="K1086" t="s">
        <v>28</v>
      </c>
      <c r="L1086" t="s">
        <v>28</v>
      </c>
      <c r="M1086" t="s">
        <v>28</v>
      </c>
      <c r="N1086" t="s">
        <v>28</v>
      </c>
      <c r="O1086" t="s">
        <v>28</v>
      </c>
      <c r="P1086" t="s">
        <v>28</v>
      </c>
      <c r="Q1086" t="s">
        <v>170</v>
      </c>
      <c r="R1086" t="s">
        <v>163</v>
      </c>
      <c r="S1086">
        <v>113</v>
      </c>
      <c r="T1086" t="s">
        <v>166</v>
      </c>
      <c r="U1086">
        <v>20231112</v>
      </c>
      <c r="V1086">
        <v>3</v>
      </c>
      <c r="W1086">
        <v>5</v>
      </c>
      <c r="X1086" t="s">
        <v>160</v>
      </c>
    </row>
    <row r="1087" spans="1:24" x14ac:dyDescent="0.2">
      <c r="A1087" t="str">
        <f t="shared" si="48"/>
        <v>sample_novaseq-16S-F-C06-L5_SICap-P22-C6-MouseStool-Feces-mouse-20231112-113-Purple-1</v>
      </c>
      <c r="B1087" s="1" t="s">
        <v>683</v>
      </c>
      <c r="C1087" s="3" t="s">
        <v>1259</v>
      </c>
      <c r="D1087" s="3" t="s">
        <v>1328</v>
      </c>
      <c r="E1087" t="s">
        <v>20</v>
      </c>
      <c r="F1087" t="s">
        <v>161</v>
      </c>
      <c r="G1087" t="s">
        <v>70</v>
      </c>
      <c r="H1087" t="str">
        <f t="shared" si="49"/>
        <v>06</v>
      </c>
      <c r="I1087" t="str">
        <f t="shared" si="50"/>
        <v>C</v>
      </c>
      <c r="J1087" t="s">
        <v>162</v>
      </c>
      <c r="K1087" t="s">
        <v>28</v>
      </c>
      <c r="L1087" t="s">
        <v>28</v>
      </c>
      <c r="M1087" t="s">
        <v>28</v>
      </c>
      <c r="N1087" t="s">
        <v>28</v>
      </c>
      <c r="O1087" t="s">
        <v>28</v>
      </c>
      <c r="P1087" t="s">
        <v>28</v>
      </c>
      <c r="Q1087" t="s">
        <v>170</v>
      </c>
      <c r="R1087" t="s">
        <v>163</v>
      </c>
      <c r="S1087">
        <v>113</v>
      </c>
      <c r="T1087" t="s">
        <v>167</v>
      </c>
      <c r="U1087">
        <v>20231112</v>
      </c>
      <c r="V1087">
        <v>3</v>
      </c>
      <c r="W1087">
        <v>5</v>
      </c>
      <c r="X1087" t="s">
        <v>160</v>
      </c>
    </row>
    <row r="1088" spans="1:24" x14ac:dyDescent="0.2">
      <c r="A1088" t="str">
        <f t="shared" si="48"/>
        <v>sample_novaseq-16S-F-C07-L5_SICap-P22-C7-MouseStool-Feces-mouse-20231112-113-Green-1</v>
      </c>
      <c r="B1088" s="1" t="s">
        <v>684</v>
      </c>
      <c r="C1088" s="3" t="s">
        <v>1260</v>
      </c>
      <c r="D1088" s="3" t="s">
        <v>1328</v>
      </c>
      <c r="E1088" t="s">
        <v>20</v>
      </c>
      <c r="F1088" t="s">
        <v>161</v>
      </c>
      <c r="G1088" t="s">
        <v>71</v>
      </c>
      <c r="H1088" t="str">
        <f t="shared" si="49"/>
        <v>07</v>
      </c>
      <c r="I1088" t="str">
        <f t="shared" si="50"/>
        <v>C</v>
      </c>
      <c r="J1088" t="s">
        <v>162</v>
      </c>
      <c r="K1088" t="s">
        <v>28</v>
      </c>
      <c r="L1088" t="s">
        <v>28</v>
      </c>
      <c r="M1088" t="s">
        <v>28</v>
      </c>
      <c r="N1088" t="s">
        <v>28</v>
      </c>
      <c r="O1088" t="s">
        <v>28</v>
      </c>
      <c r="P1088" t="s">
        <v>28</v>
      </c>
      <c r="Q1088" t="s">
        <v>170</v>
      </c>
      <c r="R1088" t="s">
        <v>163</v>
      </c>
      <c r="S1088">
        <v>113</v>
      </c>
      <c r="T1088" t="s">
        <v>169</v>
      </c>
      <c r="U1088">
        <v>20231112</v>
      </c>
      <c r="V1088">
        <v>3</v>
      </c>
      <c r="W1088">
        <v>5</v>
      </c>
      <c r="X1088" t="s">
        <v>160</v>
      </c>
    </row>
    <row r="1089" spans="1:24" x14ac:dyDescent="0.2">
      <c r="A1089" t="str">
        <f t="shared" si="48"/>
        <v>sample_novaseq-16S-F-C08-L5_SICap-P22-C8-MouseStool-Feces-mouse-20231113-111-Orange-3</v>
      </c>
      <c r="B1089" s="1" t="s">
        <v>685</v>
      </c>
      <c r="C1089" s="3" t="s">
        <v>1261</v>
      </c>
      <c r="D1089" s="3" t="s">
        <v>1328</v>
      </c>
      <c r="E1089" t="s">
        <v>20</v>
      </c>
      <c r="F1089" t="s">
        <v>161</v>
      </c>
      <c r="G1089" t="s">
        <v>72</v>
      </c>
      <c r="H1089" t="str">
        <f t="shared" si="49"/>
        <v>08</v>
      </c>
      <c r="I1089" t="str">
        <f t="shared" si="50"/>
        <v>C</v>
      </c>
      <c r="J1089" t="s">
        <v>162</v>
      </c>
      <c r="K1089" t="s">
        <v>28</v>
      </c>
      <c r="L1089" t="s">
        <v>28</v>
      </c>
      <c r="M1089" t="s">
        <v>28</v>
      </c>
      <c r="N1089" t="s">
        <v>28</v>
      </c>
      <c r="O1089" t="s">
        <v>28</v>
      </c>
      <c r="P1089" t="s">
        <v>28</v>
      </c>
      <c r="Q1089" t="s">
        <v>47</v>
      </c>
      <c r="R1089" t="s">
        <v>163</v>
      </c>
      <c r="S1089">
        <v>111</v>
      </c>
      <c r="T1089" t="s">
        <v>165</v>
      </c>
      <c r="U1089">
        <v>20231113</v>
      </c>
      <c r="V1089">
        <v>4</v>
      </c>
      <c r="W1089">
        <v>5</v>
      </c>
      <c r="X1089" t="s">
        <v>160</v>
      </c>
    </row>
    <row r="1090" spans="1:24" x14ac:dyDescent="0.2">
      <c r="A1090" t="str">
        <f t="shared" si="48"/>
        <v>sample_novaseq-16S-F-C09-L5_SICap-P22-C9-MouseStool-Feces-mouse-20231113-111-Clear-3</v>
      </c>
      <c r="B1090" s="1" t="s">
        <v>686</v>
      </c>
      <c r="C1090" s="3" t="s">
        <v>1262</v>
      </c>
      <c r="D1090" s="3" t="s">
        <v>1328</v>
      </c>
      <c r="E1090" t="s">
        <v>20</v>
      </c>
      <c r="F1090" t="s">
        <v>161</v>
      </c>
      <c r="G1090" t="s">
        <v>73</v>
      </c>
      <c r="H1090" t="str">
        <f t="shared" si="49"/>
        <v>09</v>
      </c>
      <c r="I1090" t="str">
        <f t="shared" si="50"/>
        <v>C</v>
      </c>
      <c r="J1090" t="s">
        <v>162</v>
      </c>
      <c r="K1090" t="s">
        <v>28</v>
      </c>
      <c r="L1090" t="s">
        <v>28</v>
      </c>
      <c r="M1090" t="s">
        <v>28</v>
      </c>
      <c r="N1090" t="s">
        <v>28</v>
      </c>
      <c r="O1090" t="s">
        <v>28</v>
      </c>
      <c r="P1090" t="s">
        <v>28</v>
      </c>
      <c r="Q1090" t="s">
        <v>47</v>
      </c>
      <c r="R1090" t="s">
        <v>163</v>
      </c>
      <c r="S1090">
        <v>111</v>
      </c>
      <c r="T1090" t="s">
        <v>166</v>
      </c>
      <c r="U1090">
        <v>20231113</v>
      </c>
      <c r="V1090">
        <v>4</v>
      </c>
      <c r="W1090">
        <v>5</v>
      </c>
      <c r="X1090" t="s">
        <v>160</v>
      </c>
    </row>
    <row r="1091" spans="1:24" x14ac:dyDescent="0.2">
      <c r="A1091" t="str">
        <f t="shared" ref="A1091:A1153" si="51">_xlfn.CONCAT("sample_novaseq-",C1091)</f>
        <v>sample_novaseq-16S-F-C10-L5_SICap-P22-C10-MouseStool-Feces-mouse-20231113-111-Yellow-1</v>
      </c>
      <c r="B1091" s="1" t="s">
        <v>687</v>
      </c>
      <c r="C1091" s="3" t="s">
        <v>1263</v>
      </c>
      <c r="D1091" s="3" t="s">
        <v>1328</v>
      </c>
      <c r="E1091" t="s">
        <v>20</v>
      </c>
      <c r="F1091" t="s">
        <v>161</v>
      </c>
      <c r="G1091" t="s">
        <v>74</v>
      </c>
      <c r="H1091" t="str">
        <f t="shared" ref="H1091:H1153" si="52">RIGHT(G1091,2)</f>
        <v>10</v>
      </c>
      <c r="I1091" t="str">
        <f t="shared" ref="I1091:I1153" si="53">LEFT(G1091)</f>
        <v>C</v>
      </c>
      <c r="J1091" t="s">
        <v>162</v>
      </c>
      <c r="K1091" t="s">
        <v>28</v>
      </c>
      <c r="L1091" t="s">
        <v>28</v>
      </c>
      <c r="M1091" t="s">
        <v>28</v>
      </c>
      <c r="N1091" t="s">
        <v>28</v>
      </c>
      <c r="O1091" t="s">
        <v>28</v>
      </c>
      <c r="P1091" t="s">
        <v>28</v>
      </c>
      <c r="Q1091" t="s">
        <v>47</v>
      </c>
      <c r="R1091" t="s">
        <v>163</v>
      </c>
      <c r="S1091">
        <v>111</v>
      </c>
      <c r="T1091" t="s">
        <v>168</v>
      </c>
      <c r="U1091">
        <v>20231113</v>
      </c>
      <c r="V1091">
        <v>4</v>
      </c>
      <c r="W1091">
        <v>5</v>
      </c>
      <c r="X1091" t="s">
        <v>160</v>
      </c>
    </row>
    <row r="1092" spans="1:24" x14ac:dyDescent="0.2">
      <c r="A1092" t="str">
        <f t="shared" si="51"/>
        <v>sample_novaseq-16S-F-C11-L5_SICap-P22-C11-MouseStool-Feces-mouse-20231113-114-Blue-3</v>
      </c>
      <c r="B1092" s="1" t="s">
        <v>688</v>
      </c>
      <c r="C1092" s="3" t="s">
        <v>1264</v>
      </c>
      <c r="D1092" s="3" t="s">
        <v>1328</v>
      </c>
      <c r="E1092" t="s">
        <v>20</v>
      </c>
      <c r="F1092" t="s">
        <v>161</v>
      </c>
      <c r="G1092" t="s">
        <v>75</v>
      </c>
      <c r="H1092" t="str">
        <f t="shared" si="52"/>
        <v>11</v>
      </c>
      <c r="I1092" t="str">
        <f t="shared" si="53"/>
        <v>C</v>
      </c>
      <c r="J1092" t="s">
        <v>162</v>
      </c>
      <c r="K1092" t="s">
        <v>28</v>
      </c>
      <c r="L1092" t="s">
        <v>28</v>
      </c>
      <c r="M1092" t="s">
        <v>28</v>
      </c>
      <c r="N1092" t="s">
        <v>28</v>
      </c>
      <c r="O1092" t="s">
        <v>28</v>
      </c>
      <c r="P1092" t="s">
        <v>28</v>
      </c>
      <c r="Q1092" t="s">
        <v>49</v>
      </c>
      <c r="R1092" t="s">
        <v>163</v>
      </c>
      <c r="S1092">
        <v>114</v>
      </c>
      <c r="T1092" t="s">
        <v>164</v>
      </c>
      <c r="U1092">
        <v>20231113</v>
      </c>
      <c r="V1092">
        <v>4</v>
      </c>
      <c r="W1092">
        <v>5</v>
      </c>
      <c r="X1092" t="s">
        <v>160</v>
      </c>
    </row>
    <row r="1093" spans="1:24" x14ac:dyDescent="0.2">
      <c r="A1093" t="str">
        <f t="shared" si="51"/>
        <v>sample_novaseq-16S-F-C12-L5_SICap-P22-C12-MouseStool-Feces-mouse-20231113-114-Orange-3</v>
      </c>
      <c r="B1093" s="1" t="s">
        <v>689</v>
      </c>
      <c r="C1093" s="3" t="s">
        <v>1265</v>
      </c>
      <c r="D1093" s="3" t="s">
        <v>1328</v>
      </c>
      <c r="E1093" t="s">
        <v>20</v>
      </c>
      <c r="F1093" t="s">
        <v>161</v>
      </c>
      <c r="G1093" t="s">
        <v>76</v>
      </c>
      <c r="H1093" t="str">
        <f t="shared" si="52"/>
        <v>12</v>
      </c>
      <c r="I1093" t="str">
        <f t="shared" si="53"/>
        <v>C</v>
      </c>
      <c r="J1093" t="s">
        <v>162</v>
      </c>
      <c r="K1093" t="s">
        <v>28</v>
      </c>
      <c r="L1093" t="s">
        <v>28</v>
      </c>
      <c r="M1093" t="s">
        <v>28</v>
      </c>
      <c r="N1093" t="s">
        <v>28</v>
      </c>
      <c r="O1093" t="s">
        <v>28</v>
      </c>
      <c r="P1093" t="s">
        <v>28</v>
      </c>
      <c r="Q1093" t="s">
        <v>49</v>
      </c>
      <c r="R1093" t="s">
        <v>163</v>
      </c>
      <c r="S1093">
        <v>114</v>
      </c>
      <c r="T1093" t="s">
        <v>165</v>
      </c>
      <c r="U1093">
        <v>20231113</v>
      </c>
      <c r="V1093">
        <v>4</v>
      </c>
      <c r="W1093">
        <v>5</v>
      </c>
      <c r="X1093" t="s">
        <v>160</v>
      </c>
    </row>
    <row r="1094" spans="1:24" x14ac:dyDescent="0.2">
      <c r="A1094" t="str">
        <f t="shared" si="51"/>
        <v>sample_novaseq-16S-F-D01-L5_SICap-P22-D1-MouseStool-Feces-mouse-20231113-114-Clear-3</v>
      </c>
      <c r="B1094" s="1" t="s">
        <v>690</v>
      </c>
      <c r="C1094" s="3" t="s">
        <v>1266</v>
      </c>
      <c r="D1094" s="3" t="s">
        <v>1328</v>
      </c>
      <c r="E1094" t="s">
        <v>20</v>
      </c>
      <c r="F1094" t="s">
        <v>161</v>
      </c>
      <c r="G1094" t="s">
        <v>77</v>
      </c>
      <c r="H1094" t="str">
        <f t="shared" si="52"/>
        <v>01</v>
      </c>
      <c r="I1094" t="str">
        <f t="shared" si="53"/>
        <v>D</v>
      </c>
      <c r="J1094" t="s">
        <v>162</v>
      </c>
      <c r="K1094" t="s">
        <v>28</v>
      </c>
      <c r="L1094" t="s">
        <v>28</v>
      </c>
      <c r="M1094" t="s">
        <v>28</v>
      </c>
      <c r="N1094" t="s">
        <v>28</v>
      </c>
      <c r="O1094" t="s">
        <v>28</v>
      </c>
      <c r="P1094" t="s">
        <v>28</v>
      </c>
      <c r="Q1094" t="s">
        <v>49</v>
      </c>
      <c r="R1094" t="s">
        <v>163</v>
      </c>
      <c r="S1094">
        <v>114</v>
      </c>
      <c r="T1094" t="s">
        <v>166</v>
      </c>
      <c r="U1094">
        <v>20231113</v>
      </c>
      <c r="V1094">
        <v>4</v>
      </c>
      <c r="W1094">
        <v>5</v>
      </c>
      <c r="X1094" t="s">
        <v>160</v>
      </c>
    </row>
    <row r="1095" spans="1:24" x14ac:dyDescent="0.2">
      <c r="A1095" t="str">
        <f t="shared" si="51"/>
        <v>sample_novaseq-16S-F-D02-L5_SICap-P22-D2-MouseStool-Feces-mouse-20231113-114-Purple-1</v>
      </c>
      <c r="B1095" s="1" t="s">
        <v>691</v>
      </c>
      <c r="C1095" s="3" t="s">
        <v>1267</v>
      </c>
      <c r="D1095" s="3" t="s">
        <v>1328</v>
      </c>
      <c r="E1095" t="s">
        <v>20</v>
      </c>
      <c r="F1095" t="s">
        <v>161</v>
      </c>
      <c r="G1095" t="s">
        <v>79</v>
      </c>
      <c r="H1095" t="str">
        <f t="shared" si="52"/>
        <v>02</v>
      </c>
      <c r="I1095" t="str">
        <f t="shared" si="53"/>
        <v>D</v>
      </c>
      <c r="J1095" t="s">
        <v>162</v>
      </c>
      <c r="K1095" t="s">
        <v>28</v>
      </c>
      <c r="L1095" t="s">
        <v>28</v>
      </c>
      <c r="M1095" t="s">
        <v>28</v>
      </c>
      <c r="N1095" t="s">
        <v>28</v>
      </c>
      <c r="O1095" t="s">
        <v>28</v>
      </c>
      <c r="P1095" t="s">
        <v>28</v>
      </c>
      <c r="Q1095" t="s">
        <v>49</v>
      </c>
      <c r="R1095" t="s">
        <v>163</v>
      </c>
      <c r="S1095">
        <v>114</v>
      </c>
      <c r="T1095" t="s">
        <v>167</v>
      </c>
      <c r="U1095">
        <v>20231113</v>
      </c>
      <c r="V1095">
        <v>4</v>
      </c>
      <c r="W1095">
        <v>5</v>
      </c>
      <c r="X1095" t="s">
        <v>160</v>
      </c>
    </row>
    <row r="1096" spans="1:24" x14ac:dyDescent="0.2">
      <c r="A1096" t="str">
        <f t="shared" si="51"/>
        <v>sample_novaseq-16S-F-D03-L5_SICap-P22-D3-MouseStool-Feces-mouse-20231113-114-Yellow-1</v>
      </c>
      <c r="B1096" s="1" t="s">
        <v>692</v>
      </c>
      <c r="C1096" s="3" t="s">
        <v>1268</v>
      </c>
      <c r="D1096" s="3" t="s">
        <v>1328</v>
      </c>
      <c r="E1096" t="s">
        <v>20</v>
      </c>
      <c r="F1096" t="s">
        <v>161</v>
      </c>
      <c r="G1096" t="s">
        <v>80</v>
      </c>
      <c r="H1096" t="str">
        <f t="shared" si="52"/>
        <v>03</v>
      </c>
      <c r="I1096" t="str">
        <f t="shared" si="53"/>
        <v>D</v>
      </c>
      <c r="J1096" t="s">
        <v>162</v>
      </c>
      <c r="K1096" t="s">
        <v>28</v>
      </c>
      <c r="L1096" t="s">
        <v>28</v>
      </c>
      <c r="M1096" t="s">
        <v>28</v>
      </c>
      <c r="N1096" t="s">
        <v>28</v>
      </c>
      <c r="O1096" t="s">
        <v>28</v>
      </c>
      <c r="P1096" t="s">
        <v>28</v>
      </c>
      <c r="Q1096" t="s">
        <v>49</v>
      </c>
      <c r="R1096" t="s">
        <v>163</v>
      </c>
      <c r="S1096">
        <v>114</v>
      </c>
      <c r="T1096" t="s">
        <v>168</v>
      </c>
      <c r="U1096">
        <v>20231113</v>
      </c>
      <c r="V1096">
        <v>4</v>
      </c>
      <c r="W1096">
        <v>5</v>
      </c>
      <c r="X1096" t="s">
        <v>160</v>
      </c>
    </row>
    <row r="1097" spans="1:24" x14ac:dyDescent="0.2">
      <c r="A1097" t="str">
        <f t="shared" si="51"/>
        <v>sample_novaseq-16S-F-D04-L5_SICap-P22-D4-MouseStool-Feces-mouse-20231113-114-Green-1</v>
      </c>
      <c r="B1097" s="1" t="s">
        <v>693</v>
      </c>
      <c r="C1097" s="3" t="s">
        <v>1269</v>
      </c>
      <c r="D1097" s="3" t="s">
        <v>1328</v>
      </c>
      <c r="E1097" t="s">
        <v>20</v>
      </c>
      <c r="F1097" t="s">
        <v>161</v>
      </c>
      <c r="G1097" t="s">
        <v>81</v>
      </c>
      <c r="H1097" t="str">
        <f t="shared" si="52"/>
        <v>04</v>
      </c>
      <c r="I1097" t="str">
        <f t="shared" si="53"/>
        <v>D</v>
      </c>
      <c r="J1097" t="s">
        <v>162</v>
      </c>
      <c r="K1097" t="s">
        <v>28</v>
      </c>
      <c r="L1097" t="s">
        <v>28</v>
      </c>
      <c r="M1097" t="s">
        <v>28</v>
      </c>
      <c r="N1097" t="s">
        <v>28</v>
      </c>
      <c r="O1097" t="s">
        <v>28</v>
      </c>
      <c r="P1097" t="s">
        <v>28</v>
      </c>
      <c r="Q1097" t="s">
        <v>49</v>
      </c>
      <c r="R1097" t="s">
        <v>163</v>
      </c>
      <c r="S1097">
        <v>114</v>
      </c>
      <c r="T1097" t="s">
        <v>169</v>
      </c>
      <c r="U1097">
        <v>20231113</v>
      </c>
      <c r="V1097">
        <v>4</v>
      </c>
      <c r="W1097">
        <v>5</v>
      </c>
      <c r="X1097" t="s">
        <v>160</v>
      </c>
    </row>
    <row r="1098" spans="1:24" x14ac:dyDescent="0.2">
      <c r="A1098" t="str">
        <f t="shared" si="51"/>
        <v>sample_novaseq-16S-F-D05-L5_SICap-P22-D5-MouseStool-Feces-mouse-20231113-113-Blue-3</v>
      </c>
      <c r="B1098" s="1" t="s">
        <v>694</v>
      </c>
      <c r="C1098" s="3" t="s">
        <v>1270</v>
      </c>
      <c r="D1098" s="3" t="s">
        <v>1328</v>
      </c>
      <c r="E1098" t="s">
        <v>20</v>
      </c>
      <c r="F1098" t="s">
        <v>161</v>
      </c>
      <c r="G1098" t="s">
        <v>82</v>
      </c>
      <c r="H1098" t="str">
        <f t="shared" si="52"/>
        <v>05</v>
      </c>
      <c r="I1098" t="str">
        <f t="shared" si="53"/>
        <v>D</v>
      </c>
      <c r="J1098" t="s">
        <v>162</v>
      </c>
      <c r="K1098" t="s">
        <v>28</v>
      </c>
      <c r="L1098" t="s">
        <v>28</v>
      </c>
      <c r="M1098" t="s">
        <v>28</v>
      </c>
      <c r="N1098" t="s">
        <v>28</v>
      </c>
      <c r="O1098" t="s">
        <v>28</v>
      </c>
      <c r="P1098" t="s">
        <v>28</v>
      </c>
      <c r="Q1098" t="s">
        <v>170</v>
      </c>
      <c r="R1098" t="s">
        <v>163</v>
      </c>
      <c r="S1098">
        <v>113</v>
      </c>
      <c r="T1098" t="s">
        <v>164</v>
      </c>
      <c r="U1098">
        <v>20231113</v>
      </c>
      <c r="V1098">
        <v>4</v>
      </c>
      <c r="W1098">
        <v>5</v>
      </c>
      <c r="X1098" t="s">
        <v>160</v>
      </c>
    </row>
    <row r="1099" spans="1:24" x14ac:dyDescent="0.2">
      <c r="A1099" t="str">
        <f t="shared" si="51"/>
        <v>sample_novaseq-16S-F-D06-L5_SICap-P22-D6-MouseStool-Feces-mouse-20231113-113-Clear-3</v>
      </c>
      <c r="B1099" s="1" t="s">
        <v>695</v>
      </c>
      <c r="C1099" s="3" t="s">
        <v>1271</v>
      </c>
      <c r="D1099" s="3" t="s">
        <v>1328</v>
      </c>
      <c r="E1099" t="s">
        <v>20</v>
      </c>
      <c r="F1099" t="s">
        <v>161</v>
      </c>
      <c r="G1099" t="s">
        <v>83</v>
      </c>
      <c r="H1099" t="str">
        <f t="shared" si="52"/>
        <v>06</v>
      </c>
      <c r="I1099" t="str">
        <f t="shared" si="53"/>
        <v>D</v>
      </c>
      <c r="J1099" t="s">
        <v>162</v>
      </c>
      <c r="K1099" t="s">
        <v>28</v>
      </c>
      <c r="L1099" t="s">
        <v>28</v>
      </c>
      <c r="M1099" t="s">
        <v>28</v>
      </c>
      <c r="N1099" t="s">
        <v>28</v>
      </c>
      <c r="O1099" t="s">
        <v>28</v>
      </c>
      <c r="P1099" t="s">
        <v>28</v>
      </c>
      <c r="Q1099" t="s">
        <v>170</v>
      </c>
      <c r="R1099" t="s">
        <v>163</v>
      </c>
      <c r="S1099">
        <v>113</v>
      </c>
      <c r="T1099" t="s">
        <v>166</v>
      </c>
      <c r="U1099">
        <v>20231113</v>
      </c>
      <c r="V1099">
        <v>4</v>
      </c>
      <c r="W1099">
        <v>5</v>
      </c>
      <c r="X1099" t="s">
        <v>160</v>
      </c>
    </row>
    <row r="1100" spans="1:24" x14ac:dyDescent="0.2">
      <c r="A1100" t="str">
        <f t="shared" si="51"/>
        <v>sample_novaseq-16S-F-D07-L5_SICap-P22-D7-MouseStool-Feces-mouse-20231113-113-Purple-1</v>
      </c>
      <c r="B1100" s="1" t="s">
        <v>696</v>
      </c>
      <c r="C1100" s="3" t="s">
        <v>1272</v>
      </c>
      <c r="D1100" s="3" t="s">
        <v>1328</v>
      </c>
      <c r="E1100" t="s">
        <v>20</v>
      </c>
      <c r="F1100" t="s">
        <v>161</v>
      </c>
      <c r="G1100" t="s">
        <v>84</v>
      </c>
      <c r="H1100" t="str">
        <f t="shared" si="52"/>
        <v>07</v>
      </c>
      <c r="I1100" t="str">
        <f t="shared" si="53"/>
        <v>D</v>
      </c>
      <c r="J1100" t="s">
        <v>162</v>
      </c>
      <c r="K1100" t="s">
        <v>28</v>
      </c>
      <c r="L1100" t="s">
        <v>28</v>
      </c>
      <c r="M1100" t="s">
        <v>28</v>
      </c>
      <c r="N1100" t="s">
        <v>28</v>
      </c>
      <c r="O1100" t="s">
        <v>28</v>
      </c>
      <c r="P1100" t="s">
        <v>28</v>
      </c>
      <c r="Q1100" t="s">
        <v>170</v>
      </c>
      <c r="R1100" t="s">
        <v>163</v>
      </c>
      <c r="S1100">
        <v>113</v>
      </c>
      <c r="T1100" t="s">
        <v>167</v>
      </c>
      <c r="U1100">
        <v>20231113</v>
      </c>
      <c r="V1100">
        <v>4</v>
      </c>
      <c r="W1100">
        <v>5</v>
      </c>
      <c r="X1100" t="s">
        <v>160</v>
      </c>
    </row>
    <row r="1101" spans="1:24" x14ac:dyDescent="0.2">
      <c r="A1101" t="str">
        <f t="shared" si="51"/>
        <v>sample_novaseq-16S-F-D08-L5_SICap-P22-D8-MouseStool-Feces-mouse-20231113-113-Yellow-1</v>
      </c>
      <c r="B1101" s="1" t="s">
        <v>697</v>
      </c>
      <c r="C1101" s="3" t="s">
        <v>1273</v>
      </c>
      <c r="D1101" s="3" t="s">
        <v>1328</v>
      </c>
      <c r="E1101" t="s">
        <v>20</v>
      </c>
      <c r="F1101" t="s">
        <v>161</v>
      </c>
      <c r="G1101" t="s">
        <v>85</v>
      </c>
      <c r="H1101" t="str">
        <f t="shared" si="52"/>
        <v>08</v>
      </c>
      <c r="I1101" t="str">
        <f t="shared" si="53"/>
        <v>D</v>
      </c>
      <c r="J1101" t="s">
        <v>162</v>
      </c>
      <c r="K1101" t="s">
        <v>28</v>
      </c>
      <c r="L1101" t="s">
        <v>28</v>
      </c>
      <c r="M1101" t="s">
        <v>28</v>
      </c>
      <c r="N1101" t="s">
        <v>28</v>
      </c>
      <c r="O1101" t="s">
        <v>28</v>
      </c>
      <c r="P1101" t="s">
        <v>28</v>
      </c>
      <c r="Q1101" t="s">
        <v>170</v>
      </c>
      <c r="R1101" t="s">
        <v>163</v>
      </c>
      <c r="S1101">
        <v>113</v>
      </c>
      <c r="T1101" t="s">
        <v>168</v>
      </c>
      <c r="U1101">
        <v>20231113</v>
      </c>
      <c r="V1101">
        <v>4</v>
      </c>
      <c r="W1101">
        <v>5</v>
      </c>
      <c r="X1101" t="s">
        <v>160</v>
      </c>
    </row>
    <row r="1102" spans="1:24" x14ac:dyDescent="0.2">
      <c r="A1102" t="str">
        <f t="shared" si="51"/>
        <v>sample_novaseq-16S-F-D09-L5_SICap-P22-D9-MouseStool-Feces-mouse-20231113-113-Green-1</v>
      </c>
      <c r="B1102" s="1" t="s">
        <v>698</v>
      </c>
      <c r="C1102" s="3" t="s">
        <v>1274</v>
      </c>
      <c r="D1102" s="3" t="s">
        <v>1328</v>
      </c>
      <c r="E1102" t="s">
        <v>20</v>
      </c>
      <c r="F1102" t="s">
        <v>161</v>
      </c>
      <c r="G1102" t="s">
        <v>86</v>
      </c>
      <c r="H1102" t="str">
        <f t="shared" si="52"/>
        <v>09</v>
      </c>
      <c r="I1102" t="str">
        <f t="shared" si="53"/>
        <v>D</v>
      </c>
      <c r="J1102" t="s">
        <v>162</v>
      </c>
      <c r="K1102" t="s">
        <v>28</v>
      </c>
      <c r="L1102" t="s">
        <v>28</v>
      </c>
      <c r="M1102" t="s">
        <v>28</v>
      </c>
      <c r="N1102" t="s">
        <v>28</v>
      </c>
      <c r="O1102" t="s">
        <v>28</v>
      </c>
      <c r="P1102" t="s">
        <v>28</v>
      </c>
      <c r="Q1102" t="s">
        <v>170</v>
      </c>
      <c r="R1102" t="s">
        <v>163</v>
      </c>
      <c r="S1102">
        <v>113</v>
      </c>
      <c r="T1102" t="s">
        <v>169</v>
      </c>
      <c r="U1102">
        <v>20231113</v>
      </c>
      <c r="V1102">
        <v>4</v>
      </c>
      <c r="W1102">
        <v>5</v>
      </c>
      <c r="X1102" t="s">
        <v>160</v>
      </c>
    </row>
    <row r="1103" spans="1:24" x14ac:dyDescent="0.2">
      <c r="A1103" t="str">
        <f t="shared" si="51"/>
        <v>sample_novaseq-16S-F-D10-L5_SICap-P22-D10-MouseStool-Feces-mouse-20231116-111-Orange-3</v>
      </c>
      <c r="B1103" s="1" t="s">
        <v>699</v>
      </c>
      <c r="C1103" s="3" t="s">
        <v>1275</v>
      </c>
      <c r="D1103" s="3" t="s">
        <v>1328</v>
      </c>
      <c r="E1103" t="s">
        <v>20</v>
      </c>
      <c r="F1103" t="s">
        <v>161</v>
      </c>
      <c r="G1103" t="s">
        <v>87</v>
      </c>
      <c r="H1103" t="str">
        <f t="shared" si="52"/>
        <v>10</v>
      </c>
      <c r="I1103" t="str">
        <f t="shared" si="53"/>
        <v>D</v>
      </c>
      <c r="J1103" t="s">
        <v>162</v>
      </c>
      <c r="K1103" t="s">
        <v>28</v>
      </c>
      <c r="L1103" t="s">
        <v>28</v>
      </c>
      <c r="M1103" t="s">
        <v>28</v>
      </c>
      <c r="N1103" t="s">
        <v>28</v>
      </c>
      <c r="O1103" t="s">
        <v>28</v>
      </c>
      <c r="P1103" t="s">
        <v>28</v>
      </c>
      <c r="Q1103" t="s">
        <v>47</v>
      </c>
      <c r="R1103" t="s">
        <v>163</v>
      </c>
      <c r="S1103">
        <v>111</v>
      </c>
      <c r="T1103" t="s">
        <v>165</v>
      </c>
      <c r="U1103">
        <v>20231116</v>
      </c>
      <c r="V1103">
        <v>7</v>
      </c>
      <c r="W1103">
        <v>5</v>
      </c>
      <c r="X1103" t="s">
        <v>160</v>
      </c>
    </row>
    <row r="1104" spans="1:24" x14ac:dyDescent="0.2">
      <c r="A1104" t="str">
        <f t="shared" si="51"/>
        <v>sample_novaseq-16S-F-D11-L5_SICap-P22-D11-MouseStool-Feces-mouse-20231116-114-Blue-3</v>
      </c>
      <c r="B1104" s="1" t="s">
        <v>700</v>
      </c>
      <c r="C1104" s="3" t="s">
        <v>1276</v>
      </c>
      <c r="D1104" s="3" t="s">
        <v>1328</v>
      </c>
      <c r="E1104" t="s">
        <v>20</v>
      </c>
      <c r="F1104" t="s">
        <v>161</v>
      </c>
      <c r="G1104" t="s">
        <v>88</v>
      </c>
      <c r="H1104" t="str">
        <f t="shared" si="52"/>
        <v>11</v>
      </c>
      <c r="I1104" t="str">
        <f t="shared" si="53"/>
        <v>D</v>
      </c>
      <c r="J1104" t="s">
        <v>162</v>
      </c>
      <c r="K1104" t="s">
        <v>28</v>
      </c>
      <c r="L1104" t="s">
        <v>28</v>
      </c>
      <c r="M1104" t="s">
        <v>28</v>
      </c>
      <c r="N1104" t="s">
        <v>28</v>
      </c>
      <c r="O1104" t="s">
        <v>28</v>
      </c>
      <c r="P1104" t="s">
        <v>28</v>
      </c>
      <c r="Q1104" t="s">
        <v>49</v>
      </c>
      <c r="R1104" t="s">
        <v>163</v>
      </c>
      <c r="S1104">
        <v>114</v>
      </c>
      <c r="T1104" t="s">
        <v>164</v>
      </c>
      <c r="U1104">
        <v>20231116</v>
      </c>
      <c r="V1104">
        <v>7</v>
      </c>
      <c r="W1104">
        <v>5</v>
      </c>
      <c r="X1104" t="s">
        <v>160</v>
      </c>
    </row>
    <row r="1105" spans="1:24" x14ac:dyDescent="0.2">
      <c r="A1105" t="str">
        <f t="shared" si="51"/>
        <v>sample_novaseq-16S-F-D12-L5_SICap-P22-D12-MouseStool-Feces-mouse-20231116-114-Orange-3</v>
      </c>
      <c r="B1105" s="1" t="s">
        <v>701</v>
      </c>
      <c r="C1105" s="3" t="s">
        <v>1277</v>
      </c>
      <c r="D1105" s="3" t="s">
        <v>1328</v>
      </c>
      <c r="E1105" t="s">
        <v>20</v>
      </c>
      <c r="F1105" t="s">
        <v>161</v>
      </c>
      <c r="G1105" t="s">
        <v>89</v>
      </c>
      <c r="H1105" t="str">
        <f t="shared" si="52"/>
        <v>12</v>
      </c>
      <c r="I1105" t="str">
        <f t="shared" si="53"/>
        <v>D</v>
      </c>
      <c r="J1105" t="s">
        <v>162</v>
      </c>
      <c r="K1105" t="s">
        <v>28</v>
      </c>
      <c r="L1105" t="s">
        <v>28</v>
      </c>
      <c r="M1105" t="s">
        <v>28</v>
      </c>
      <c r="N1105" t="s">
        <v>28</v>
      </c>
      <c r="O1105" t="s">
        <v>28</v>
      </c>
      <c r="P1105" t="s">
        <v>28</v>
      </c>
      <c r="Q1105" t="s">
        <v>49</v>
      </c>
      <c r="R1105" t="s">
        <v>163</v>
      </c>
      <c r="S1105">
        <v>114</v>
      </c>
      <c r="T1105" t="s">
        <v>165</v>
      </c>
      <c r="U1105">
        <v>20231116</v>
      </c>
      <c r="V1105">
        <v>7</v>
      </c>
      <c r="W1105">
        <v>5</v>
      </c>
      <c r="X1105" t="s">
        <v>160</v>
      </c>
    </row>
    <row r="1106" spans="1:24" x14ac:dyDescent="0.2">
      <c r="A1106" t="str">
        <f t="shared" si="51"/>
        <v>sample_novaseq-16S-F-E01-L5_SICap-P22-E1-MouseStool-Feces-mouse-20231116-114-Clear-3</v>
      </c>
      <c r="B1106" s="1" t="s">
        <v>702</v>
      </c>
      <c r="C1106" s="3" t="s">
        <v>1278</v>
      </c>
      <c r="D1106" s="3" t="s">
        <v>1328</v>
      </c>
      <c r="E1106" t="s">
        <v>20</v>
      </c>
      <c r="F1106" t="s">
        <v>161</v>
      </c>
      <c r="G1106" t="s">
        <v>90</v>
      </c>
      <c r="H1106" t="str">
        <f t="shared" si="52"/>
        <v>01</v>
      </c>
      <c r="I1106" t="str">
        <f t="shared" si="53"/>
        <v>E</v>
      </c>
      <c r="J1106" t="s">
        <v>162</v>
      </c>
      <c r="K1106" t="s">
        <v>28</v>
      </c>
      <c r="L1106" t="s">
        <v>28</v>
      </c>
      <c r="M1106" t="s">
        <v>28</v>
      </c>
      <c r="N1106" t="s">
        <v>28</v>
      </c>
      <c r="O1106" t="s">
        <v>28</v>
      </c>
      <c r="P1106" t="s">
        <v>28</v>
      </c>
      <c r="Q1106" t="s">
        <v>49</v>
      </c>
      <c r="R1106" t="s">
        <v>163</v>
      </c>
      <c r="S1106">
        <v>114</v>
      </c>
      <c r="T1106" t="s">
        <v>166</v>
      </c>
      <c r="U1106">
        <v>20231116</v>
      </c>
      <c r="V1106">
        <v>7</v>
      </c>
      <c r="W1106">
        <v>5</v>
      </c>
      <c r="X1106" t="s">
        <v>160</v>
      </c>
    </row>
    <row r="1107" spans="1:24" x14ac:dyDescent="0.2">
      <c r="A1107" t="str">
        <f t="shared" si="51"/>
        <v>sample_novaseq-16S-F-E02-L5_SICap-P22-E2-MouseStool-Feces-mouse-20231116-114-Purple-1</v>
      </c>
      <c r="B1107" s="1" t="s">
        <v>703</v>
      </c>
      <c r="C1107" s="3" t="s">
        <v>1279</v>
      </c>
      <c r="D1107" s="3" t="s">
        <v>1328</v>
      </c>
      <c r="E1107" t="s">
        <v>20</v>
      </c>
      <c r="F1107" t="s">
        <v>161</v>
      </c>
      <c r="G1107" t="s">
        <v>92</v>
      </c>
      <c r="H1107" t="str">
        <f t="shared" si="52"/>
        <v>02</v>
      </c>
      <c r="I1107" t="str">
        <f t="shared" si="53"/>
        <v>E</v>
      </c>
      <c r="J1107" t="s">
        <v>162</v>
      </c>
      <c r="K1107" t="s">
        <v>28</v>
      </c>
      <c r="L1107" t="s">
        <v>28</v>
      </c>
      <c r="M1107" t="s">
        <v>28</v>
      </c>
      <c r="N1107" t="s">
        <v>28</v>
      </c>
      <c r="O1107" t="s">
        <v>28</v>
      </c>
      <c r="P1107" t="s">
        <v>28</v>
      </c>
      <c r="Q1107" t="s">
        <v>49</v>
      </c>
      <c r="R1107" t="s">
        <v>163</v>
      </c>
      <c r="S1107">
        <v>114</v>
      </c>
      <c r="T1107" t="s">
        <v>167</v>
      </c>
      <c r="U1107">
        <v>20231116</v>
      </c>
      <c r="V1107">
        <v>7</v>
      </c>
      <c r="W1107">
        <v>5</v>
      </c>
      <c r="X1107" t="s">
        <v>160</v>
      </c>
    </row>
    <row r="1108" spans="1:24" x14ac:dyDescent="0.2">
      <c r="A1108" t="str">
        <f t="shared" si="51"/>
        <v>sample_novaseq-16S-F-E03-L5_SICap-P22-E3-MouseStool-Feces-mouse-20231116-114-Yellow-1</v>
      </c>
      <c r="B1108" s="1" t="s">
        <v>704</v>
      </c>
      <c r="C1108" s="3" t="s">
        <v>1280</v>
      </c>
      <c r="D1108" s="3" t="s">
        <v>1328</v>
      </c>
      <c r="E1108" t="s">
        <v>20</v>
      </c>
      <c r="F1108" t="s">
        <v>161</v>
      </c>
      <c r="G1108" t="s">
        <v>93</v>
      </c>
      <c r="H1108" t="str">
        <f t="shared" si="52"/>
        <v>03</v>
      </c>
      <c r="I1108" t="str">
        <f t="shared" si="53"/>
        <v>E</v>
      </c>
      <c r="J1108" t="s">
        <v>162</v>
      </c>
      <c r="K1108" t="s">
        <v>28</v>
      </c>
      <c r="L1108" t="s">
        <v>28</v>
      </c>
      <c r="M1108" t="s">
        <v>28</v>
      </c>
      <c r="N1108" t="s">
        <v>28</v>
      </c>
      <c r="O1108" t="s">
        <v>28</v>
      </c>
      <c r="P1108" t="s">
        <v>28</v>
      </c>
      <c r="Q1108" t="s">
        <v>49</v>
      </c>
      <c r="R1108" t="s">
        <v>163</v>
      </c>
      <c r="S1108">
        <v>114</v>
      </c>
      <c r="T1108" t="s">
        <v>168</v>
      </c>
      <c r="U1108">
        <v>20231116</v>
      </c>
      <c r="V1108">
        <v>7</v>
      </c>
      <c r="W1108">
        <v>5</v>
      </c>
      <c r="X1108" t="s">
        <v>160</v>
      </c>
    </row>
    <row r="1109" spans="1:24" x14ac:dyDescent="0.2">
      <c r="A1109" t="str">
        <f t="shared" si="51"/>
        <v>sample_novaseq-16S-F-E04-L5_SICap-P22-E4-MouseStool-Feces-mouse-20231116-114-Green-1</v>
      </c>
      <c r="B1109" s="1" t="s">
        <v>705</v>
      </c>
      <c r="C1109" s="3" t="s">
        <v>1281</v>
      </c>
      <c r="D1109" s="3" t="s">
        <v>1328</v>
      </c>
      <c r="E1109" t="s">
        <v>20</v>
      </c>
      <c r="F1109" t="s">
        <v>161</v>
      </c>
      <c r="G1109" t="s">
        <v>94</v>
      </c>
      <c r="H1109" t="str">
        <f t="shared" si="52"/>
        <v>04</v>
      </c>
      <c r="I1109" t="str">
        <f t="shared" si="53"/>
        <v>E</v>
      </c>
      <c r="J1109" t="s">
        <v>162</v>
      </c>
      <c r="K1109" t="s">
        <v>28</v>
      </c>
      <c r="L1109" t="s">
        <v>28</v>
      </c>
      <c r="M1109" t="s">
        <v>28</v>
      </c>
      <c r="N1109" t="s">
        <v>28</v>
      </c>
      <c r="O1109" t="s">
        <v>28</v>
      </c>
      <c r="P1109" t="s">
        <v>28</v>
      </c>
      <c r="Q1109" t="s">
        <v>49</v>
      </c>
      <c r="R1109" t="s">
        <v>163</v>
      </c>
      <c r="S1109">
        <v>114</v>
      </c>
      <c r="T1109" t="s">
        <v>169</v>
      </c>
      <c r="U1109">
        <v>20231116</v>
      </c>
      <c r="V1109">
        <v>7</v>
      </c>
      <c r="W1109">
        <v>5</v>
      </c>
      <c r="X1109" t="s">
        <v>160</v>
      </c>
    </row>
    <row r="1110" spans="1:24" x14ac:dyDescent="0.2">
      <c r="A1110" t="str">
        <f t="shared" si="51"/>
        <v>sample_novaseq-16S-F-E05-L5_SICap-P22-E5-MouseStool-Feces-mouse-20231116-113-Blue-3</v>
      </c>
      <c r="B1110" s="1" t="s">
        <v>706</v>
      </c>
      <c r="C1110" s="3" t="s">
        <v>1282</v>
      </c>
      <c r="D1110" s="3" t="s">
        <v>1328</v>
      </c>
      <c r="E1110" t="s">
        <v>20</v>
      </c>
      <c r="F1110" t="s">
        <v>161</v>
      </c>
      <c r="G1110" t="s">
        <v>95</v>
      </c>
      <c r="H1110" t="str">
        <f t="shared" si="52"/>
        <v>05</v>
      </c>
      <c r="I1110" t="str">
        <f t="shared" si="53"/>
        <v>E</v>
      </c>
      <c r="J1110" t="s">
        <v>162</v>
      </c>
      <c r="K1110" t="s">
        <v>28</v>
      </c>
      <c r="L1110" t="s">
        <v>28</v>
      </c>
      <c r="M1110" t="s">
        <v>28</v>
      </c>
      <c r="N1110" t="s">
        <v>28</v>
      </c>
      <c r="O1110" t="s">
        <v>28</v>
      </c>
      <c r="P1110" t="s">
        <v>28</v>
      </c>
      <c r="Q1110" t="s">
        <v>170</v>
      </c>
      <c r="R1110" t="s">
        <v>163</v>
      </c>
      <c r="S1110">
        <v>113</v>
      </c>
      <c r="T1110" t="s">
        <v>164</v>
      </c>
      <c r="U1110">
        <v>20231116</v>
      </c>
      <c r="V1110">
        <v>7</v>
      </c>
      <c r="W1110">
        <v>5</v>
      </c>
      <c r="X1110" t="s">
        <v>160</v>
      </c>
    </row>
    <row r="1111" spans="1:24" x14ac:dyDescent="0.2">
      <c r="A1111" t="str">
        <f t="shared" si="51"/>
        <v>sample_novaseq-16S-F-E06-L5_SICap-P22-E6-MouseStool-Feces-mouse-20231116-113-Clear-3</v>
      </c>
      <c r="B1111" s="1" t="s">
        <v>707</v>
      </c>
      <c r="C1111" s="3" t="s">
        <v>1283</v>
      </c>
      <c r="D1111" s="3" t="s">
        <v>1328</v>
      </c>
      <c r="E1111" t="s">
        <v>20</v>
      </c>
      <c r="F1111" t="s">
        <v>161</v>
      </c>
      <c r="G1111" t="s">
        <v>96</v>
      </c>
      <c r="H1111" t="str">
        <f t="shared" si="52"/>
        <v>06</v>
      </c>
      <c r="I1111" t="str">
        <f t="shared" si="53"/>
        <v>E</v>
      </c>
      <c r="J1111" t="s">
        <v>162</v>
      </c>
      <c r="K1111" t="s">
        <v>28</v>
      </c>
      <c r="L1111" t="s">
        <v>28</v>
      </c>
      <c r="M1111" t="s">
        <v>28</v>
      </c>
      <c r="N1111" t="s">
        <v>28</v>
      </c>
      <c r="O1111" t="s">
        <v>28</v>
      </c>
      <c r="P1111" t="s">
        <v>28</v>
      </c>
      <c r="Q1111" t="s">
        <v>170</v>
      </c>
      <c r="R1111" t="s">
        <v>163</v>
      </c>
      <c r="S1111">
        <v>113</v>
      </c>
      <c r="T1111" t="s">
        <v>166</v>
      </c>
      <c r="U1111">
        <v>20231116</v>
      </c>
      <c r="V1111">
        <v>7</v>
      </c>
      <c r="W1111">
        <v>5</v>
      </c>
      <c r="X1111" t="s">
        <v>160</v>
      </c>
    </row>
    <row r="1112" spans="1:24" x14ac:dyDescent="0.2">
      <c r="A1112" t="str">
        <f t="shared" si="51"/>
        <v>sample_novaseq-16S-F-E07-L5_SICap-P22-E7-MouseStool-Feces-mouse-20231116-113-Purple-1</v>
      </c>
      <c r="B1112" s="1" t="s">
        <v>708</v>
      </c>
      <c r="C1112" s="3" t="s">
        <v>1284</v>
      </c>
      <c r="D1112" s="3" t="s">
        <v>1328</v>
      </c>
      <c r="E1112" t="s">
        <v>20</v>
      </c>
      <c r="F1112" t="s">
        <v>161</v>
      </c>
      <c r="G1112" t="s">
        <v>97</v>
      </c>
      <c r="H1112" t="str">
        <f t="shared" si="52"/>
        <v>07</v>
      </c>
      <c r="I1112" t="str">
        <f t="shared" si="53"/>
        <v>E</v>
      </c>
      <c r="J1112" t="s">
        <v>162</v>
      </c>
      <c r="K1112" t="s">
        <v>28</v>
      </c>
      <c r="L1112" t="s">
        <v>28</v>
      </c>
      <c r="M1112" t="s">
        <v>28</v>
      </c>
      <c r="N1112" t="s">
        <v>28</v>
      </c>
      <c r="O1112" t="s">
        <v>28</v>
      </c>
      <c r="P1112" t="s">
        <v>28</v>
      </c>
      <c r="Q1112" t="s">
        <v>170</v>
      </c>
      <c r="R1112" t="s">
        <v>163</v>
      </c>
      <c r="S1112">
        <v>113</v>
      </c>
      <c r="T1112" t="s">
        <v>167</v>
      </c>
      <c r="U1112">
        <v>20231116</v>
      </c>
      <c r="V1112">
        <v>7</v>
      </c>
      <c r="W1112">
        <v>5</v>
      </c>
      <c r="X1112" t="s">
        <v>160</v>
      </c>
    </row>
    <row r="1113" spans="1:24" x14ac:dyDescent="0.2">
      <c r="A1113" t="str">
        <f t="shared" si="51"/>
        <v>sample_novaseq-16S-F-E08-L5_SICap-P22-E8-MouseStool-Feces-mouse-20231116-113-Yellow-1</v>
      </c>
      <c r="B1113" s="1" t="s">
        <v>709</v>
      </c>
      <c r="C1113" s="3" t="s">
        <v>1285</v>
      </c>
      <c r="D1113" s="3" t="s">
        <v>1328</v>
      </c>
      <c r="E1113" t="s">
        <v>20</v>
      </c>
      <c r="F1113" t="s">
        <v>161</v>
      </c>
      <c r="G1113" t="s">
        <v>98</v>
      </c>
      <c r="H1113" t="str">
        <f t="shared" si="52"/>
        <v>08</v>
      </c>
      <c r="I1113" t="str">
        <f t="shared" si="53"/>
        <v>E</v>
      </c>
      <c r="J1113" t="s">
        <v>162</v>
      </c>
      <c r="K1113" t="s">
        <v>28</v>
      </c>
      <c r="L1113" t="s">
        <v>28</v>
      </c>
      <c r="M1113" t="s">
        <v>28</v>
      </c>
      <c r="N1113" t="s">
        <v>28</v>
      </c>
      <c r="O1113" t="s">
        <v>28</v>
      </c>
      <c r="P1113" t="s">
        <v>28</v>
      </c>
      <c r="Q1113" t="s">
        <v>170</v>
      </c>
      <c r="R1113" t="s">
        <v>163</v>
      </c>
      <c r="S1113">
        <v>113</v>
      </c>
      <c r="T1113" t="s">
        <v>168</v>
      </c>
      <c r="U1113">
        <v>20231116</v>
      </c>
      <c r="V1113">
        <v>7</v>
      </c>
      <c r="W1113">
        <v>5</v>
      </c>
      <c r="X1113" t="s">
        <v>160</v>
      </c>
    </row>
    <row r="1114" spans="1:24" x14ac:dyDescent="0.2">
      <c r="A1114" t="str">
        <f t="shared" si="51"/>
        <v>sample_novaseq-16S-F-E09-L5_SICap-P22-E9-MouseStool-Feces-mouse-20231116-113-Green-1</v>
      </c>
      <c r="B1114" s="1" t="s">
        <v>710</v>
      </c>
      <c r="C1114" s="3" t="s">
        <v>1286</v>
      </c>
      <c r="D1114" s="3" t="s">
        <v>1328</v>
      </c>
      <c r="E1114" t="s">
        <v>20</v>
      </c>
      <c r="F1114" t="s">
        <v>161</v>
      </c>
      <c r="G1114" t="s">
        <v>99</v>
      </c>
      <c r="H1114" t="str">
        <f t="shared" si="52"/>
        <v>09</v>
      </c>
      <c r="I1114" t="str">
        <f t="shared" si="53"/>
        <v>E</v>
      </c>
      <c r="J1114" t="s">
        <v>162</v>
      </c>
      <c r="K1114" t="s">
        <v>28</v>
      </c>
      <c r="L1114" t="s">
        <v>28</v>
      </c>
      <c r="M1114" t="s">
        <v>28</v>
      </c>
      <c r="N1114" t="s">
        <v>28</v>
      </c>
      <c r="O1114" t="s">
        <v>28</v>
      </c>
      <c r="P1114" t="s">
        <v>28</v>
      </c>
      <c r="Q1114" t="s">
        <v>170</v>
      </c>
      <c r="R1114" t="s">
        <v>163</v>
      </c>
      <c r="S1114">
        <v>113</v>
      </c>
      <c r="T1114" t="s">
        <v>169</v>
      </c>
      <c r="U1114">
        <v>20231116</v>
      </c>
      <c r="V1114">
        <v>7</v>
      </c>
      <c r="W1114">
        <v>5</v>
      </c>
      <c r="X1114" t="s">
        <v>160</v>
      </c>
    </row>
    <row r="1115" spans="1:24" x14ac:dyDescent="0.2">
      <c r="A1115" t="str">
        <f t="shared" si="51"/>
        <v>sample_novaseq-16S-F-E10-L5_SICap-P22-E10-MouseStool-Feces-mouse-20231128-111-Blue-3</v>
      </c>
      <c r="B1115" s="1" t="s">
        <v>711</v>
      </c>
      <c r="C1115" s="3" t="s">
        <v>1287</v>
      </c>
      <c r="D1115" s="3" t="s">
        <v>1328</v>
      </c>
      <c r="E1115" t="s">
        <v>20</v>
      </c>
      <c r="F1115" t="s">
        <v>161</v>
      </c>
      <c r="G1115" t="s">
        <v>100</v>
      </c>
      <c r="H1115" t="str">
        <f t="shared" si="52"/>
        <v>10</v>
      </c>
      <c r="I1115" t="str">
        <f t="shared" si="53"/>
        <v>E</v>
      </c>
      <c r="J1115" t="s">
        <v>162</v>
      </c>
      <c r="K1115" t="s">
        <v>28</v>
      </c>
      <c r="L1115" t="s">
        <v>28</v>
      </c>
      <c r="M1115" t="s">
        <v>28</v>
      </c>
      <c r="N1115" t="s">
        <v>28</v>
      </c>
      <c r="O1115" t="s">
        <v>28</v>
      </c>
      <c r="P1115" t="s">
        <v>28</v>
      </c>
      <c r="Q1115" t="s">
        <v>47</v>
      </c>
      <c r="R1115" t="s">
        <v>163</v>
      </c>
      <c r="S1115">
        <v>111</v>
      </c>
      <c r="T1115" t="s">
        <v>164</v>
      </c>
      <c r="U1115">
        <v>20231128</v>
      </c>
      <c r="V1115">
        <v>19</v>
      </c>
      <c r="W1115">
        <v>5</v>
      </c>
      <c r="X1115" t="s">
        <v>160</v>
      </c>
    </row>
    <row r="1116" spans="1:24" x14ac:dyDescent="0.2">
      <c r="A1116" t="str">
        <f t="shared" si="51"/>
        <v>sample_novaseq-16S-F-E11-L5_SICap-P22-E11-MouseStool-Feces-mouse-20231128-114-Blue-3</v>
      </c>
      <c r="B1116" s="1" t="s">
        <v>712</v>
      </c>
      <c r="C1116" s="3" t="s">
        <v>1288</v>
      </c>
      <c r="D1116" s="3" t="s">
        <v>1328</v>
      </c>
      <c r="E1116" t="s">
        <v>20</v>
      </c>
      <c r="F1116" t="s">
        <v>161</v>
      </c>
      <c r="G1116" t="s">
        <v>101</v>
      </c>
      <c r="H1116" t="str">
        <f t="shared" si="52"/>
        <v>11</v>
      </c>
      <c r="I1116" t="str">
        <f t="shared" si="53"/>
        <v>E</v>
      </c>
      <c r="J1116" t="s">
        <v>162</v>
      </c>
      <c r="K1116" t="s">
        <v>28</v>
      </c>
      <c r="L1116" t="s">
        <v>28</v>
      </c>
      <c r="M1116" t="s">
        <v>28</v>
      </c>
      <c r="N1116" t="s">
        <v>28</v>
      </c>
      <c r="O1116" t="s">
        <v>28</v>
      </c>
      <c r="P1116" t="s">
        <v>28</v>
      </c>
      <c r="Q1116" t="s">
        <v>49</v>
      </c>
      <c r="R1116" t="s">
        <v>163</v>
      </c>
      <c r="S1116">
        <v>114</v>
      </c>
      <c r="T1116" t="s">
        <v>164</v>
      </c>
      <c r="U1116">
        <v>20231128</v>
      </c>
      <c r="V1116">
        <v>19</v>
      </c>
      <c r="W1116">
        <v>5</v>
      </c>
      <c r="X1116" t="s">
        <v>160</v>
      </c>
    </row>
    <row r="1117" spans="1:24" x14ac:dyDescent="0.2">
      <c r="A1117" t="str">
        <f t="shared" si="51"/>
        <v>sample_novaseq-16S-F-E12-L5_SICap-P22-E12-MouseStool-Feces-mouse-20231128-114-Orange-3</v>
      </c>
      <c r="B1117" s="1" t="s">
        <v>713</v>
      </c>
      <c r="C1117" s="3" t="s">
        <v>1289</v>
      </c>
      <c r="D1117" s="3" t="s">
        <v>1328</v>
      </c>
      <c r="E1117" t="s">
        <v>20</v>
      </c>
      <c r="F1117" t="s">
        <v>161</v>
      </c>
      <c r="G1117" t="s">
        <v>102</v>
      </c>
      <c r="H1117" t="str">
        <f t="shared" si="52"/>
        <v>12</v>
      </c>
      <c r="I1117" t="str">
        <f t="shared" si="53"/>
        <v>E</v>
      </c>
      <c r="J1117" t="s">
        <v>162</v>
      </c>
      <c r="K1117" t="s">
        <v>28</v>
      </c>
      <c r="L1117" t="s">
        <v>28</v>
      </c>
      <c r="M1117" t="s">
        <v>28</v>
      </c>
      <c r="N1117" t="s">
        <v>28</v>
      </c>
      <c r="O1117" t="s">
        <v>28</v>
      </c>
      <c r="P1117" t="s">
        <v>28</v>
      </c>
      <c r="Q1117" t="s">
        <v>49</v>
      </c>
      <c r="R1117" t="s">
        <v>163</v>
      </c>
      <c r="S1117">
        <v>114</v>
      </c>
      <c r="T1117" t="s">
        <v>165</v>
      </c>
      <c r="U1117">
        <v>20231128</v>
      </c>
      <c r="V1117">
        <v>19</v>
      </c>
      <c r="W1117">
        <v>5</v>
      </c>
      <c r="X1117" t="s">
        <v>160</v>
      </c>
    </row>
    <row r="1118" spans="1:24" x14ac:dyDescent="0.2">
      <c r="A1118" t="str">
        <f t="shared" si="51"/>
        <v>sample_novaseq-16S-F-F01-L5_SICap-P22-F1-MouseStool-Feces-mouse-20231128-114-Clear-3</v>
      </c>
      <c r="B1118" s="1" t="s">
        <v>714</v>
      </c>
      <c r="C1118" s="3" t="s">
        <v>1290</v>
      </c>
      <c r="D1118" s="3" t="s">
        <v>1328</v>
      </c>
      <c r="E1118" t="s">
        <v>20</v>
      </c>
      <c r="F1118" t="s">
        <v>161</v>
      </c>
      <c r="G1118" t="s">
        <v>103</v>
      </c>
      <c r="H1118" t="str">
        <f t="shared" si="52"/>
        <v>01</v>
      </c>
      <c r="I1118" t="str">
        <f t="shared" si="53"/>
        <v>F</v>
      </c>
      <c r="J1118" t="s">
        <v>162</v>
      </c>
      <c r="K1118" t="s">
        <v>28</v>
      </c>
      <c r="L1118" t="s">
        <v>28</v>
      </c>
      <c r="M1118" t="s">
        <v>28</v>
      </c>
      <c r="N1118" t="s">
        <v>28</v>
      </c>
      <c r="O1118" t="s">
        <v>28</v>
      </c>
      <c r="P1118" t="s">
        <v>28</v>
      </c>
      <c r="Q1118" t="s">
        <v>49</v>
      </c>
      <c r="R1118" t="s">
        <v>163</v>
      </c>
      <c r="S1118">
        <v>114</v>
      </c>
      <c r="T1118" t="s">
        <v>166</v>
      </c>
      <c r="U1118">
        <v>20231128</v>
      </c>
      <c r="V1118">
        <v>19</v>
      </c>
      <c r="W1118">
        <v>5</v>
      </c>
      <c r="X1118" t="s">
        <v>160</v>
      </c>
    </row>
    <row r="1119" spans="1:24" x14ac:dyDescent="0.2">
      <c r="A1119" t="str">
        <f t="shared" si="51"/>
        <v>sample_novaseq-16S-F-F02-L5_SICap-P22-F2-MouseStool-Feces-mouse-20231128-114-Purple-1</v>
      </c>
      <c r="B1119" s="1" t="s">
        <v>715</v>
      </c>
      <c r="C1119" s="3" t="s">
        <v>1291</v>
      </c>
      <c r="D1119" s="3" t="s">
        <v>1328</v>
      </c>
      <c r="E1119" t="s">
        <v>20</v>
      </c>
      <c r="F1119" t="s">
        <v>161</v>
      </c>
      <c r="G1119" t="s">
        <v>105</v>
      </c>
      <c r="H1119" t="str">
        <f t="shared" si="52"/>
        <v>02</v>
      </c>
      <c r="I1119" t="str">
        <f t="shared" si="53"/>
        <v>F</v>
      </c>
      <c r="J1119" t="s">
        <v>162</v>
      </c>
      <c r="K1119" t="s">
        <v>28</v>
      </c>
      <c r="L1119" t="s">
        <v>28</v>
      </c>
      <c r="M1119" t="s">
        <v>28</v>
      </c>
      <c r="N1119" t="s">
        <v>28</v>
      </c>
      <c r="O1119" t="s">
        <v>28</v>
      </c>
      <c r="P1119" t="s">
        <v>28</v>
      </c>
      <c r="Q1119" t="s">
        <v>49</v>
      </c>
      <c r="R1119" t="s">
        <v>163</v>
      </c>
      <c r="S1119">
        <v>114</v>
      </c>
      <c r="T1119" t="s">
        <v>167</v>
      </c>
      <c r="U1119">
        <v>20231128</v>
      </c>
      <c r="V1119">
        <v>19</v>
      </c>
      <c r="W1119">
        <v>5</v>
      </c>
      <c r="X1119" t="s">
        <v>160</v>
      </c>
    </row>
    <row r="1120" spans="1:24" x14ac:dyDescent="0.2">
      <c r="A1120" t="str">
        <f t="shared" si="51"/>
        <v>sample_novaseq-16S-F-F03-L5_SICap-P22-F3-MouseStool-Feces-mouse-20231128-114-Yellow-1</v>
      </c>
      <c r="B1120" s="1" t="s">
        <v>716</v>
      </c>
      <c r="C1120" s="3" t="s">
        <v>1292</v>
      </c>
      <c r="D1120" s="3" t="s">
        <v>1328</v>
      </c>
      <c r="E1120" t="s">
        <v>20</v>
      </c>
      <c r="F1120" t="s">
        <v>161</v>
      </c>
      <c r="G1120" t="s">
        <v>106</v>
      </c>
      <c r="H1120" t="str">
        <f t="shared" si="52"/>
        <v>03</v>
      </c>
      <c r="I1120" t="str">
        <f t="shared" si="53"/>
        <v>F</v>
      </c>
      <c r="J1120" t="s">
        <v>162</v>
      </c>
      <c r="K1120" t="s">
        <v>28</v>
      </c>
      <c r="L1120" t="s">
        <v>28</v>
      </c>
      <c r="M1120" t="s">
        <v>28</v>
      </c>
      <c r="N1120" t="s">
        <v>28</v>
      </c>
      <c r="O1120" t="s">
        <v>28</v>
      </c>
      <c r="P1120" t="s">
        <v>28</v>
      </c>
      <c r="Q1120" t="s">
        <v>49</v>
      </c>
      <c r="R1120" t="s">
        <v>163</v>
      </c>
      <c r="S1120">
        <v>114</v>
      </c>
      <c r="T1120" t="s">
        <v>168</v>
      </c>
      <c r="U1120">
        <v>20231128</v>
      </c>
      <c r="V1120">
        <v>19</v>
      </c>
      <c r="W1120">
        <v>5</v>
      </c>
      <c r="X1120" t="s">
        <v>160</v>
      </c>
    </row>
    <row r="1121" spans="1:24" x14ac:dyDescent="0.2">
      <c r="A1121" t="str">
        <f t="shared" si="51"/>
        <v>sample_novaseq-16S-F-F04-L5_SICap-P22-F4-MouseStool-Feces-mouse-20231128-114-Green-1</v>
      </c>
      <c r="B1121" s="1" t="s">
        <v>717</v>
      </c>
      <c r="C1121" s="3" t="s">
        <v>1293</v>
      </c>
      <c r="D1121" s="3" t="s">
        <v>1328</v>
      </c>
      <c r="E1121" t="s">
        <v>20</v>
      </c>
      <c r="F1121" t="s">
        <v>161</v>
      </c>
      <c r="G1121" t="s">
        <v>107</v>
      </c>
      <c r="H1121" t="str">
        <f t="shared" si="52"/>
        <v>04</v>
      </c>
      <c r="I1121" t="str">
        <f t="shared" si="53"/>
        <v>F</v>
      </c>
      <c r="J1121" t="s">
        <v>162</v>
      </c>
      <c r="K1121" t="s">
        <v>28</v>
      </c>
      <c r="L1121" t="s">
        <v>28</v>
      </c>
      <c r="M1121" t="s">
        <v>28</v>
      </c>
      <c r="N1121" t="s">
        <v>28</v>
      </c>
      <c r="O1121" t="s">
        <v>28</v>
      </c>
      <c r="P1121" t="s">
        <v>28</v>
      </c>
      <c r="Q1121" t="s">
        <v>49</v>
      </c>
      <c r="R1121" t="s">
        <v>163</v>
      </c>
      <c r="S1121">
        <v>114</v>
      </c>
      <c r="T1121" t="s">
        <v>169</v>
      </c>
      <c r="U1121">
        <v>20231128</v>
      </c>
      <c r="V1121">
        <v>19</v>
      </c>
      <c r="W1121">
        <v>5</v>
      </c>
      <c r="X1121" t="s">
        <v>160</v>
      </c>
    </row>
    <row r="1122" spans="1:24" x14ac:dyDescent="0.2">
      <c r="A1122" t="str">
        <f t="shared" si="51"/>
        <v>sample_novaseq-16S-F-F05-L5_SICap-P22-F5-MouseStool-Feces-mouse-20231128-113-Clear-3</v>
      </c>
      <c r="B1122" s="1" t="s">
        <v>718</v>
      </c>
      <c r="C1122" s="3" t="s">
        <v>1294</v>
      </c>
      <c r="D1122" s="3" t="s">
        <v>1328</v>
      </c>
      <c r="E1122" t="s">
        <v>20</v>
      </c>
      <c r="F1122" t="s">
        <v>161</v>
      </c>
      <c r="G1122" t="s">
        <v>108</v>
      </c>
      <c r="H1122" t="str">
        <f t="shared" si="52"/>
        <v>05</v>
      </c>
      <c r="I1122" t="str">
        <f t="shared" si="53"/>
        <v>F</v>
      </c>
      <c r="J1122" t="s">
        <v>162</v>
      </c>
      <c r="K1122" t="s">
        <v>28</v>
      </c>
      <c r="L1122" t="s">
        <v>28</v>
      </c>
      <c r="M1122" t="s">
        <v>28</v>
      </c>
      <c r="N1122" t="s">
        <v>28</v>
      </c>
      <c r="O1122" t="s">
        <v>28</v>
      </c>
      <c r="P1122" t="s">
        <v>28</v>
      </c>
      <c r="Q1122" t="s">
        <v>170</v>
      </c>
      <c r="R1122" t="s">
        <v>163</v>
      </c>
      <c r="S1122">
        <v>113</v>
      </c>
      <c r="T1122" t="s">
        <v>166</v>
      </c>
      <c r="U1122">
        <v>20231128</v>
      </c>
      <c r="V1122">
        <v>19</v>
      </c>
      <c r="W1122">
        <v>5</v>
      </c>
      <c r="X1122" t="s">
        <v>160</v>
      </c>
    </row>
    <row r="1123" spans="1:24" x14ac:dyDescent="0.2">
      <c r="A1123" t="str">
        <f t="shared" si="51"/>
        <v>sample_novaseq-16S-F-F06-L5_SICap-P22-F6-MouseStool-Feces-mouse-20231128-113-Purple-1</v>
      </c>
      <c r="B1123" s="1" t="s">
        <v>719</v>
      </c>
      <c r="C1123" s="3" t="s">
        <v>1295</v>
      </c>
      <c r="D1123" s="3" t="s">
        <v>1328</v>
      </c>
      <c r="E1123" t="s">
        <v>20</v>
      </c>
      <c r="F1123" t="s">
        <v>161</v>
      </c>
      <c r="G1123" t="s">
        <v>109</v>
      </c>
      <c r="H1123" t="str">
        <f t="shared" si="52"/>
        <v>06</v>
      </c>
      <c r="I1123" t="str">
        <f t="shared" si="53"/>
        <v>F</v>
      </c>
      <c r="J1123" t="s">
        <v>162</v>
      </c>
      <c r="K1123" t="s">
        <v>28</v>
      </c>
      <c r="L1123" t="s">
        <v>28</v>
      </c>
      <c r="M1123" t="s">
        <v>28</v>
      </c>
      <c r="N1123" t="s">
        <v>28</v>
      </c>
      <c r="O1123" t="s">
        <v>28</v>
      </c>
      <c r="P1123" t="s">
        <v>28</v>
      </c>
      <c r="Q1123" t="s">
        <v>170</v>
      </c>
      <c r="R1123" t="s">
        <v>163</v>
      </c>
      <c r="S1123">
        <v>113</v>
      </c>
      <c r="T1123" t="s">
        <v>167</v>
      </c>
      <c r="U1123">
        <v>20231128</v>
      </c>
      <c r="V1123">
        <v>19</v>
      </c>
      <c r="W1123">
        <v>5</v>
      </c>
      <c r="X1123" t="s">
        <v>160</v>
      </c>
    </row>
    <row r="1124" spans="1:24" x14ac:dyDescent="0.2">
      <c r="A1124" t="str">
        <f t="shared" si="51"/>
        <v>sample_novaseq-16S-F-F07-L5_SICap-P22-F7-MouseStool-Feces-mouse-20231204-111-Blue-3</v>
      </c>
      <c r="B1124" s="1" t="s">
        <v>720</v>
      </c>
      <c r="C1124" s="3" t="s">
        <v>1296</v>
      </c>
      <c r="D1124" s="3" t="s">
        <v>1328</v>
      </c>
      <c r="E1124" t="s">
        <v>20</v>
      </c>
      <c r="F1124" t="s">
        <v>161</v>
      </c>
      <c r="G1124" t="s">
        <v>110</v>
      </c>
      <c r="H1124" t="str">
        <f t="shared" si="52"/>
        <v>07</v>
      </c>
      <c r="I1124" t="str">
        <f t="shared" si="53"/>
        <v>F</v>
      </c>
      <c r="J1124" t="s">
        <v>162</v>
      </c>
      <c r="K1124" t="s">
        <v>28</v>
      </c>
      <c r="L1124" t="s">
        <v>28</v>
      </c>
      <c r="M1124" t="s">
        <v>28</v>
      </c>
      <c r="N1124" t="s">
        <v>28</v>
      </c>
      <c r="O1124" t="s">
        <v>28</v>
      </c>
      <c r="P1124" t="s">
        <v>28</v>
      </c>
      <c r="Q1124" t="s">
        <v>47</v>
      </c>
      <c r="R1124" t="s">
        <v>163</v>
      </c>
      <c r="S1124">
        <v>111</v>
      </c>
      <c r="T1124" t="s">
        <v>164</v>
      </c>
      <c r="U1124">
        <v>20231204</v>
      </c>
      <c r="V1124">
        <v>25</v>
      </c>
      <c r="W1124">
        <v>5</v>
      </c>
      <c r="X1124" t="s">
        <v>160</v>
      </c>
    </row>
    <row r="1125" spans="1:24" x14ac:dyDescent="0.2">
      <c r="A1125" t="str">
        <f t="shared" si="51"/>
        <v>sample_novaseq-16S-F-F08-L5_SICap-P22-F8-MouseStool-Feces-mouse-20231204-114-Blue-3</v>
      </c>
      <c r="B1125" s="1" t="s">
        <v>721</v>
      </c>
      <c r="C1125" s="3" t="s">
        <v>1297</v>
      </c>
      <c r="D1125" s="3" t="s">
        <v>1328</v>
      </c>
      <c r="E1125" t="s">
        <v>20</v>
      </c>
      <c r="F1125" t="s">
        <v>161</v>
      </c>
      <c r="G1125" t="s">
        <v>111</v>
      </c>
      <c r="H1125" t="str">
        <f t="shared" si="52"/>
        <v>08</v>
      </c>
      <c r="I1125" t="str">
        <f t="shared" si="53"/>
        <v>F</v>
      </c>
      <c r="J1125" t="s">
        <v>162</v>
      </c>
      <c r="K1125" t="s">
        <v>28</v>
      </c>
      <c r="L1125" t="s">
        <v>28</v>
      </c>
      <c r="M1125" t="s">
        <v>28</v>
      </c>
      <c r="N1125" t="s">
        <v>28</v>
      </c>
      <c r="O1125" t="s">
        <v>28</v>
      </c>
      <c r="P1125" t="s">
        <v>28</v>
      </c>
      <c r="Q1125" t="s">
        <v>49</v>
      </c>
      <c r="R1125" t="s">
        <v>163</v>
      </c>
      <c r="S1125">
        <v>114</v>
      </c>
      <c r="T1125" t="s">
        <v>164</v>
      </c>
      <c r="U1125">
        <v>20231204</v>
      </c>
      <c r="V1125">
        <v>25</v>
      </c>
      <c r="W1125">
        <v>5</v>
      </c>
      <c r="X1125" t="s">
        <v>160</v>
      </c>
    </row>
    <row r="1126" spans="1:24" x14ac:dyDescent="0.2">
      <c r="A1126" t="str">
        <f t="shared" si="51"/>
        <v>sample_novaseq-16S-F-F09-L5_SICap-P22-F9-MouseStool-Feces-mouse-20231204-114-Orange-3</v>
      </c>
      <c r="B1126" s="1" t="s">
        <v>722</v>
      </c>
      <c r="C1126" s="3" t="s">
        <v>1298</v>
      </c>
      <c r="D1126" s="3" t="s">
        <v>1328</v>
      </c>
      <c r="E1126" t="s">
        <v>20</v>
      </c>
      <c r="F1126" t="s">
        <v>161</v>
      </c>
      <c r="G1126" t="s">
        <v>112</v>
      </c>
      <c r="H1126" t="str">
        <f t="shared" si="52"/>
        <v>09</v>
      </c>
      <c r="I1126" t="str">
        <f t="shared" si="53"/>
        <v>F</v>
      </c>
      <c r="J1126" t="s">
        <v>162</v>
      </c>
      <c r="K1126" t="s">
        <v>28</v>
      </c>
      <c r="L1126" t="s">
        <v>28</v>
      </c>
      <c r="M1126" t="s">
        <v>28</v>
      </c>
      <c r="N1126" t="s">
        <v>28</v>
      </c>
      <c r="O1126" t="s">
        <v>28</v>
      </c>
      <c r="P1126" t="s">
        <v>28</v>
      </c>
      <c r="Q1126" t="s">
        <v>49</v>
      </c>
      <c r="R1126" t="s">
        <v>163</v>
      </c>
      <c r="S1126">
        <v>114</v>
      </c>
      <c r="T1126" t="s">
        <v>165</v>
      </c>
      <c r="U1126">
        <v>20231204</v>
      </c>
      <c r="V1126">
        <v>25</v>
      </c>
      <c r="W1126">
        <v>5</v>
      </c>
      <c r="X1126" t="s">
        <v>160</v>
      </c>
    </row>
    <row r="1127" spans="1:24" x14ac:dyDescent="0.2">
      <c r="A1127" t="str">
        <f t="shared" si="51"/>
        <v>sample_novaseq-16S-F-F10-L5_SICap-P22-F10-MouseStool-Feces-mouse-20231204-114-Clear-3</v>
      </c>
      <c r="B1127" s="1" t="s">
        <v>723</v>
      </c>
      <c r="C1127" s="3" t="s">
        <v>1299</v>
      </c>
      <c r="D1127" s="3" t="s">
        <v>1328</v>
      </c>
      <c r="E1127" t="s">
        <v>20</v>
      </c>
      <c r="F1127" t="s">
        <v>161</v>
      </c>
      <c r="G1127" t="s">
        <v>113</v>
      </c>
      <c r="H1127" t="str">
        <f t="shared" si="52"/>
        <v>10</v>
      </c>
      <c r="I1127" t="str">
        <f t="shared" si="53"/>
        <v>F</v>
      </c>
      <c r="J1127" t="s">
        <v>162</v>
      </c>
      <c r="K1127" t="s">
        <v>28</v>
      </c>
      <c r="L1127" t="s">
        <v>28</v>
      </c>
      <c r="M1127" t="s">
        <v>28</v>
      </c>
      <c r="N1127" t="s">
        <v>28</v>
      </c>
      <c r="O1127" t="s">
        <v>28</v>
      </c>
      <c r="P1127" t="s">
        <v>28</v>
      </c>
      <c r="Q1127" t="s">
        <v>49</v>
      </c>
      <c r="R1127" t="s">
        <v>163</v>
      </c>
      <c r="S1127">
        <v>114</v>
      </c>
      <c r="T1127" t="s">
        <v>166</v>
      </c>
      <c r="U1127">
        <v>20231204</v>
      </c>
      <c r="V1127">
        <v>25</v>
      </c>
      <c r="W1127">
        <v>5</v>
      </c>
      <c r="X1127" t="s">
        <v>160</v>
      </c>
    </row>
    <row r="1128" spans="1:24" x14ac:dyDescent="0.2">
      <c r="A1128" t="str">
        <f t="shared" si="51"/>
        <v>sample_novaseq-16S-F-F11-L5_SICap-P22-F11-MouseStool-Feces-mouse-20231204-114-Purple-1</v>
      </c>
      <c r="B1128" s="1" t="s">
        <v>724</v>
      </c>
      <c r="C1128" s="3" t="s">
        <v>1300</v>
      </c>
      <c r="D1128" s="3" t="s">
        <v>1328</v>
      </c>
      <c r="E1128" t="s">
        <v>20</v>
      </c>
      <c r="F1128" t="s">
        <v>161</v>
      </c>
      <c r="G1128" t="s">
        <v>114</v>
      </c>
      <c r="H1128" t="str">
        <f t="shared" si="52"/>
        <v>11</v>
      </c>
      <c r="I1128" t="str">
        <f t="shared" si="53"/>
        <v>F</v>
      </c>
      <c r="J1128" t="s">
        <v>162</v>
      </c>
      <c r="K1128" t="s">
        <v>28</v>
      </c>
      <c r="L1128" t="s">
        <v>28</v>
      </c>
      <c r="M1128" t="s">
        <v>28</v>
      </c>
      <c r="N1128" t="s">
        <v>28</v>
      </c>
      <c r="O1128" t="s">
        <v>28</v>
      </c>
      <c r="P1128" t="s">
        <v>28</v>
      </c>
      <c r="Q1128" t="s">
        <v>49</v>
      </c>
      <c r="R1128" t="s">
        <v>163</v>
      </c>
      <c r="S1128">
        <v>114</v>
      </c>
      <c r="T1128" t="s">
        <v>167</v>
      </c>
      <c r="U1128">
        <v>20231204</v>
      </c>
      <c r="V1128">
        <v>25</v>
      </c>
      <c r="W1128">
        <v>5</v>
      </c>
      <c r="X1128" t="s">
        <v>160</v>
      </c>
    </row>
    <row r="1129" spans="1:24" x14ac:dyDescent="0.2">
      <c r="A1129" t="str">
        <f t="shared" si="51"/>
        <v>sample_novaseq-16S-F-F12-L5_SICap-P22-F12-MouseStool-Feces-mouse-20231204-114-Yellow-1</v>
      </c>
      <c r="B1129" s="1" t="s">
        <v>725</v>
      </c>
      <c r="C1129" s="3" t="s">
        <v>1301</v>
      </c>
      <c r="D1129" s="3" t="s">
        <v>1328</v>
      </c>
      <c r="E1129" t="s">
        <v>20</v>
      </c>
      <c r="F1129" t="s">
        <v>161</v>
      </c>
      <c r="G1129" t="s">
        <v>115</v>
      </c>
      <c r="H1129" t="str">
        <f t="shared" si="52"/>
        <v>12</v>
      </c>
      <c r="I1129" t="str">
        <f t="shared" si="53"/>
        <v>F</v>
      </c>
      <c r="J1129" t="s">
        <v>162</v>
      </c>
      <c r="K1129" t="s">
        <v>28</v>
      </c>
      <c r="L1129" t="s">
        <v>28</v>
      </c>
      <c r="M1129" t="s">
        <v>28</v>
      </c>
      <c r="N1129" t="s">
        <v>28</v>
      </c>
      <c r="O1129" t="s">
        <v>28</v>
      </c>
      <c r="P1129" t="s">
        <v>28</v>
      </c>
      <c r="Q1129" t="s">
        <v>49</v>
      </c>
      <c r="R1129" t="s">
        <v>163</v>
      </c>
      <c r="S1129">
        <v>114</v>
      </c>
      <c r="T1129" t="s">
        <v>168</v>
      </c>
      <c r="U1129">
        <v>20231204</v>
      </c>
      <c r="V1129">
        <v>25</v>
      </c>
      <c r="W1129">
        <v>5</v>
      </c>
      <c r="X1129" t="s">
        <v>160</v>
      </c>
    </row>
    <row r="1130" spans="1:24" x14ac:dyDescent="0.2">
      <c r="A1130" t="str">
        <f t="shared" si="51"/>
        <v>sample_novaseq-16S-F-G01-L5_SICap-P22-G1-MouseStool-Feces-mouse-20231204-114-Green-1</v>
      </c>
      <c r="B1130" s="1" t="s">
        <v>726</v>
      </c>
      <c r="C1130" s="3" t="s">
        <v>1302</v>
      </c>
      <c r="D1130" s="3" t="s">
        <v>1328</v>
      </c>
      <c r="E1130" t="s">
        <v>20</v>
      </c>
      <c r="F1130" t="s">
        <v>161</v>
      </c>
      <c r="G1130" t="s">
        <v>116</v>
      </c>
      <c r="H1130" t="str">
        <f t="shared" si="52"/>
        <v>01</v>
      </c>
      <c r="I1130" t="str">
        <f t="shared" si="53"/>
        <v>G</v>
      </c>
      <c r="J1130" t="s">
        <v>162</v>
      </c>
      <c r="K1130" t="s">
        <v>28</v>
      </c>
      <c r="L1130" t="s">
        <v>28</v>
      </c>
      <c r="M1130" t="s">
        <v>28</v>
      </c>
      <c r="N1130" t="s">
        <v>28</v>
      </c>
      <c r="O1130" t="s">
        <v>28</v>
      </c>
      <c r="P1130" t="s">
        <v>28</v>
      </c>
      <c r="Q1130" t="s">
        <v>49</v>
      </c>
      <c r="R1130" t="s">
        <v>163</v>
      </c>
      <c r="S1130">
        <v>114</v>
      </c>
      <c r="T1130" t="s">
        <v>169</v>
      </c>
      <c r="U1130">
        <v>20231204</v>
      </c>
      <c r="V1130">
        <v>25</v>
      </c>
      <c r="W1130">
        <v>5</v>
      </c>
      <c r="X1130" t="s">
        <v>160</v>
      </c>
    </row>
    <row r="1131" spans="1:24" x14ac:dyDescent="0.2">
      <c r="A1131" t="str">
        <f t="shared" si="51"/>
        <v>sample_novaseq-16S-F-G02-L5_SICap-P22-G2-MouseStool-Feces-mouse-20231204-113-Clear-3</v>
      </c>
      <c r="B1131" s="1" t="s">
        <v>727</v>
      </c>
      <c r="C1131" s="3" t="s">
        <v>1303</v>
      </c>
      <c r="D1131" s="3" t="s">
        <v>1328</v>
      </c>
      <c r="E1131" t="s">
        <v>20</v>
      </c>
      <c r="F1131" t="s">
        <v>161</v>
      </c>
      <c r="G1131" t="s">
        <v>118</v>
      </c>
      <c r="H1131" t="str">
        <f t="shared" si="52"/>
        <v>02</v>
      </c>
      <c r="I1131" t="str">
        <f t="shared" si="53"/>
        <v>G</v>
      </c>
      <c r="J1131" t="s">
        <v>162</v>
      </c>
      <c r="K1131" t="s">
        <v>28</v>
      </c>
      <c r="L1131" t="s">
        <v>28</v>
      </c>
      <c r="M1131" t="s">
        <v>28</v>
      </c>
      <c r="N1131" t="s">
        <v>28</v>
      </c>
      <c r="O1131" t="s">
        <v>28</v>
      </c>
      <c r="P1131" t="s">
        <v>28</v>
      </c>
      <c r="Q1131" t="s">
        <v>170</v>
      </c>
      <c r="R1131" t="s">
        <v>163</v>
      </c>
      <c r="S1131">
        <v>113</v>
      </c>
      <c r="T1131" t="s">
        <v>166</v>
      </c>
      <c r="U1131">
        <v>20231204</v>
      </c>
      <c r="V1131">
        <v>25</v>
      </c>
      <c r="W1131">
        <v>5</v>
      </c>
      <c r="X1131" t="s">
        <v>160</v>
      </c>
    </row>
    <row r="1132" spans="1:24" x14ac:dyDescent="0.2">
      <c r="A1132" t="str">
        <f t="shared" si="51"/>
        <v>sample_novaseq-16S-F-G03-L5_SICap-P22-G3-MouseStool-Feces-mouse-20231204-113-Purple-1</v>
      </c>
      <c r="B1132" s="1" t="s">
        <v>728</v>
      </c>
      <c r="C1132" s="3" t="s">
        <v>1304</v>
      </c>
      <c r="D1132" s="3" t="s">
        <v>1328</v>
      </c>
      <c r="E1132" t="s">
        <v>20</v>
      </c>
      <c r="F1132" t="s">
        <v>161</v>
      </c>
      <c r="G1132" t="s">
        <v>119</v>
      </c>
      <c r="H1132" t="str">
        <f t="shared" si="52"/>
        <v>03</v>
      </c>
      <c r="I1132" t="str">
        <f t="shared" si="53"/>
        <v>G</v>
      </c>
      <c r="J1132" t="s">
        <v>162</v>
      </c>
      <c r="K1132" t="s">
        <v>28</v>
      </c>
      <c r="L1132" t="s">
        <v>28</v>
      </c>
      <c r="M1132" t="s">
        <v>28</v>
      </c>
      <c r="N1132" t="s">
        <v>28</v>
      </c>
      <c r="O1132" t="s">
        <v>28</v>
      </c>
      <c r="P1132" t="s">
        <v>28</v>
      </c>
      <c r="Q1132" t="s">
        <v>170</v>
      </c>
      <c r="R1132" t="s">
        <v>163</v>
      </c>
      <c r="S1132">
        <v>113</v>
      </c>
      <c r="T1132" t="s">
        <v>167</v>
      </c>
      <c r="U1132">
        <v>20231204</v>
      </c>
      <c r="V1132">
        <v>25</v>
      </c>
      <c r="W1132">
        <v>5</v>
      </c>
      <c r="X1132" t="s">
        <v>160</v>
      </c>
    </row>
    <row r="1133" spans="1:24" x14ac:dyDescent="0.2">
      <c r="A1133" t="str">
        <f t="shared" si="51"/>
        <v>sample_novaseq-16S-F-G04-L5_SICap-P22-G4-MouseStool-Feces-mouse-20231208-111-Blue-3</v>
      </c>
      <c r="B1133" s="1" t="s">
        <v>729</v>
      </c>
      <c r="C1133" s="3" t="s">
        <v>1305</v>
      </c>
      <c r="D1133" s="3" t="s">
        <v>1328</v>
      </c>
      <c r="E1133" t="s">
        <v>20</v>
      </c>
      <c r="F1133" t="s">
        <v>161</v>
      </c>
      <c r="G1133" t="s">
        <v>120</v>
      </c>
      <c r="H1133" t="str">
        <f t="shared" si="52"/>
        <v>04</v>
      </c>
      <c r="I1133" t="str">
        <f t="shared" si="53"/>
        <v>G</v>
      </c>
      <c r="J1133" t="s">
        <v>162</v>
      </c>
      <c r="K1133" t="s">
        <v>28</v>
      </c>
      <c r="L1133" t="s">
        <v>28</v>
      </c>
      <c r="M1133" t="s">
        <v>28</v>
      </c>
      <c r="N1133" t="s">
        <v>28</v>
      </c>
      <c r="O1133" t="s">
        <v>28</v>
      </c>
      <c r="P1133" t="s">
        <v>28</v>
      </c>
      <c r="Q1133" t="s">
        <v>47</v>
      </c>
      <c r="R1133" t="s">
        <v>163</v>
      </c>
      <c r="S1133">
        <v>111</v>
      </c>
      <c r="T1133" t="s">
        <v>164</v>
      </c>
      <c r="U1133">
        <v>20231208</v>
      </c>
      <c r="V1133">
        <v>29</v>
      </c>
      <c r="W1133">
        <v>5</v>
      </c>
      <c r="X1133" t="s">
        <v>160</v>
      </c>
    </row>
    <row r="1134" spans="1:24" x14ac:dyDescent="0.2">
      <c r="A1134" t="str">
        <f t="shared" si="51"/>
        <v>sample_novaseq-16S-F-G05-L5_SICap-P22-G5-MouseStool-Feces-mouse-20231208-114-Blue-3</v>
      </c>
      <c r="B1134" s="1" t="s">
        <v>730</v>
      </c>
      <c r="C1134" s="3" t="s">
        <v>1306</v>
      </c>
      <c r="D1134" s="3" t="s">
        <v>1328</v>
      </c>
      <c r="E1134" t="s">
        <v>20</v>
      </c>
      <c r="F1134" t="s">
        <v>161</v>
      </c>
      <c r="G1134" t="s">
        <v>121</v>
      </c>
      <c r="H1134" t="str">
        <f t="shared" si="52"/>
        <v>05</v>
      </c>
      <c r="I1134" t="str">
        <f t="shared" si="53"/>
        <v>G</v>
      </c>
      <c r="J1134" t="s">
        <v>162</v>
      </c>
      <c r="K1134" t="s">
        <v>28</v>
      </c>
      <c r="L1134" t="s">
        <v>28</v>
      </c>
      <c r="M1134" t="s">
        <v>28</v>
      </c>
      <c r="N1134" t="s">
        <v>28</v>
      </c>
      <c r="O1134" t="s">
        <v>28</v>
      </c>
      <c r="P1134" t="s">
        <v>28</v>
      </c>
      <c r="Q1134" t="s">
        <v>49</v>
      </c>
      <c r="R1134" t="s">
        <v>163</v>
      </c>
      <c r="S1134">
        <v>114</v>
      </c>
      <c r="T1134" t="s">
        <v>164</v>
      </c>
      <c r="U1134">
        <v>20231208</v>
      </c>
      <c r="V1134">
        <v>29</v>
      </c>
      <c r="W1134">
        <v>5</v>
      </c>
      <c r="X1134" t="s">
        <v>160</v>
      </c>
    </row>
    <row r="1135" spans="1:24" x14ac:dyDescent="0.2">
      <c r="A1135" t="str">
        <f t="shared" si="51"/>
        <v>sample_novaseq-16S-F-G06-L5_SICap-P22-G6-MouseStool-Feces-mouse-20231208-114-Orange-3</v>
      </c>
      <c r="B1135" s="1" t="s">
        <v>731</v>
      </c>
      <c r="C1135" s="3" t="s">
        <v>1307</v>
      </c>
      <c r="D1135" s="3" t="s">
        <v>1328</v>
      </c>
      <c r="E1135" t="s">
        <v>20</v>
      </c>
      <c r="F1135" t="s">
        <v>161</v>
      </c>
      <c r="G1135" t="s">
        <v>122</v>
      </c>
      <c r="H1135" t="str">
        <f t="shared" si="52"/>
        <v>06</v>
      </c>
      <c r="I1135" t="str">
        <f t="shared" si="53"/>
        <v>G</v>
      </c>
      <c r="J1135" t="s">
        <v>162</v>
      </c>
      <c r="K1135" t="s">
        <v>28</v>
      </c>
      <c r="L1135" t="s">
        <v>28</v>
      </c>
      <c r="M1135" t="s">
        <v>28</v>
      </c>
      <c r="N1135" t="s">
        <v>28</v>
      </c>
      <c r="O1135" t="s">
        <v>28</v>
      </c>
      <c r="P1135" t="s">
        <v>28</v>
      </c>
      <c r="Q1135" t="s">
        <v>49</v>
      </c>
      <c r="R1135" t="s">
        <v>163</v>
      </c>
      <c r="S1135">
        <v>114</v>
      </c>
      <c r="T1135" t="s">
        <v>165</v>
      </c>
      <c r="U1135">
        <v>20231208</v>
      </c>
      <c r="V1135">
        <v>29</v>
      </c>
      <c r="W1135">
        <v>5</v>
      </c>
      <c r="X1135" t="s">
        <v>160</v>
      </c>
    </row>
    <row r="1136" spans="1:24" x14ac:dyDescent="0.2">
      <c r="A1136" t="str">
        <f t="shared" si="51"/>
        <v>sample_novaseq-16S-F-G07-L5_SICap-P22-G7-MouseStool-Feces-mouse-20231208-114-Clear-3</v>
      </c>
      <c r="B1136" s="1" t="s">
        <v>732</v>
      </c>
      <c r="C1136" s="3" t="s">
        <v>1308</v>
      </c>
      <c r="D1136" s="3" t="s">
        <v>1328</v>
      </c>
      <c r="E1136" t="s">
        <v>20</v>
      </c>
      <c r="F1136" t="s">
        <v>161</v>
      </c>
      <c r="G1136" t="s">
        <v>123</v>
      </c>
      <c r="H1136" t="str">
        <f t="shared" si="52"/>
        <v>07</v>
      </c>
      <c r="I1136" t="str">
        <f t="shared" si="53"/>
        <v>G</v>
      </c>
      <c r="J1136" t="s">
        <v>162</v>
      </c>
      <c r="K1136" t="s">
        <v>28</v>
      </c>
      <c r="L1136" t="s">
        <v>28</v>
      </c>
      <c r="M1136" t="s">
        <v>28</v>
      </c>
      <c r="N1136" t="s">
        <v>28</v>
      </c>
      <c r="O1136" t="s">
        <v>28</v>
      </c>
      <c r="P1136" t="s">
        <v>28</v>
      </c>
      <c r="Q1136" t="s">
        <v>49</v>
      </c>
      <c r="R1136" t="s">
        <v>163</v>
      </c>
      <c r="S1136">
        <v>114</v>
      </c>
      <c r="T1136" t="s">
        <v>166</v>
      </c>
      <c r="U1136">
        <v>20231208</v>
      </c>
      <c r="V1136">
        <v>29</v>
      </c>
      <c r="W1136">
        <v>5</v>
      </c>
      <c r="X1136" t="s">
        <v>160</v>
      </c>
    </row>
    <row r="1137" spans="1:24" x14ac:dyDescent="0.2">
      <c r="A1137" t="str">
        <f t="shared" si="51"/>
        <v>sample_novaseq-16S-F-G08-L5_SICap-P22-G8-MouseStool-Feces-mouse-20231208-114-Purple-1</v>
      </c>
      <c r="B1137" s="1" t="s">
        <v>733</v>
      </c>
      <c r="C1137" s="3" t="s">
        <v>1309</v>
      </c>
      <c r="D1137" s="3" t="s">
        <v>1328</v>
      </c>
      <c r="E1137" t="s">
        <v>20</v>
      </c>
      <c r="F1137" t="s">
        <v>161</v>
      </c>
      <c r="G1137" t="s">
        <v>124</v>
      </c>
      <c r="H1137" t="str">
        <f t="shared" si="52"/>
        <v>08</v>
      </c>
      <c r="I1137" t="str">
        <f t="shared" si="53"/>
        <v>G</v>
      </c>
      <c r="J1137" t="s">
        <v>162</v>
      </c>
      <c r="K1137" t="s">
        <v>28</v>
      </c>
      <c r="L1137" t="s">
        <v>28</v>
      </c>
      <c r="M1137" t="s">
        <v>28</v>
      </c>
      <c r="N1137" t="s">
        <v>28</v>
      </c>
      <c r="O1137" t="s">
        <v>28</v>
      </c>
      <c r="P1137" t="s">
        <v>28</v>
      </c>
      <c r="Q1137" t="s">
        <v>49</v>
      </c>
      <c r="R1137" t="s">
        <v>163</v>
      </c>
      <c r="S1137">
        <v>114</v>
      </c>
      <c r="T1137" t="s">
        <v>167</v>
      </c>
      <c r="U1137">
        <v>20231208</v>
      </c>
      <c r="V1137">
        <v>29</v>
      </c>
      <c r="W1137">
        <v>5</v>
      </c>
      <c r="X1137" t="s">
        <v>160</v>
      </c>
    </row>
    <row r="1138" spans="1:24" x14ac:dyDescent="0.2">
      <c r="A1138" t="str">
        <f t="shared" si="51"/>
        <v>sample_novaseq-16S-F-G09-L5_SICap-P22-G9-MouseStool-Feces-mouse-20231208-114-Yellow-1</v>
      </c>
      <c r="B1138" s="1" t="s">
        <v>734</v>
      </c>
      <c r="C1138" s="3" t="s">
        <v>1310</v>
      </c>
      <c r="D1138" s="3" t="s">
        <v>1328</v>
      </c>
      <c r="E1138" t="s">
        <v>20</v>
      </c>
      <c r="F1138" t="s">
        <v>161</v>
      </c>
      <c r="G1138" t="s">
        <v>125</v>
      </c>
      <c r="H1138" t="str">
        <f t="shared" si="52"/>
        <v>09</v>
      </c>
      <c r="I1138" t="str">
        <f t="shared" si="53"/>
        <v>G</v>
      </c>
      <c r="J1138" t="s">
        <v>162</v>
      </c>
      <c r="K1138" t="s">
        <v>28</v>
      </c>
      <c r="L1138" t="s">
        <v>28</v>
      </c>
      <c r="M1138" t="s">
        <v>28</v>
      </c>
      <c r="N1138" t="s">
        <v>28</v>
      </c>
      <c r="O1138" t="s">
        <v>28</v>
      </c>
      <c r="P1138" t="s">
        <v>28</v>
      </c>
      <c r="Q1138" t="s">
        <v>49</v>
      </c>
      <c r="R1138" t="s">
        <v>163</v>
      </c>
      <c r="S1138">
        <v>114</v>
      </c>
      <c r="T1138" t="s">
        <v>168</v>
      </c>
      <c r="U1138">
        <v>20231208</v>
      </c>
      <c r="V1138">
        <v>29</v>
      </c>
      <c r="W1138">
        <v>5</v>
      </c>
      <c r="X1138" t="s">
        <v>160</v>
      </c>
    </row>
    <row r="1139" spans="1:24" x14ac:dyDescent="0.2">
      <c r="A1139" t="str">
        <f t="shared" si="51"/>
        <v>sample_novaseq-16S-F-G10-L5_SICap-P22-G10-MouseStool-Feces-mouse-20231208-114-Green-1</v>
      </c>
      <c r="B1139" s="1" t="s">
        <v>735</v>
      </c>
      <c r="C1139" s="3" t="s">
        <v>1311</v>
      </c>
      <c r="D1139" s="3" t="s">
        <v>1328</v>
      </c>
      <c r="E1139" t="s">
        <v>20</v>
      </c>
      <c r="F1139" t="s">
        <v>161</v>
      </c>
      <c r="G1139" t="s">
        <v>126</v>
      </c>
      <c r="H1139" t="str">
        <f t="shared" si="52"/>
        <v>10</v>
      </c>
      <c r="I1139" t="str">
        <f t="shared" si="53"/>
        <v>G</v>
      </c>
      <c r="J1139" t="s">
        <v>162</v>
      </c>
      <c r="K1139" t="s">
        <v>28</v>
      </c>
      <c r="L1139" t="s">
        <v>28</v>
      </c>
      <c r="M1139" t="s">
        <v>28</v>
      </c>
      <c r="N1139" t="s">
        <v>28</v>
      </c>
      <c r="O1139" t="s">
        <v>28</v>
      </c>
      <c r="P1139" t="s">
        <v>28</v>
      </c>
      <c r="Q1139" t="s">
        <v>49</v>
      </c>
      <c r="R1139" t="s">
        <v>163</v>
      </c>
      <c r="S1139">
        <v>114</v>
      </c>
      <c r="T1139" t="s">
        <v>169</v>
      </c>
      <c r="U1139">
        <v>20231208</v>
      </c>
      <c r="V1139">
        <v>29</v>
      </c>
      <c r="W1139">
        <v>5</v>
      </c>
      <c r="X1139" t="s">
        <v>160</v>
      </c>
    </row>
    <row r="1140" spans="1:24" x14ac:dyDescent="0.2">
      <c r="A1140" t="str">
        <f t="shared" si="51"/>
        <v>sample_novaseq-16S-F-G11-L5_SICap-P22-G11-MouseStool-Feces-mouse-20231208-113-Clear-3</v>
      </c>
      <c r="B1140" s="1" t="s">
        <v>736</v>
      </c>
      <c r="C1140" s="3" t="s">
        <v>1312</v>
      </c>
      <c r="D1140" s="3" t="s">
        <v>1328</v>
      </c>
      <c r="E1140" t="s">
        <v>20</v>
      </c>
      <c r="F1140" t="s">
        <v>161</v>
      </c>
      <c r="G1140" t="s">
        <v>127</v>
      </c>
      <c r="H1140" t="str">
        <f t="shared" si="52"/>
        <v>11</v>
      </c>
      <c r="I1140" t="str">
        <f t="shared" si="53"/>
        <v>G</v>
      </c>
      <c r="J1140" t="s">
        <v>162</v>
      </c>
      <c r="K1140" t="s">
        <v>28</v>
      </c>
      <c r="L1140" t="s">
        <v>28</v>
      </c>
      <c r="M1140" t="s">
        <v>28</v>
      </c>
      <c r="N1140" t="s">
        <v>28</v>
      </c>
      <c r="O1140" t="s">
        <v>28</v>
      </c>
      <c r="P1140" t="s">
        <v>28</v>
      </c>
      <c r="Q1140" t="s">
        <v>170</v>
      </c>
      <c r="R1140" t="s">
        <v>163</v>
      </c>
      <c r="S1140">
        <v>113</v>
      </c>
      <c r="T1140" t="s">
        <v>166</v>
      </c>
      <c r="U1140">
        <v>20231208</v>
      </c>
      <c r="V1140">
        <v>29</v>
      </c>
      <c r="W1140">
        <v>5</v>
      </c>
      <c r="X1140" t="s">
        <v>160</v>
      </c>
    </row>
    <row r="1141" spans="1:24" x14ac:dyDescent="0.2">
      <c r="A1141" t="str">
        <f t="shared" si="51"/>
        <v>sample_novaseq-16S-F-G12-L5_SICap-P22-G12-MouseStool-Feces-mouse-20231208-113-Purple-1</v>
      </c>
      <c r="B1141" s="1" t="s">
        <v>737</v>
      </c>
      <c r="C1141" s="3" t="s">
        <v>1313</v>
      </c>
      <c r="D1141" s="3" t="s">
        <v>1328</v>
      </c>
      <c r="E1141" t="s">
        <v>20</v>
      </c>
      <c r="F1141" t="s">
        <v>161</v>
      </c>
      <c r="G1141" t="s">
        <v>128</v>
      </c>
      <c r="H1141" t="str">
        <f t="shared" si="52"/>
        <v>12</v>
      </c>
      <c r="I1141" t="str">
        <f t="shared" si="53"/>
        <v>G</v>
      </c>
      <c r="J1141" t="s">
        <v>162</v>
      </c>
      <c r="K1141" t="s">
        <v>28</v>
      </c>
      <c r="L1141" t="s">
        <v>28</v>
      </c>
      <c r="M1141" t="s">
        <v>28</v>
      </c>
      <c r="N1141" t="s">
        <v>28</v>
      </c>
      <c r="O1141" t="s">
        <v>28</v>
      </c>
      <c r="P1141" t="s">
        <v>28</v>
      </c>
      <c r="Q1141" t="s">
        <v>170</v>
      </c>
      <c r="R1141" t="s">
        <v>163</v>
      </c>
      <c r="S1141">
        <v>113</v>
      </c>
      <c r="T1141" t="s">
        <v>167</v>
      </c>
      <c r="U1141">
        <v>20231208</v>
      </c>
      <c r="V1141">
        <v>29</v>
      </c>
      <c r="W1141">
        <v>5</v>
      </c>
      <c r="X1141" t="s">
        <v>160</v>
      </c>
    </row>
    <row r="1142" spans="1:24" x14ac:dyDescent="0.2">
      <c r="A1142" t="str">
        <f t="shared" si="51"/>
        <v>sample_novaseq-16S-F-H01-L5_SICap-P22-H1-MouseStool-Cecum-mouse-20231208-111-Blue-3</v>
      </c>
      <c r="B1142" s="1" t="s">
        <v>738</v>
      </c>
      <c r="C1142" s="3" t="s">
        <v>1314</v>
      </c>
      <c r="D1142" s="3" t="s">
        <v>1328</v>
      </c>
      <c r="E1142" t="s">
        <v>20</v>
      </c>
      <c r="F1142" t="s">
        <v>161</v>
      </c>
      <c r="G1142" t="s">
        <v>129</v>
      </c>
      <c r="H1142" t="str">
        <f t="shared" si="52"/>
        <v>01</v>
      </c>
      <c r="I1142" t="str">
        <f t="shared" si="53"/>
        <v>H</v>
      </c>
      <c r="J1142" t="s">
        <v>162</v>
      </c>
      <c r="K1142" t="s">
        <v>28</v>
      </c>
      <c r="L1142" t="s">
        <v>28</v>
      </c>
      <c r="M1142" t="s">
        <v>28</v>
      </c>
      <c r="N1142" t="s">
        <v>28</v>
      </c>
      <c r="O1142" t="s">
        <v>28</v>
      </c>
      <c r="P1142" t="s">
        <v>28</v>
      </c>
      <c r="Q1142" t="s">
        <v>47</v>
      </c>
      <c r="R1142" t="s">
        <v>171</v>
      </c>
      <c r="S1142">
        <v>111</v>
      </c>
      <c r="T1142" t="s">
        <v>164</v>
      </c>
      <c r="U1142">
        <v>20231208</v>
      </c>
      <c r="V1142">
        <v>29</v>
      </c>
      <c r="W1142">
        <v>5</v>
      </c>
      <c r="X1142" t="s">
        <v>160</v>
      </c>
    </row>
    <row r="1143" spans="1:24" x14ac:dyDescent="0.2">
      <c r="A1143" t="str">
        <f t="shared" si="51"/>
        <v>sample_novaseq-16S-F-H02-L5_SICap-P22-H2-MouseStool-Cecum-mouse-20231208-114-Blue-3</v>
      </c>
      <c r="B1143" s="1" t="s">
        <v>739</v>
      </c>
      <c r="C1143" s="3" t="s">
        <v>1315</v>
      </c>
      <c r="D1143" s="3" t="s">
        <v>1328</v>
      </c>
      <c r="E1143" t="s">
        <v>20</v>
      </c>
      <c r="F1143" t="s">
        <v>161</v>
      </c>
      <c r="G1143" t="s">
        <v>131</v>
      </c>
      <c r="H1143" t="str">
        <f t="shared" si="52"/>
        <v>02</v>
      </c>
      <c r="I1143" t="str">
        <f t="shared" si="53"/>
        <v>H</v>
      </c>
      <c r="J1143" t="s">
        <v>162</v>
      </c>
      <c r="K1143" t="s">
        <v>28</v>
      </c>
      <c r="L1143" t="s">
        <v>28</v>
      </c>
      <c r="M1143" t="s">
        <v>28</v>
      </c>
      <c r="N1143" t="s">
        <v>28</v>
      </c>
      <c r="O1143" t="s">
        <v>28</v>
      </c>
      <c r="P1143" t="s">
        <v>28</v>
      </c>
      <c r="Q1143" t="s">
        <v>49</v>
      </c>
      <c r="R1143" t="s">
        <v>171</v>
      </c>
      <c r="S1143">
        <v>114</v>
      </c>
      <c r="T1143" t="s">
        <v>164</v>
      </c>
      <c r="U1143">
        <v>20231208</v>
      </c>
      <c r="V1143">
        <v>29</v>
      </c>
      <c r="W1143">
        <v>5</v>
      </c>
      <c r="X1143" t="s">
        <v>160</v>
      </c>
    </row>
    <row r="1144" spans="1:24" x14ac:dyDescent="0.2">
      <c r="A1144" t="str">
        <f t="shared" si="51"/>
        <v>sample_novaseq-16S-F-H03-L5_SICap-P22-H3-MouseStool-Cecum-mouse-20231208-114-Orange-3</v>
      </c>
      <c r="B1144" s="1" t="s">
        <v>740</v>
      </c>
      <c r="C1144" s="3" t="s">
        <v>1316</v>
      </c>
      <c r="D1144" s="3" t="s">
        <v>1328</v>
      </c>
      <c r="E1144" t="s">
        <v>20</v>
      </c>
      <c r="F1144" t="s">
        <v>161</v>
      </c>
      <c r="G1144" t="s">
        <v>132</v>
      </c>
      <c r="H1144" t="str">
        <f t="shared" si="52"/>
        <v>03</v>
      </c>
      <c r="I1144" t="str">
        <f t="shared" si="53"/>
        <v>H</v>
      </c>
      <c r="J1144" t="s">
        <v>162</v>
      </c>
      <c r="K1144" t="s">
        <v>28</v>
      </c>
      <c r="L1144" t="s">
        <v>28</v>
      </c>
      <c r="M1144" t="s">
        <v>28</v>
      </c>
      <c r="N1144" t="s">
        <v>28</v>
      </c>
      <c r="O1144" t="s">
        <v>28</v>
      </c>
      <c r="P1144" t="s">
        <v>28</v>
      </c>
      <c r="Q1144" t="s">
        <v>49</v>
      </c>
      <c r="R1144" t="s">
        <v>171</v>
      </c>
      <c r="S1144">
        <v>114</v>
      </c>
      <c r="T1144" t="s">
        <v>165</v>
      </c>
      <c r="U1144">
        <v>20231208</v>
      </c>
      <c r="V1144">
        <v>29</v>
      </c>
      <c r="W1144">
        <v>5</v>
      </c>
      <c r="X1144" t="s">
        <v>160</v>
      </c>
    </row>
    <row r="1145" spans="1:24" x14ac:dyDescent="0.2">
      <c r="A1145" t="str">
        <f t="shared" si="51"/>
        <v>sample_novaseq-16S-F-H04-L5_SICap-P22-H4-MouseStool-Cecum-mouse-20231208-114-Clear-3</v>
      </c>
      <c r="B1145" s="1" t="s">
        <v>741</v>
      </c>
      <c r="C1145" s="3" t="s">
        <v>1317</v>
      </c>
      <c r="D1145" s="3" t="s">
        <v>1328</v>
      </c>
      <c r="E1145" t="s">
        <v>20</v>
      </c>
      <c r="F1145" t="s">
        <v>161</v>
      </c>
      <c r="G1145" t="s">
        <v>133</v>
      </c>
      <c r="H1145" t="str">
        <f t="shared" si="52"/>
        <v>04</v>
      </c>
      <c r="I1145" t="str">
        <f t="shared" si="53"/>
        <v>H</v>
      </c>
      <c r="J1145" t="s">
        <v>162</v>
      </c>
      <c r="K1145" t="s">
        <v>28</v>
      </c>
      <c r="L1145" t="s">
        <v>28</v>
      </c>
      <c r="M1145" t="s">
        <v>28</v>
      </c>
      <c r="N1145" t="s">
        <v>28</v>
      </c>
      <c r="O1145" t="s">
        <v>28</v>
      </c>
      <c r="P1145" t="s">
        <v>28</v>
      </c>
      <c r="Q1145" t="s">
        <v>49</v>
      </c>
      <c r="R1145" t="s">
        <v>171</v>
      </c>
      <c r="S1145">
        <v>114</v>
      </c>
      <c r="T1145" t="s">
        <v>166</v>
      </c>
      <c r="U1145">
        <v>20231208</v>
      </c>
      <c r="V1145">
        <v>29</v>
      </c>
      <c r="W1145">
        <v>5</v>
      </c>
      <c r="X1145" t="s">
        <v>160</v>
      </c>
    </row>
    <row r="1146" spans="1:24" x14ac:dyDescent="0.2">
      <c r="A1146" t="str">
        <f t="shared" si="51"/>
        <v>sample_novaseq-16S-F-H05-L5_SICap-P22-H5-MouseStool-Cecum-mouse-20231208-114-Purple-1</v>
      </c>
      <c r="B1146" s="1" t="s">
        <v>742</v>
      </c>
      <c r="C1146" s="3" t="s">
        <v>1318</v>
      </c>
      <c r="D1146" s="3" t="s">
        <v>1328</v>
      </c>
      <c r="E1146" t="s">
        <v>20</v>
      </c>
      <c r="F1146" t="s">
        <v>161</v>
      </c>
      <c r="G1146" t="s">
        <v>134</v>
      </c>
      <c r="H1146" t="str">
        <f t="shared" si="52"/>
        <v>05</v>
      </c>
      <c r="I1146" t="str">
        <f t="shared" si="53"/>
        <v>H</v>
      </c>
      <c r="J1146" t="s">
        <v>162</v>
      </c>
      <c r="K1146" t="s">
        <v>28</v>
      </c>
      <c r="L1146" t="s">
        <v>28</v>
      </c>
      <c r="M1146" t="s">
        <v>28</v>
      </c>
      <c r="N1146" t="s">
        <v>28</v>
      </c>
      <c r="O1146" t="s">
        <v>28</v>
      </c>
      <c r="P1146" t="s">
        <v>28</v>
      </c>
      <c r="Q1146" t="s">
        <v>49</v>
      </c>
      <c r="R1146" t="s">
        <v>171</v>
      </c>
      <c r="S1146">
        <v>114</v>
      </c>
      <c r="T1146" t="s">
        <v>167</v>
      </c>
      <c r="U1146">
        <v>20231208</v>
      </c>
      <c r="V1146">
        <v>29</v>
      </c>
      <c r="W1146">
        <v>5</v>
      </c>
      <c r="X1146" t="s">
        <v>160</v>
      </c>
    </row>
    <row r="1147" spans="1:24" x14ac:dyDescent="0.2">
      <c r="A1147" t="str">
        <f t="shared" si="51"/>
        <v>sample_novaseq-16S-F-H06-L5_SICap-P22-H6-MouseStool-Cecum-mouse-20231208-114-Yellow-1</v>
      </c>
      <c r="B1147" s="1" t="s">
        <v>743</v>
      </c>
      <c r="C1147" s="3" t="s">
        <v>1319</v>
      </c>
      <c r="D1147" s="3" t="s">
        <v>1328</v>
      </c>
      <c r="E1147" t="s">
        <v>20</v>
      </c>
      <c r="F1147" t="s">
        <v>161</v>
      </c>
      <c r="G1147" t="s">
        <v>135</v>
      </c>
      <c r="H1147" t="str">
        <f t="shared" si="52"/>
        <v>06</v>
      </c>
      <c r="I1147" t="str">
        <f t="shared" si="53"/>
        <v>H</v>
      </c>
      <c r="J1147" t="s">
        <v>162</v>
      </c>
      <c r="K1147" t="s">
        <v>28</v>
      </c>
      <c r="L1147" t="s">
        <v>28</v>
      </c>
      <c r="M1147" t="s">
        <v>28</v>
      </c>
      <c r="N1147" t="s">
        <v>28</v>
      </c>
      <c r="O1147" t="s">
        <v>28</v>
      </c>
      <c r="P1147" t="s">
        <v>28</v>
      </c>
      <c r="Q1147" t="s">
        <v>49</v>
      </c>
      <c r="R1147" t="s">
        <v>171</v>
      </c>
      <c r="S1147">
        <v>114</v>
      </c>
      <c r="T1147" t="s">
        <v>168</v>
      </c>
      <c r="U1147">
        <v>20231208</v>
      </c>
      <c r="V1147">
        <v>29</v>
      </c>
      <c r="W1147">
        <v>5</v>
      </c>
      <c r="X1147" t="s">
        <v>160</v>
      </c>
    </row>
    <row r="1148" spans="1:24" x14ac:dyDescent="0.2">
      <c r="A1148" t="str">
        <f t="shared" si="51"/>
        <v>sample_novaseq-16S-F-H07-L5_SICap-P22-H7-MouseStool-Cecum-mouse-20231208-114-Green-1</v>
      </c>
      <c r="B1148" s="1" t="s">
        <v>744</v>
      </c>
      <c r="C1148" s="3" t="s">
        <v>1320</v>
      </c>
      <c r="D1148" s="3" t="s">
        <v>1328</v>
      </c>
      <c r="E1148" t="s">
        <v>20</v>
      </c>
      <c r="F1148" t="s">
        <v>161</v>
      </c>
      <c r="G1148" t="s">
        <v>136</v>
      </c>
      <c r="H1148" t="str">
        <f t="shared" si="52"/>
        <v>07</v>
      </c>
      <c r="I1148" t="str">
        <f t="shared" si="53"/>
        <v>H</v>
      </c>
      <c r="J1148" t="s">
        <v>162</v>
      </c>
      <c r="K1148" t="s">
        <v>28</v>
      </c>
      <c r="L1148" t="s">
        <v>28</v>
      </c>
      <c r="M1148" t="s">
        <v>28</v>
      </c>
      <c r="N1148" t="s">
        <v>28</v>
      </c>
      <c r="O1148" t="s">
        <v>28</v>
      </c>
      <c r="P1148" t="s">
        <v>28</v>
      </c>
      <c r="Q1148" t="s">
        <v>49</v>
      </c>
      <c r="R1148" t="s">
        <v>171</v>
      </c>
      <c r="S1148">
        <v>114</v>
      </c>
      <c r="T1148" t="s">
        <v>169</v>
      </c>
      <c r="U1148">
        <v>20231208</v>
      </c>
      <c r="V1148">
        <v>29</v>
      </c>
      <c r="W1148">
        <v>5</v>
      </c>
      <c r="X1148" t="s">
        <v>160</v>
      </c>
    </row>
    <row r="1149" spans="1:24" x14ac:dyDescent="0.2">
      <c r="A1149" t="str">
        <f t="shared" si="51"/>
        <v>sample_novaseq-16S-F-H08-L5_SICap-P22-H8-MouseStool-Cecum-mouse-20231208-113-Clear-3</v>
      </c>
      <c r="B1149" s="1" t="s">
        <v>745</v>
      </c>
      <c r="C1149" s="3" t="s">
        <v>1321</v>
      </c>
      <c r="D1149" s="3" t="s">
        <v>1328</v>
      </c>
      <c r="E1149" t="s">
        <v>20</v>
      </c>
      <c r="F1149" t="s">
        <v>161</v>
      </c>
      <c r="G1149" t="s">
        <v>137</v>
      </c>
      <c r="H1149" t="str">
        <f t="shared" si="52"/>
        <v>08</v>
      </c>
      <c r="I1149" t="str">
        <f t="shared" si="53"/>
        <v>H</v>
      </c>
      <c r="J1149" t="s">
        <v>162</v>
      </c>
      <c r="K1149" t="s">
        <v>28</v>
      </c>
      <c r="L1149" t="s">
        <v>28</v>
      </c>
      <c r="M1149" t="s">
        <v>28</v>
      </c>
      <c r="N1149" t="s">
        <v>28</v>
      </c>
      <c r="O1149" t="s">
        <v>28</v>
      </c>
      <c r="P1149" t="s">
        <v>28</v>
      </c>
      <c r="Q1149" t="s">
        <v>170</v>
      </c>
      <c r="R1149" t="s">
        <v>171</v>
      </c>
      <c r="S1149">
        <v>113</v>
      </c>
      <c r="T1149" t="s">
        <v>166</v>
      </c>
      <c r="U1149">
        <v>20231208</v>
      </c>
      <c r="V1149">
        <v>29</v>
      </c>
      <c r="W1149">
        <v>5</v>
      </c>
      <c r="X1149" t="s">
        <v>160</v>
      </c>
    </row>
    <row r="1150" spans="1:24" x14ac:dyDescent="0.2">
      <c r="A1150" t="str">
        <f t="shared" si="51"/>
        <v>sample_novaseq-16S-F-H09-L5_SICap-P22-H9-MouseStool-Cecum-mouse-20231208-113-Purple-1</v>
      </c>
      <c r="B1150" s="1" t="s">
        <v>746</v>
      </c>
      <c r="C1150" s="3" t="s">
        <v>1322</v>
      </c>
      <c r="D1150" s="3" t="s">
        <v>1328</v>
      </c>
      <c r="E1150" t="s">
        <v>20</v>
      </c>
      <c r="F1150" t="s">
        <v>161</v>
      </c>
      <c r="G1150" t="s">
        <v>138</v>
      </c>
      <c r="H1150" t="str">
        <f t="shared" si="52"/>
        <v>09</v>
      </c>
      <c r="I1150" t="str">
        <f t="shared" si="53"/>
        <v>H</v>
      </c>
      <c r="J1150" t="s">
        <v>162</v>
      </c>
      <c r="K1150" t="s">
        <v>28</v>
      </c>
      <c r="L1150" t="s">
        <v>28</v>
      </c>
      <c r="M1150" t="s">
        <v>28</v>
      </c>
      <c r="N1150" t="s">
        <v>28</v>
      </c>
      <c r="O1150" t="s">
        <v>28</v>
      </c>
      <c r="P1150" t="s">
        <v>28</v>
      </c>
      <c r="Q1150" t="s">
        <v>170</v>
      </c>
      <c r="R1150" t="s">
        <v>171</v>
      </c>
      <c r="S1150">
        <v>113</v>
      </c>
      <c r="T1150" t="s">
        <v>167</v>
      </c>
      <c r="U1150">
        <v>20231208</v>
      </c>
      <c r="V1150">
        <v>29</v>
      </c>
      <c r="W1150">
        <v>5</v>
      </c>
      <c r="X1150" t="s">
        <v>160</v>
      </c>
    </row>
    <row r="1151" spans="1:24" x14ac:dyDescent="0.2">
      <c r="A1151" t="str">
        <f t="shared" si="51"/>
        <v>sample_novaseq-16S-F-H10-L5_SICap-P22-H10-MouseStool-EmptyWell-1</v>
      </c>
      <c r="B1151" s="1" t="s">
        <v>747</v>
      </c>
      <c r="C1151" s="3" t="s">
        <v>1323</v>
      </c>
      <c r="D1151" s="3" t="s">
        <v>1328</v>
      </c>
      <c r="E1151" t="s">
        <v>20</v>
      </c>
      <c r="F1151" t="s">
        <v>161</v>
      </c>
      <c r="G1151" t="s">
        <v>139</v>
      </c>
      <c r="H1151" t="str">
        <f t="shared" si="52"/>
        <v>10</v>
      </c>
      <c r="I1151" t="str">
        <f t="shared" si="53"/>
        <v>H</v>
      </c>
      <c r="J1151" t="s">
        <v>162</v>
      </c>
      <c r="K1151" t="s">
        <v>28</v>
      </c>
      <c r="L1151" t="s">
        <v>28</v>
      </c>
      <c r="M1151" t="s">
        <v>28</v>
      </c>
      <c r="N1151" t="s">
        <v>28</v>
      </c>
      <c r="O1151" t="s">
        <v>28</v>
      </c>
      <c r="P1151" t="s">
        <v>28</v>
      </c>
      <c r="Q1151" t="s">
        <v>172</v>
      </c>
      <c r="R1151" t="s">
        <v>172</v>
      </c>
      <c r="S1151" t="s">
        <v>172</v>
      </c>
      <c r="T1151" t="s">
        <v>172</v>
      </c>
      <c r="U1151" t="s">
        <v>172</v>
      </c>
      <c r="V1151" t="s">
        <v>28</v>
      </c>
      <c r="W1151">
        <v>5</v>
      </c>
      <c r="X1151" t="s">
        <v>160</v>
      </c>
    </row>
    <row r="1152" spans="1:24" x14ac:dyDescent="0.2">
      <c r="A1152" t="str">
        <f t="shared" si="51"/>
        <v>sample_novaseq-16S-F-H11-L5_SICap-P22-H11-MouseStool-EmptyWell-2</v>
      </c>
      <c r="B1152" s="1" t="s">
        <v>748</v>
      </c>
      <c r="C1152" s="3" t="s">
        <v>1324</v>
      </c>
      <c r="D1152" s="3" t="s">
        <v>1328</v>
      </c>
      <c r="E1152" t="s">
        <v>20</v>
      </c>
      <c r="F1152" t="s">
        <v>161</v>
      </c>
      <c r="G1152" t="s">
        <v>140</v>
      </c>
      <c r="H1152" t="str">
        <f t="shared" si="52"/>
        <v>11</v>
      </c>
      <c r="I1152" t="str">
        <f t="shared" si="53"/>
        <v>H</v>
      </c>
      <c r="J1152" t="s">
        <v>162</v>
      </c>
      <c r="K1152" t="s">
        <v>28</v>
      </c>
      <c r="L1152" t="s">
        <v>28</v>
      </c>
      <c r="M1152" t="s">
        <v>28</v>
      </c>
      <c r="N1152" t="s">
        <v>28</v>
      </c>
      <c r="O1152" t="s">
        <v>28</v>
      </c>
      <c r="P1152" t="s">
        <v>28</v>
      </c>
      <c r="Q1152" t="s">
        <v>172</v>
      </c>
      <c r="R1152" t="s">
        <v>172</v>
      </c>
      <c r="S1152" t="s">
        <v>172</v>
      </c>
      <c r="T1152" t="s">
        <v>172</v>
      </c>
      <c r="U1152" t="s">
        <v>172</v>
      </c>
      <c r="V1152" t="s">
        <v>28</v>
      </c>
      <c r="W1152">
        <v>5</v>
      </c>
      <c r="X1152" t="s">
        <v>160</v>
      </c>
    </row>
    <row r="1153" spans="1:24" x14ac:dyDescent="0.2">
      <c r="A1153" t="str">
        <f t="shared" si="51"/>
        <v>sample_novaseq-16S-F-H12-L5_SICap-P22-H12-MouseStool-EmptyWell-3</v>
      </c>
      <c r="B1153" s="1" t="s">
        <v>749</v>
      </c>
      <c r="C1153" s="3" t="s">
        <v>1325</v>
      </c>
      <c r="D1153" s="3" t="s">
        <v>1328</v>
      </c>
      <c r="E1153" t="s">
        <v>20</v>
      </c>
      <c r="F1153" t="s">
        <v>161</v>
      </c>
      <c r="G1153" t="s">
        <v>141</v>
      </c>
      <c r="H1153" t="str">
        <f t="shared" si="52"/>
        <v>12</v>
      </c>
      <c r="I1153" t="str">
        <f t="shared" si="53"/>
        <v>H</v>
      </c>
      <c r="J1153" t="s">
        <v>162</v>
      </c>
      <c r="K1153" t="s">
        <v>28</v>
      </c>
      <c r="L1153" t="s">
        <v>28</v>
      </c>
      <c r="M1153" t="s">
        <v>28</v>
      </c>
      <c r="N1153" t="s">
        <v>28</v>
      </c>
      <c r="O1153" t="s">
        <v>28</v>
      </c>
      <c r="P1153" t="s">
        <v>28</v>
      </c>
      <c r="Q1153" t="s">
        <v>172</v>
      </c>
      <c r="R1153" t="s">
        <v>172</v>
      </c>
      <c r="S1153" t="s">
        <v>172</v>
      </c>
      <c r="T1153" t="s">
        <v>172</v>
      </c>
      <c r="U1153" t="s">
        <v>172</v>
      </c>
      <c r="V1153" t="s">
        <v>28</v>
      </c>
      <c r="W1153">
        <v>5</v>
      </c>
      <c r="X1153" t="s">
        <v>160</v>
      </c>
    </row>
  </sheetData>
  <phoneticPr fontId="1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471A6-CCC9-504B-A75E-2FC8929C5844}">
  <dimension ref="A1:AF688"/>
  <sheetViews>
    <sheetView workbookViewId="0">
      <selection activeCell="A9" sqref="A9"/>
    </sheetView>
  </sheetViews>
  <sheetFormatPr baseColWidth="10" defaultRowHeight="16" x14ac:dyDescent="0.2"/>
  <cols>
    <col min="1" max="1" width="60.1640625" bestFit="1" customWidth="1"/>
    <col min="11" max="11" width="37.5" bestFit="1" customWidth="1"/>
    <col min="13" max="13" width="22.1640625" bestFit="1" customWidth="1"/>
  </cols>
  <sheetData>
    <row r="1" spans="1:32" x14ac:dyDescent="0.2">
      <c r="A1" s="4" t="s">
        <v>173</v>
      </c>
      <c r="B1" s="4" t="s">
        <v>1419</v>
      </c>
      <c r="C1" s="4" t="s">
        <v>0</v>
      </c>
      <c r="D1" s="4" t="s">
        <v>1420</v>
      </c>
      <c r="E1" s="4" t="s">
        <v>1421</v>
      </c>
      <c r="F1" s="4" t="s">
        <v>1422</v>
      </c>
      <c r="G1" s="4" t="s">
        <v>1326</v>
      </c>
      <c r="H1" s="4" t="s">
        <v>1408</v>
      </c>
      <c r="I1" s="4" t="s">
        <v>1416</v>
      </c>
      <c r="J1" s="4" t="s">
        <v>1423</v>
      </c>
      <c r="K1" s="5" t="s">
        <v>1424</v>
      </c>
      <c r="L1" s="4" t="s">
        <v>1418</v>
      </c>
      <c r="M1" s="4" t="s">
        <v>1425</v>
      </c>
      <c r="N1" s="4" t="s">
        <v>1426</v>
      </c>
      <c r="O1" s="4" t="s">
        <v>1427</v>
      </c>
      <c r="P1" s="4" t="s">
        <v>1428</v>
      </c>
      <c r="Q1" s="4" t="s">
        <v>1417</v>
      </c>
      <c r="R1" s="4" t="s">
        <v>1429</v>
      </c>
      <c r="S1" s="4" t="s">
        <v>1430</v>
      </c>
      <c r="T1" s="4" t="s">
        <v>1431</v>
      </c>
      <c r="U1" s="4" t="s">
        <v>1432</v>
      </c>
      <c r="V1" s="4" t="s">
        <v>10</v>
      </c>
      <c r="W1" s="4" t="s">
        <v>1433</v>
      </c>
      <c r="X1" s="4" t="s">
        <v>1434</v>
      </c>
      <c r="Y1" s="4" t="s">
        <v>1435</v>
      </c>
      <c r="Z1" s="4" t="s">
        <v>1436</v>
      </c>
      <c r="AA1" s="4" t="s">
        <v>1437</v>
      </c>
      <c r="AB1" s="4" t="s">
        <v>1438</v>
      </c>
      <c r="AC1" s="4" t="s">
        <v>1439</v>
      </c>
      <c r="AD1" s="4" t="s">
        <v>1440</v>
      </c>
      <c r="AE1" s="4" t="s">
        <v>1441</v>
      </c>
      <c r="AF1" s="4" t="s">
        <v>1442</v>
      </c>
    </row>
    <row r="2" spans="1:32" x14ac:dyDescent="0.2">
      <c r="A2" s="3" t="s">
        <v>1921</v>
      </c>
      <c r="B2" s="6" t="s">
        <v>1443</v>
      </c>
      <c r="C2" s="6">
        <v>1</v>
      </c>
      <c r="D2" s="7">
        <v>1</v>
      </c>
      <c r="E2" s="6" t="s">
        <v>1444</v>
      </c>
      <c r="F2" s="6" t="s">
        <v>1445</v>
      </c>
      <c r="G2" s="6" t="s">
        <v>1446</v>
      </c>
      <c r="H2" s="6" t="s">
        <v>22</v>
      </c>
      <c r="I2" s="6" t="s">
        <v>1415</v>
      </c>
      <c r="J2" s="6" t="s">
        <v>1401</v>
      </c>
      <c r="K2" s="8" t="s">
        <v>1447</v>
      </c>
      <c r="L2" s="6" t="s">
        <v>1448</v>
      </c>
      <c r="M2" s="6" t="s">
        <v>1449</v>
      </c>
      <c r="N2" s="6" t="s">
        <v>1450</v>
      </c>
      <c r="O2" s="6" t="s">
        <v>1405</v>
      </c>
      <c r="P2" s="6" t="s">
        <v>1451</v>
      </c>
      <c r="Q2" s="6" t="s">
        <v>1452</v>
      </c>
      <c r="R2" s="6">
        <v>1</v>
      </c>
      <c r="S2" s="6" t="s">
        <v>1453</v>
      </c>
      <c r="T2" s="6" t="s">
        <v>1454</v>
      </c>
      <c r="U2" s="6" t="s">
        <v>1406</v>
      </c>
      <c r="V2" s="6">
        <v>16</v>
      </c>
      <c r="W2" s="6" t="b">
        <v>1</v>
      </c>
      <c r="X2" s="6">
        <v>240808</v>
      </c>
      <c r="Y2" s="6" t="s">
        <v>1405</v>
      </c>
      <c r="Z2" s="6">
        <v>0</v>
      </c>
      <c r="AA2" s="6">
        <v>0</v>
      </c>
      <c r="AB2" s="6" t="s">
        <v>1405</v>
      </c>
      <c r="AC2" s="6" t="s">
        <v>1405</v>
      </c>
      <c r="AD2" s="6">
        <v>0</v>
      </c>
      <c r="AE2" s="6" t="s">
        <v>1405</v>
      </c>
      <c r="AF2" s="6" t="s">
        <v>1405</v>
      </c>
    </row>
    <row r="3" spans="1:32" x14ac:dyDescent="0.2">
      <c r="A3" s="3" t="s">
        <v>1922</v>
      </c>
      <c r="B3" s="6" t="s">
        <v>1443</v>
      </c>
      <c r="C3" s="6">
        <v>2</v>
      </c>
      <c r="D3" s="7">
        <v>2</v>
      </c>
      <c r="E3" s="6" t="s">
        <v>1444</v>
      </c>
      <c r="F3" s="6" t="s">
        <v>1445</v>
      </c>
      <c r="G3" s="6" t="s">
        <v>1446</v>
      </c>
      <c r="H3" s="6" t="s">
        <v>30</v>
      </c>
      <c r="I3" s="6" t="s">
        <v>1415</v>
      </c>
      <c r="J3" s="6" t="s">
        <v>1401</v>
      </c>
      <c r="K3" s="8" t="s">
        <v>1455</v>
      </c>
      <c r="L3" s="6" t="s">
        <v>1448</v>
      </c>
      <c r="M3" s="6" t="s">
        <v>1449</v>
      </c>
      <c r="N3" s="6" t="s">
        <v>1450</v>
      </c>
      <c r="O3" s="6" t="s">
        <v>1405</v>
      </c>
      <c r="P3" s="6" t="s">
        <v>1451</v>
      </c>
      <c r="Q3" s="6" t="s">
        <v>1456</v>
      </c>
      <c r="R3" s="6">
        <v>2</v>
      </c>
      <c r="S3" s="6" t="s">
        <v>1453</v>
      </c>
      <c r="T3" s="6" t="s">
        <v>1454</v>
      </c>
      <c r="U3" s="6" t="s">
        <v>1406</v>
      </c>
      <c r="V3" s="6">
        <v>16</v>
      </c>
      <c r="W3" s="6" t="b">
        <v>1</v>
      </c>
      <c r="X3" s="6">
        <v>240808</v>
      </c>
      <c r="Y3" s="6" t="s">
        <v>1405</v>
      </c>
      <c r="Z3" s="6">
        <v>0</v>
      </c>
      <c r="AA3" s="6">
        <v>0</v>
      </c>
      <c r="AB3" s="6" t="s">
        <v>1405</v>
      </c>
      <c r="AC3" s="6" t="s">
        <v>1405</v>
      </c>
      <c r="AD3" s="6">
        <v>0</v>
      </c>
      <c r="AE3" s="6" t="s">
        <v>1405</v>
      </c>
      <c r="AF3" s="6" t="s">
        <v>1405</v>
      </c>
    </row>
    <row r="4" spans="1:32" x14ac:dyDescent="0.2">
      <c r="A4" s="3" t="s">
        <v>1359</v>
      </c>
      <c r="B4" s="9" t="s">
        <v>1443</v>
      </c>
      <c r="C4" s="6">
        <v>3</v>
      </c>
      <c r="D4" s="9">
        <v>2</v>
      </c>
      <c r="E4" s="9" t="s">
        <v>1457</v>
      </c>
      <c r="F4" s="10" t="s">
        <v>1445</v>
      </c>
      <c r="G4" s="9" t="s">
        <v>1458</v>
      </c>
      <c r="H4" s="9" t="s">
        <v>105</v>
      </c>
      <c r="I4" s="9" t="s">
        <v>1411</v>
      </c>
      <c r="J4" s="9" t="s">
        <v>1401</v>
      </c>
      <c r="K4" s="8" t="s">
        <v>1459</v>
      </c>
      <c r="L4" s="11" t="s">
        <v>1448</v>
      </c>
      <c r="M4" s="11" t="s">
        <v>1449</v>
      </c>
      <c r="N4" s="11" t="s">
        <v>1450</v>
      </c>
      <c r="O4" s="11" t="s">
        <v>1405</v>
      </c>
      <c r="P4" s="11" t="s">
        <v>1451</v>
      </c>
      <c r="Q4" s="11" t="s">
        <v>1456</v>
      </c>
      <c r="R4" s="11">
        <v>2</v>
      </c>
      <c r="S4" s="11" t="s">
        <v>1453</v>
      </c>
      <c r="T4" s="11" t="s">
        <v>1454</v>
      </c>
      <c r="U4" s="11" t="s">
        <v>1406</v>
      </c>
      <c r="V4" s="11">
        <v>16</v>
      </c>
      <c r="W4" s="11" t="b">
        <v>1</v>
      </c>
      <c r="X4" s="11">
        <v>240808</v>
      </c>
      <c r="Y4" s="11" t="s">
        <v>1405</v>
      </c>
      <c r="Z4" s="11">
        <v>0</v>
      </c>
      <c r="AA4" s="11">
        <v>0</v>
      </c>
      <c r="AB4" s="11" t="s">
        <v>1405</v>
      </c>
      <c r="AC4" s="11" t="s">
        <v>1405</v>
      </c>
      <c r="AD4" s="11">
        <v>0</v>
      </c>
      <c r="AE4" s="11" t="s">
        <v>1405</v>
      </c>
      <c r="AF4" s="11" t="s">
        <v>1405</v>
      </c>
    </row>
    <row r="5" spans="1:32" x14ac:dyDescent="0.2">
      <c r="A5" s="3" t="s">
        <v>1923</v>
      </c>
      <c r="B5" s="6" t="s">
        <v>1443</v>
      </c>
      <c r="C5" s="6">
        <v>4</v>
      </c>
      <c r="D5" s="7">
        <v>3</v>
      </c>
      <c r="E5" s="6" t="s">
        <v>1444</v>
      </c>
      <c r="F5" s="6" t="s">
        <v>1445</v>
      </c>
      <c r="G5" s="6" t="s">
        <v>1446</v>
      </c>
      <c r="H5" s="6" t="s">
        <v>32</v>
      </c>
      <c r="I5" s="6" t="s">
        <v>1415</v>
      </c>
      <c r="J5" s="6" t="s">
        <v>1401</v>
      </c>
      <c r="K5" s="8" t="s">
        <v>1460</v>
      </c>
      <c r="L5" s="6" t="s">
        <v>1448</v>
      </c>
      <c r="M5" s="6" t="s">
        <v>1449</v>
      </c>
      <c r="N5" s="6" t="s">
        <v>1450</v>
      </c>
      <c r="O5" s="6" t="s">
        <v>1405</v>
      </c>
      <c r="P5" s="6" t="s">
        <v>1451</v>
      </c>
      <c r="Q5" s="6" t="s">
        <v>1461</v>
      </c>
      <c r="R5" s="6">
        <v>3</v>
      </c>
      <c r="S5" s="6" t="s">
        <v>1453</v>
      </c>
      <c r="T5" s="6" t="s">
        <v>1454</v>
      </c>
      <c r="U5" s="6" t="s">
        <v>1406</v>
      </c>
      <c r="V5" s="6">
        <v>16</v>
      </c>
      <c r="W5" s="6" t="b">
        <v>1</v>
      </c>
      <c r="X5" s="6">
        <v>240808</v>
      </c>
      <c r="Y5" s="6" t="s">
        <v>1405</v>
      </c>
      <c r="Z5" s="6">
        <v>0</v>
      </c>
      <c r="AA5" s="6">
        <v>0</v>
      </c>
      <c r="AB5" s="6" t="s">
        <v>1405</v>
      </c>
      <c r="AC5" s="6" t="s">
        <v>1405</v>
      </c>
      <c r="AD5" s="6">
        <v>0</v>
      </c>
      <c r="AE5" s="6" t="s">
        <v>1405</v>
      </c>
      <c r="AF5" s="6" t="s">
        <v>1405</v>
      </c>
    </row>
    <row r="6" spans="1:32" x14ac:dyDescent="0.2">
      <c r="A6" s="3" t="s">
        <v>1360</v>
      </c>
      <c r="B6" s="9" t="s">
        <v>1443</v>
      </c>
      <c r="C6" s="6">
        <v>5</v>
      </c>
      <c r="D6" s="9">
        <v>3</v>
      </c>
      <c r="E6" s="9" t="s">
        <v>1457</v>
      </c>
      <c r="F6" s="10" t="s">
        <v>1445</v>
      </c>
      <c r="G6" s="9" t="s">
        <v>1458</v>
      </c>
      <c r="H6" s="9" t="s">
        <v>106</v>
      </c>
      <c r="I6" s="9" t="s">
        <v>1411</v>
      </c>
      <c r="J6" s="9" t="s">
        <v>1401</v>
      </c>
      <c r="K6" s="8" t="s">
        <v>1462</v>
      </c>
      <c r="L6" s="11" t="s">
        <v>1448</v>
      </c>
      <c r="M6" s="11" t="s">
        <v>1449</v>
      </c>
      <c r="N6" s="11" t="s">
        <v>1450</v>
      </c>
      <c r="O6" s="11" t="s">
        <v>1405</v>
      </c>
      <c r="P6" s="11" t="s">
        <v>1451</v>
      </c>
      <c r="Q6" s="11" t="s">
        <v>1461</v>
      </c>
      <c r="R6" s="11">
        <v>3</v>
      </c>
      <c r="S6" s="11" t="s">
        <v>1453</v>
      </c>
      <c r="T6" s="11" t="s">
        <v>1454</v>
      </c>
      <c r="U6" s="11" t="s">
        <v>1406</v>
      </c>
      <c r="V6" s="11">
        <v>16</v>
      </c>
      <c r="W6" s="11" t="b">
        <v>1</v>
      </c>
      <c r="X6" s="11">
        <v>240808</v>
      </c>
      <c r="Y6" s="11" t="s">
        <v>1405</v>
      </c>
      <c r="Z6" s="11">
        <v>0</v>
      </c>
      <c r="AA6" s="11">
        <v>0</v>
      </c>
      <c r="AB6" s="11" t="s">
        <v>1405</v>
      </c>
      <c r="AC6" s="11" t="s">
        <v>1405</v>
      </c>
      <c r="AD6" s="11">
        <v>0</v>
      </c>
      <c r="AE6" s="11" t="s">
        <v>1405</v>
      </c>
      <c r="AF6" s="11" t="s">
        <v>1405</v>
      </c>
    </row>
    <row r="7" spans="1:32" x14ac:dyDescent="0.2">
      <c r="A7" s="3" t="s">
        <v>1924</v>
      </c>
      <c r="B7" s="6" t="s">
        <v>1443</v>
      </c>
      <c r="C7" s="6">
        <v>6</v>
      </c>
      <c r="D7" s="7">
        <v>4</v>
      </c>
      <c r="E7" s="6" t="s">
        <v>1444</v>
      </c>
      <c r="F7" s="6" t="s">
        <v>1445</v>
      </c>
      <c r="G7" s="6" t="s">
        <v>1446</v>
      </c>
      <c r="H7" s="6" t="s">
        <v>34</v>
      </c>
      <c r="I7" s="6" t="s">
        <v>1415</v>
      </c>
      <c r="J7" s="6" t="s">
        <v>1401</v>
      </c>
      <c r="K7" s="8" t="s">
        <v>1463</v>
      </c>
      <c r="L7" s="6" t="s">
        <v>1394</v>
      </c>
      <c r="M7" s="6" t="s">
        <v>1464</v>
      </c>
      <c r="N7" s="6" t="s">
        <v>1450</v>
      </c>
      <c r="O7" s="6" t="s">
        <v>1405</v>
      </c>
      <c r="P7" s="6" t="s">
        <v>1395</v>
      </c>
      <c r="Q7" s="6" t="s">
        <v>1452</v>
      </c>
      <c r="R7" s="6">
        <v>1</v>
      </c>
      <c r="S7" s="6" t="s">
        <v>1453</v>
      </c>
      <c r="T7" s="6" t="s">
        <v>1454</v>
      </c>
      <c r="U7" s="6" t="s">
        <v>1406</v>
      </c>
      <c r="V7" s="6">
        <v>16</v>
      </c>
      <c r="W7" s="6" t="b">
        <v>1</v>
      </c>
      <c r="X7" s="6">
        <v>240808</v>
      </c>
      <c r="Y7" s="6" t="s">
        <v>1405</v>
      </c>
      <c r="Z7" s="6">
        <v>0</v>
      </c>
      <c r="AA7" s="6">
        <v>0</v>
      </c>
      <c r="AB7" s="6" t="s">
        <v>1405</v>
      </c>
      <c r="AC7" s="6" t="s">
        <v>1405</v>
      </c>
      <c r="AD7" s="6">
        <v>0</v>
      </c>
      <c r="AE7" s="6" t="s">
        <v>1405</v>
      </c>
      <c r="AF7" s="6" t="s">
        <v>1405</v>
      </c>
    </row>
    <row r="8" spans="1:32" x14ac:dyDescent="0.2">
      <c r="A8" s="3" t="s">
        <v>1361</v>
      </c>
      <c r="B8" s="9" t="s">
        <v>1443</v>
      </c>
      <c r="C8" s="6">
        <v>7</v>
      </c>
      <c r="D8" s="9">
        <v>4</v>
      </c>
      <c r="E8" s="9" t="s">
        <v>1457</v>
      </c>
      <c r="F8" s="10" t="s">
        <v>1445</v>
      </c>
      <c r="G8" s="9" t="s">
        <v>1458</v>
      </c>
      <c r="H8" s="9" t="s">
        <v>107</v>
      </c>
      <c r="I8" s="9" t="s">
        <v>1411</v>
      </c>
      <c r="J8" s="9" t="s">
        <v>1401</v>
      </c>
      <c r="K8" s="8" t="s">
        <v>1465</v>
      </c>
      <c r="L8" s="11" t="s">
        <v>1394</v>
      </c>
      <c r="M8" s="11" t="s">
        <v>1464</v>
      </c>
      <c r="N8" s="11" t="s">
        <v>1450</v>
      </c>
      <c r="O8" s="11" t="s">
        <v>1405</v>
      </c>
      <c r="P8" s="11" t="s">
        <v>1395</v>
      </c>
      <c r="Q8" s="11" t="s">
        <v>1452</v>
      </c>
      <c r="R8" s="11">
        <v>1</v>
      </c>
      <c r="S8" s="11" t="s">
        <v>1453</v>
      </c>
      <c r="T8" s="11" t="s">
        <v>1454</v>
      </c>
      <c r="U8" s="11" t="s">
        <v>1406</v>
      </c>
      <c r="V8" s="11">
        <v>16</v>
      </c>
      <c r="W8" s="11" t="b">
        <v>1</v>
      </c>
      <c r="X8" s="11">
        <v>240808</v>
      </c>
      <c r="Y8" s="11" t="s">
        <v>1405</v>
      </c>
      <c r="Z8" s="11">
        <v>0</v>
      </c>
      <c r="AA8" s="11">
        <v>0</v>
      </c>
      <c r="AB8" s="11" t="s">
        <v>1405</v>
      </c>
      <c r="AC8" s="11" t="s">
        <v>1405</v>
      </c>
      <c r="AD8" s="11">
        <v>0</v>
      </c>
      <c r="AE8" s="11" t="s">
        <v>1405</v>
      </c>
      <c r="AF8" s="11" t="s">
        <v>1405</v>
      </c>
    </row>
    <row r="9" spans="1:32" x14ac:dyDescent="0.2">
      <c r="A9" s="3" t="s">
        <v>1925</v>
      </c>
      <c r="B9" s="6" t="s">
        <v>1443</v>
      </c>
      <c r="C9" s="6">
        <v>8</v>
      </c>
      <c r="D9" s="7">
        <v>5</v>
      </c>
      <c r="E9" s="6" t="s">
        <v>1444</v>
      </c>
      <c r="F9" s="6" t="s">
        <v>1445</v>
      </c>
      <c r="G9" s="6" t="s">
        <v>1446</v>
      </c>
      <c r="H9" s="6" t="s">
        <v>36</v>
      </c>
      <c r="I9" s="6" t="s">
        <v>1415</v>
      </c>
      <c r="J9" s="6" t="s">
        <v>1401</v>
      </c>
      <c r="K9" s="8" t="s">
        <v>1466</v>
      </c>
      <c r="L9" s="6" t="s">
        <v>1394</v>
      </c>
      <c r="M9" s="6" t="s">
        <v>1464</v>
      </c>
      <c r="N9" s="6" t="s">
        <v>1450</v>
      </c>
      <c r="O9" s="6" t="s">
        <v>1405</v>
      </c>
      <c r="P9" s="6" t="s">
        <v>1395</v>
      </c>
      <c r="Q9" s="6" t="s">
        <v>1456</v>
      </c>
      <c r="R9" s="6">
        <v>2</v>
      </c>
      <c r="S9" s="6" t="s">
        <v>1453</v>
      </c>
      <c r="T9" s="6" t="s">
        <v>1454</v>
      </c>
      <c r="U9" s="6" t="s">
        <v>1406</v>
      </c>
      <c r="V9" s="6">
        <v>16</v>
      </c>
      <c r="W9" s="6" t="b">
        <v>1</v>
      </c>
      <c r="X9" s="6">
        <v>240808</v>
      </c>
      <c r="Y9" s="6" t="s">
        <v>1405</v>
      </c>
      <c r="Z9" s="6">
        <v>0</v>
      </c>
      <c r="AA9" s="6">
        <v>0</v>
      </c>
      <c r="AB9" s="6" t="s">
        <v>1405</v>
      </c>
      <c r="AC9" s="6" t="s">
        <v>1405</v>
      </c>
      <c r="AD9" s="6">
        <v>0</v>
      </c>
      <c r="AE9" s="6" t="s">
        <v>1405</v>
      </c>
      <c r="AF9" s="6" t="s">
        <v>1405</v>
      </c>
    </row>
    <row r="10" spans="1:32" x14ac:dyDescent="0.2">
      <c r="A10" s="3" t="s">
        <v>1362</v>
      </c>
      <c r="B10" s="9" t="s">
        <v>1443</v>
      </c>
      <c r="C10" s="6">
        <v>9</v>
      </c>
      <c r="D10" s="9">
        <v>5</v>
      </c>
      <c r="E10" s="9" t="s">
        <v>1457</v>
      </c>
      <c r="F10" s="10" t="s">
        <v>1445</v>
      </c>
      <c r="G10" s="9" t="s">
        <v>1458</v>
      </c>
      <c r="H10" s="9" t="s">
        <v>108</v>
      </c>
      <c r="I10" s="9" t="s">
        <v>1411</v>
      </c>
      <c r="J10" s="9" t="s">
        <v>1401</v>
      </c>
      <c r="K10" s="8" t="s">
        <v>1467</v>
      </c>
      <c r="L10" s="11" t="s">
        <v>1394</v>
      </c>
      <c r="M10" s="11" t="s">
        <v>1464</v>
      </c>
      <c r="N10" s="11" t="s">
        <v>1450</v>
      </c>
      <c r="O10" s="11" t="s">
        <v>1405</v>
      </c>
      <c r="P10" s="11" t="s">
        <v>1395</v>
      </c>
      <c r="Q10" s="11" t="s">
        <v>1456</v>
      </c>
      <c r="R10" s="11">
        <v>2</v>
      </c>
      <c r="S10" s="11" t="s">
        <v>1453</v>
      </c>
      <c r="T10" s="11" t="s">
        <v>1454</v>
      </c>
      <c r="U10" s="11" t="s">
        <v>1406</v>
      </c>
      <c r="V10" s="11">
        <v>16</v>
      </c>
      <c r="W10" s="11" t="b">
        <v>1</v>
      </c>
      <c r="X10" s="11">
        <v>240808</v>
      </c>
      <c r="Y10" s="11" t="s">
        <v>1405</v>
      </c>
      <c r="Z10" s="11">
        <v>0</v>
      </c>
      <c r="AA10" s="11">
        <v>0</v>
      </c>
      <c r="AB10" s="11" t="s">
        <v>1405</v>
      </c>
      <c r="AC10" s="11" t="s">
        <v>1405</v>
      </c>
      <c r="AD10" s="11">
        <v>0</v>
      </c>
      <c r="AE10" s="11" t="s">
        <v>1405</v>
      </c>
      <c r="AF10" s="11" t="s">
        <v>1405</v>
      </c>
    </row>
    <row r="11" spans="1:32" x14ac:dyDescent="0.2">
      <c r="A11" s="3" t="s">
        <v>1926</v>
      </c>
      <c r="B11" s="6" t="s">
        <v>1443</v>
      </c>
      <c r="C11" s="6">
        <v>10</v>
      </c>
      <c r="D11" s="7">
        <v>6</v>
      </c>
      <c r="E11" s="6" t="s">
        <v>1444</v>
      </c>
      <c r="F11" s="6" t="s">
        <v>1445</v>
      </c>
      <c r="G11" s="6" t="s">
        <v>1446</v>
      </c>
      <c r="H11" s="6" t="s">
        <v>38</v>
      </c>
      <c r="I11" s="6" t="s">
        <v>1415</v>
      </c>
      <c r="J11" s="6" t="s">
        <v>1401</v>
      </c>
      <c r="K11" s="8" t="s">
        <v>1468</v>
      </c>
      <c r="L11" s="6" t="s">
        <v>1394</v>
      </c>
      <c r="M11" s="6" t="s">
        <v>1464</v>
      </c>
      <c r="N11" s="6" t="s">
        <v>1450</v>
      </c>
      <c r="O11" s="6" t="s">
        <v>1405</v>
      </c>
      <c r="P11" s="6" t="s">
        <v>1395</v>
      </c>
      <c r="Q11" s="6" t="s">
        <v>1461</v>
      </c>
      <c r="R11" s="6">
        <v>3</v>
      </c>
      <c r="S11" s="6" t="s">
        <v>1453</v>
      </c>
      <c r="T11" s="6" t="s">
        <v>1454</v>
      </c>
      <c r="U11" s="6" t="s">
        <v>1406</v>
      </c>
      <c r="V11" s="6">
        <v>16</v>
      </c>
      <c r="W11" s="6" t="b">
        <v>1</v>
      </c>
      <c r="X11" s="6">
        <v>240808</v>
      </c>
      <c r="Y11" s="6" t="s">
        <v>1405</v>
      </c>
      <c r="Z11" s="6">
        <v>0</v>
      </c>
      <c r="AA11" s="6">
        <v>0</v>
      </c>
      <c r="AB11" s="6" t="s">
        <v>1405</v>
      </c>
      <c r="AC11" s="6" t="s">
        <v>1405</v>
      </c>
      <c r="AD11" s="6">
        <v>0</v>
      </c>
      <c r="AE11" s="6" t="s">
        <v>1405</v>
      </c>
      <c r="AF11" s="6" t="s">
        <v>1405</v>
      </c>
    </row>
    <row r="12" spans="1:32" x14ac:dyDescent="0.2">
      <c r="A12" s="3" t="s">
        <v>1363</v>
      </c>
      <c r="B12" s="9" t="s">
        <v>1443</v>
      </c>
      <c r="C12" s="6">
        <v>11</v>
      </c>
      <c r="D12" s="9">
        <v>6</v>
      </c>
      <c r="E12" s="9" t="s">
        <v>1457</v>
      </c>
      <c r="F12" s="10" t="s">
        <v>1445</v>
      </c>
      <c r="G12" s="9" t="s">
        <v>1458</v>
      </c>
      <c r="H12" s="9" t="s">
        <v>109</v>
      </c>
      <c r="I12" s="9" t="s">
        <v>1411</v>
      </c>
      <c r="J12" s="9" t="s">
        <v>1401</v>
      </c>
      <c r="K12" s="8" t="s">
        <v>1469</v>
      </c>
      <c r="L12" s="11" t="s">
        <v>1394</v>
      </c>
      <c r="M12" s="11" t="s">
        <v>1464</v>
      </c>
      <c r="N12" s="11" t="s">
        <v>1450</v>
      </c>
      <c r="O12" s="11" t="s">
        <v>1405</v>
      </c>
      <c r="P12" s="11" t="s">
        <v>1395</v>
      </c>
      <c r="Q12" s="11" t="s">
        <v>1461</v>
      </c>
      <c r="R12" s="11">
        <v>3</v>
      </c>
      <c r="S12" s="11" t="s">
        <v>1453</v>
      </c>
      <c r="T12" s="11" t="s">
        <v>1454</v>
      </c>
      <c r="U12" s="11" t="s">
        <v>1406</v>
      </c>
      <c r="V12" s="11">
        <v>16</v>
      </c>
      <c r="W12" s="11" t="b">
        <v>1</v>
      </c>
      <c r="X12" s="11">
        <v>240808</v>
      </c>
      <c r="Y12" s="11" t="s">
        <v>1405</v>
      </c>
      <c r="Z12" s="11">
        <v>0</v>
      </c>
      <c r="AA12" s="11">
        <v>0</v>
      </c>
      <c r="AB12" s="11" t="s">
        <v>1405</v>
      </c>
      <c r="AC12" s="11" t="s">
        <v>1405</v>
      </c>
      <c r="AD12" s="11">
        <v>0</v>
      </c>
      <c r="AE12" s="11" t="s">
        <v>1405</v>
      </c>
      <c r="AF12" s="11" t="s">
        <v>1405</v>
      </c>
    </row>
    <row r="13" spans="1:32" x14ac:dyDescent="0.2">
      <c r="A13" s="3" t="s">
        <v>1927</v>
      </c>
      <c r="B13" s="6" t="s">
        <v>1443</v>
      </c>
      <c r="C13" s="6">
        <v>12</v>
      </c>
      <c r="D13" s="7">
        <v>7</v>
      </c>
      <c r="E13" s="6" t="s">
        <v>1444</v>
      </c>
      <c r="F13" s="6" t="s">
        <v>1445</v>
      </c>
      <c r="G13" s="6" t="s">
        <v>1446</v>
      </c>
      <c r="H13" s="6" t="s">
        <v>40</v>
      </c>
      <c r="I13" s="6" t="s">
        <v>1415</v>
      </c>
      <c r="J13" s="6" t="s">
        <v>1401</v>
      </c>
      <c r="K13" s="8" t="s">
        <v>1470</v>
      </c>
      <c r="L13" s="6" t="s">
        <v>1394</v>
      </c>
      <c r="M13" s="6" t="s">
        <v>1464</v>
      </c>
      <c r="N13" s="6" t="s">
        <v>1450</v>
      </c>
      <c r="O13" s="6" t="s">
        <v>1405</v>
      </c>
      <c r="P13" s="6" t="s">
        <v>1395</v>
      </c>
      <c r="Q13" s="6" t="s">
        <v>1471</v>
      </c>
      <c r="R13" s="6">
        <v>4</v>
      </c>
      <c r="S13" s="6" t="s">
        <v>1453</v>
      </c>
      <c r="T13" s="6" t="s">
        <v>1454</v>
      </c>
      <c r="U13" s="6" t="s">
        <v>1406</v>
      </c>
      <c r="V13" s="6">
        <v>16</v>
      </c>
      <c r="W13" s="6" t="b">
        <v>1</v>
      </c>
      <c r="X13" s="6">
        <v>240808</v>
      </c>
      <c r="Y13" s="6" t="s">
        <v>1405</v>
      </c>
      <c r="Z13" s="6">
        <v>0</v>
      </c>
      <c r="AA13" s="6">
        <v>0</v>
      </c>
      <c r="AB13" s="6" t="s">
        <v>1405</v>
      </c>
      <c r="AC13" s="6" t="s">
        <v>1405</v>
      </c>
      <c r="AD13" s="6">
        <v>0</v>
      </c>
      <c r="AE13" s="6" t="s">
        <v>1405</v>
      </c>
      <c r="AF13" s="6" t="s">
        <v>1405</v>
      </c>
    </row>
    <row r="14" spans="1:32" x14ac:dyDescent="0.2">
      <c r="A14" s="3" t="s">
        <v>1364</v>
      </c>
      <c r="B14" s="9" t="s">
        <v>1443</v>
      </c>
      <c r="C14" s="6">
        <v>13</v>
      </c>
      <c r="D14" s="9">
        <v>7</v>
      </c>
      <c r="E14" s="9" t="s">
        <v>1457</v>
      </c>
      <c r="F14" s="10" t="s">
        <v>1445</v>
      </c>
      <c r="G14" s="9" t="s">
        <v>1458</v>
      </c>
      <c r="H14" s="9" t="s">
        <v>110</v>
      </c>
      <c r="I14" s="9" t="s">
        <v>1411</v>
      </c>
      <c r="J14" s="9" t="s">
        <v>1401</v>
      </c>
      <c r="K14" s="8" t="s">
        <v>1472</v>
      </c>
      <c r="L14" s="11" t="s">
        <v>1394</v>
      </c>
      <c r="M14" s="11" t="s">
        <v>1464</v>
      </c>
      <c r="N14" s="11" t="s">
        <v>1450</v>
      </c>
      <c r="O14" s="11" t="s">
        <v>1405</v>
      </c>
      <c r="P14" s="11" t="s">
        <v>1395</v>
      </c>
      <c r="Q14" s="11" t="s">
        <v>1471</v>
      </c>
      <c r="R14" s="11">
        <v>4</v>
      </c>
      <c r="S14" s="11" t="s">
        <v>1453</v>
      </c>
      <c r="T14" s="11" t="s">
        <v>1454</v>
      </c>
      <c r="U14" s="11" t="s">
        <v>1406</v>
      </c>
      <c r="V14" s="11">
        <v>16</v>
      </c>
      <c r="W14" s="11" t="b">
        <v>1</v>
      </c>
      <c r="X14" s="11">
        <v>240808</v>
      </c>
      <c r="Y14" s="11" t="s">
        <v>1405</v>
      </c>
      <c r="Z14" s="11">
        <v>0</v>
      </c>
      <c r="AA14" s="11">
        <v>0</v>
      </c>
      <c r="AB14" s="11" t="s">
        <v>1405</v>
      </c>
      <c r="AC14" s="11" t="s">
        <v>1405</v>
      </c>
      <c r="AD14" s="11">
        <v>0</v>
      </c>
      <c r="AE14" s="11" t="s">
        <v>1405</v>
      </c>
      <c r="AF14" s="11" t="s">
        <v>1405</v>
      </c>
    </row>
    <row r="15" spans="1:32" x14ac:dyDescent="0.2">
      <c r="A15" s="3" t="s">
        <v>1928</v>
      </c>
      <c r="B15" s="6" t="s">
        <v>1443</v>
      </c>
      <c r="C15" s="6">
        <v>14</v>
      </c>
      <c r="D15" s="7">
        <v>8</v>
      </c>
      <c r="E15" s="6" t="s">
        <v>1444</v>
      </c>
      <c r="F15" s="6" t="s">
        <v>1445</v>
      </c>
      <c r="G15" s="6" t="s">
        <v>1446</v>
      </c>
      <c r="H15" s="6" t="s">
        <v>42</v>
      </c>
      <c r="I15" s="6" t="s">
        <v>1415</v>
      </c>
      <c r="J15" s="6" t="s">
        <v>1401</v>
      </c>
      <c r="K15" s="8" t="s">
        <v>1473</v>
      </c>
      <c r="L15" s="6" t="s">
        <v>1474</v>
      </c>
      <c r="M15" s="6" t="s">
        <v>1475</v>
      </c>
      <c r="N15" s="6" t="s">
        <v>1450</v>
      </c>
      <c r="O15" s="6" t="s">
        <v>1405</v>
      </c>
      <c r="P15" s="6" t="s">
        <v>1395</v>
      </c>
      <c r="Q15" s="6" t="s">
        <v>1452</v>
      </c>
      <c r="R15" s="6">
        <v>1</v>
      </c>
      <c r="S15" s="6" t="s">
        <v>1453</v>
      </c>
      <c r="T15" s="6" t="s">
        <v>1454</v>
      </c>
      <c r="U15" s="6" t="s">
        <v>1406</v>
      </c>
      <c r="V15" s="6">
        <v>16</v>
      </c>
      <c r="W15" s="6" t="b">
        <v>1</v>
      </c>
      <c r="X15" s="6">
        <v>240808</v>
      </c>
      <c r="Y15" s="6" t="s">
        <v>1405</v>
      </c>
      <c r="Z15" s="6">
        <v>0</v>
      </c>
      <c r="AA15" s="6">
        <v>0</v>
      </c>
      <c r="AB15" s="6" t="s">
        <v>1405</v>
      </c>
      <c r="AC15" s="6" t="s">
        <v>1405</v>
      </c>
      <c r="AD15" s="6">
        <v>0</v>
      </c>
      <c r="AE15" s="6" t="s">
        <v>1405</v>
      </c>
      <c r="AF15" s="6" t="s">
        <v>1405</v>
      </c>
    </row>
    <row r="16" spans="1:32" x14ac:dyDescent="0.2">
      <c r="A16" s="3" t="s">
        <v>1365</v>
      </c>
      <c r="B16" s="9" t="s">
        <v>1443</v>
      </c>
      <c r="C16" s="6">
        <v>15</v>
      </c>
      <c r="D16" s="9">
        <v>8</v>
      </c>
      <c r="E16" s="9" t="s">
        <v>1457</v>
      </c>
      <c r="F16" s="10" t="s">
        <v>1445</v>
      </c>
      <c r="G16" s="9" t="s">
        <v>1458</v>
      </c>
      <c r="H16" s="9" t="s">
        <v>111</v>
      </c>
      <c r="I16" s="9" t="s">
        <v>1411</v>
      </c>
      <c r="J16" s="9" t="s">
        <v>1401</v>
      </c>
      <c r="K16" s="8" t="s">
        <v>1476</v>
      </c>
      <c r="L16" s="11" t="s">
        <v>1474</v>
      </c>
      <c r="M16" s="11" t="s">
        <v>1475</v>
      </c>
      <c r="N16" s="11" t="s">
        <v>1450</v>
      </c>
      <c r="O16" s="11" t="s">
        <v>1405</v>
      </c>
      <c r="P16" s="11" t="s">
        <v>1395</v>
      </c>
      <c r="Q16" s="11" t="s">
        <v>1452</v>
      </c>
      <c r="R16" s="11">
        <v>1</v>
      </c>
      <c r="S16" s="11" t="s">
        <v>1453</v>
      </c>
      <c r="T16" s="11" t="s">
        <v>1454</v>
      </c>
      <c r="U16" s="11" t="s">
        <v>1406</v>
      </c>
      <c r="V16" s="11">
        <v>16</v>
      </c>
      <c r="W16" s="11" t="b">
        <v>1</v>
      </c>
      <c r="X16" s="11">
        <v>240808</v>
      </c>
      <c r="Y16" s="11" t="s">
        <v>1405</v>
      </c>
      <c r="Z16" s="11">
        <v>0</v>
      </c>
      <c r="AA16" s="11">
        <v>0</v>
      </c>
      <c r="AB16" s="11" t="s">
        <v>1405</v>
      </c>
      <c r="AC16" s="11" t="s">
        <v>1405</v>
      </c>
      <c r="AD16" s="11">
        <v>0</v>
      </c>
      <c r="AE16" s="11" t="s">
        <v>1405</v>
      </c>
      <c r="AF16" s="11" t="s">
        <v>1405</v>
      </c>
    </row>
    <row r="17" spans="1:32" x14ac:dyDescent="0.2">
      <c r="A17" s="3" t="s">
        <v>1929</v>
      </c>
      <c r="B17" s="6" t="s">
        <v>1443</v>
      </c>
      <c r="C17" s="6">
        <v>16</v>
      </c>
      <c r="D17" s="7">
        <v>9</v>
      </c>
      <c r="E17" s="6" t="s">
        <v>1444</v>
      </c>
      <c r="F17" s="6" t="s">
        <v>1445</v>
      </c>
      <c r="G17" s="6" t="s">
        <v>1446</v>
      </c>
      <c r="H17" s="6" t="s">
        <v>44</v>
      </c>
      <c r="I17" s="6" t="s">
        <v>1415</v>
      </c>
      <c r="J17" s="6" t="s">
        <v>1401</v>
      </c>
      <c r="K17" s="8" t="s">
        <v>1477</v>
      </c>
      <c r="L17" s="6" t="s">
        <v>1474</v>
      </c>
      <c r="M17" s="6" t="s">
        <v>1475</v>
      </c>
      <c r="N17" s="6" t="s">
        <v>1450</v>
      </c>
      <c r="O17" s="6" t="s">
        <v>1405</v>
      </c>
      <c r="P17" s="6" t="s">
        <v>1395</v>
      </c>
      <c r="Q17" s="6" t="s">
        <v>1456</v>
      </c>
      <c r="R17" s="6">
        <v>2</v>
      </c>
      <c r="S17" s="6" t="s">
        <v>1453</v>
      </c>
      <c r="T17" s="6" t="s">
        <v>1454</v>
      </c>
      <c r="U17" s="6" t="s">
        <v>1406</v>
      </c>
      <c r="V17" s="6">
        <v>16</v>
      </c>
      <c r="W17" s="6" t="b">
        <v>1</v>
      </c>
      <c r="X17" s="6">
        <v>240808</v>
      </c>
      <c r="Y17" s="6" t="s">
        <v>1405</v>
      </c>
      <c r="Z17" s="6">
        <v>0</v>
      </c>
      <c r="AA17" s="6">
        <v>0</v>
      </c>
      <c r="AB17" s="6" t="s">
        <v>1405</v>
      </c>
      <c r="AC17" s="6" t="s">
        <v>1405</v>
      </c>
      <c r="AD17" s="6">
        <v>0</v>
      </c>
      <c r="AE17" s="6" t="s">
        <v>1405</v>
      </c>
      <c r="AF17" s="6" t="s">
        <v>1405</v>
      </c>
    </row>
    <row r="18" spans="1:32" x14ac:dyDescent="0.2">
      <c r="A18" s="3" t="s">
        <v>1366</v>
      </c>
      <c r="B18" s="9" t="s">
        <v>1443</v>
      </c>
      <c r="C18" s="6">
        <v>17</v>
      </c>
      <c r="D18" s="9">
        <v>9</v>
      </c>
      <c r="E18" s="9" t="s">
        <v>1457</v>
      </c>
      <c r="F18" s="10" t="s">
        <v>1445</v>
      </c>
      <c r="G18" s="9" t="s">
        <v>1458</v>
      </c>
      <c r="H18" s="9" t="s">
        <v>112</v>
      </c>
      <c r="I18" s="9" t="s">
        <v>1411</v>
      </c>
      <c r="J18" s="9" t="s">
        <v>1401</v>
      </c>
      <c r="K18" s="8" t="s">
        <v>1478</v>
      </c>
      <c r="L18" s="11" t="s">
        <v>1474</v>
      </c>
      <c r="M18" s="11" t="s">
        <v>1475</v>
      </c>
      <c r="N18" s="11" t="s">
        <v>1450</v>
      </c>
      <c r="O18" s="11" t="s">
        <v>1405</v>
      </c>
      <c r="P18" s="11" t="s">
        <v>1395</v>
      </c>
      <c r="Q18" s="11" t="s">
        <v>1456</v>
      </c>
      <c r="R18" s="11">
        <v>2</v>
      </c>
      <c r="S18" s="11" t="s">
        <v>1453</v>
      </c>
      <c r="T18" s="11" t="s">
        <v>1454</v>
      </c>
      <c r="U18" s="11" t="s">
        <v>1406</v>
      </c>
      <c r="V18" s="11">
        <v>16</v>
      </c>
      <c r="W18" s="11" t="b">
        <v>1</v>
      </c>
      <c r="X18" s="11">
        <v>240808</v>
      </c>
      <c r="Y18" s="11" t="s">
        <v>1405</v>
      </c>
      <c r="Z18" s="11">
        <v>0</v>
      </c>
      <c r="AA18" s="11">
        <v>0</v>
      </c>
      <c r="AB18" s="11" t="s">
        <v>1405</v>
      </c>
      <c r="AC18" s="11" t="s">
        <v>1405</v>
      </c>
      <c r="AD18" s="11">
        <v>0</v>
      </c>
      <c r="AE18" s="11" t="s">
        <v>1405</v>
      </c>
      <c r="AF18" s="11" t="s">
        <v>1405</v>
      </c>
    </row>
    <row r="19" spans="1:32" x14ac:dyDescent="0.2">
      <c r="A19" s="3" t="s">
        <v>1930</v>
      </c>
      <c r="B19" s="6" t="s">
        <v>1443</v>
      </c>
      <c r="C19" s="6">
        <v>18</v>
      </c>
      <c r="D19" s="7">
        <v>10</v>
      </c>
      <c r="E19" s="6" t="s">
        <v>1444</v>
      </c>
      <c r="F19" s="6" t="s">
        <v>1445</v>
      </c>
      <c r="G19" s="6" t="s">
        <v>1446</v>
      </c>
      <c r="H19" s="6" t="s">
        <v>46</v>
      </c>
      <c r="I19" s="6" t="s">
        <v>1415</v>
      </c>
      <c r="J19" s="6" t="s">
        <v>1401</v>
      </c>
      <c r="K19" s="8" t="s">
        <v>1479</v>
      </c>
      <c r="L19" s="6" t="s">
        <v>1474</v>
      </c>
      <c r="M19" s="6" t="s">
        <v>1475</v>
      </c>
      <c r="N19" s="6" t="s">
        <v>1450</v>
      </c>
      <c r="O19" s="6" t="s">
        <v>1405</v>
      </c>
      <c r="P19" s="6" t="s">
        <v>1395</v>
      </c>
      <c r="Q19" s="6" t="s">
        <v>1461</v>
      </c>
      <c r="R19" s="6">
        <v>3</v>
      </c>
      <c r="S19" s="6" t="s">
        <v>1453</v>
      </c>
      <c r="T19" s="6" t="s">
        <v>1454</v>
      </c>
      <c r="U19" s="6" t="s">
        <v>1406</v>
      </c>
      <c r="V19" s="6">
        <v>16</v>
      </c>
      <c r="W19" s="6" t="b">
        <v>1</v>
      </c>
      <c r="X19" s="6">
        <v>240808</v>
      </c>
      <c r="Y19" s="6" t="s">
        <v>1405</v>
      </c>
      <c r="Z19" s="6">
        <v>0</v>
      </c>
      <c r="AA19" s="6">
        <v>0</v>
      </c>
      <c r="AB19" s="6" t="s">
        <v>1405</v>
      </c>
      <c r="AC19" s="6" t="s">
        <v>1405</v>
      </c>
      <c r="AD19" s="6">
        <v>0</v>
      </c>
      <c r="AE19" s="6" t="s">
        <v>1405</v>
      </c>
      <c r="AF19" s="6" t="s">
        <v>1405</v>
      </c>
    </row>
    <row r="20" spans="1:32" x14ac:dyDescent="0.2">
      <c r="A20" s="3" t="s">
        <v>1367</v>
      </c>
      <c r="B20" s="9" t="s">
        <v>1443</v>
      </c>
      <c r="C20" s="6">
        <v>19</v>
      </c>
      <c r="D20" s="9">
        <v>10</v>
      </c>
      <c r="E20" s="9" t="s">
        <v>1457</v>
      </c>
      <c r="F20" s="10" t="s">
        <v>1445</v>
      </c>
      <c r="G20" s="9" t="s">
        <v>1458</v>
      </c>
      <c r="H20" s="9" t="s">
        <v>113</v>
      </c>
      <c r="I20" s="9" t="s">
        <v>1411</v>
      </c>
      <c r="J20" s="9" t="s">
        <v>1401</v>
      </c>
      <c r="K20" s="8" t="s">
        <v>1480</v>
      </c>
      <c r="L20" s="11" t="s">
        <v>1474</v>
      </c>
      <c r="M20" s="11" t="s">
        <v>1475</v>
      </c>
      <c r="N20" s="11" t="s">
        <v>1450</v>
      </c>
      <c r="O20" s="11" t="s">
        <v>1405</v>
      </c>
      <c r="P20" s="11" t="s">
        <v>1395</v>
      </c>
      <c r="Q20" s="11" t="s">
        <v>1461</v>
      </c>
      <c r="R20" s="11">
        <v>3</v>
      </c>
      <c r="S20" s="11" t="s">
        <v>1453</v>
      </c>
      <c r="T20" s="11" t="s">
        <v>1454</v>
      </c>
      <c r="U20" s="11" t="s">
        <v>1406</v>
      </c>
      <c r="V20" s="11">
        <v>16</v>
      </c>
      <c r="W20" s="11" t="b">
        <v>1</v>
      </c>
      <c r="X20" s="11">
        <v>240808</v>
      </c>
      <c r="Y20" s="11" t="s">
        <v>1405</v>
      </c>
      <c r="Z20" s="11">
        <v>0</v>
      </c>
      <c r="AA20" s="11">
        <v>0</v>
      </c>
      <c r="AB20" s="11" t="s">
        <v>1405</v>
      </c>
      <c r="AC20" s="11" t="s">
        <v>1405</v>
      </c>
      <c r="AD20" s="11">
        <v>0</v>
      </c>
      <c r="AE20" s="11" t="s">
        <v>1405</v>
      </c>
      <c r="AF20" s="11" t="s">
        <v>1405</v>
      </c>
    </row>
    <row r="21" spans="1:32" x14ac:dyDescent="0.2">
      <c r="A21" s="3" t="s">
        <v>1931</v>
      </c>
      <c r="B21" s="6" t="s">
        <v>1443</v>
      </c>
      <c r="C21" s="6">
        <v>20</v>
      </c>
      <c r="D21" s="7">
        <v>11</v>
      </c>
      <c r="E21" s="6" t="s">
        <v>1444</v>
      </c>
      <c r="F21" s="6" t="s">
        <v>1445</v>
      </c>
      <c r="G21" s="6" t="s">
        <v>1446</v>
      </c>
      <c r="H21" s="6" t="s">
        <v>48</v>
      </c>
      <c r="I21" s="6" t="s">
        <v>1415</v>
      </c>
      <c r="J21" s="6" t="s">
        <v>1401</v>
      </c>
      <c r="K21" s="8" t="s">
        <v>1481</v>
      </c>
      <c r="L21" s="6" t="s">
        <v>1474</v>
      </c>
      <c r="M21" s="6" t="s">
        <v>1475</v>
      </c>
      <c r="N21" s="6" t="s">
        <v>1450</v>
      </c>
      <c r="O21" s="6" t="s">
        <v>1405</v>
      </c>
      <c r="P21" s="6" t="s">
        <v>1395</v>
      </c>
      <c r="Q21" s="6" t="s">
        <v>1471</v>
      </c>
      <c r="R21" s="6">
        <v>4</v>
      </c>
      <c r="S21" s="6" t="s">
        <v>1453</v>
      </c>
      <c r="T21" s="6" t="s">
        <v>1454</v>
      </c>
      <c r="U21" s="6" t="s">
        <v>1406</v>
      </c>
      <c r="V21" s="6">
        <v>16</v>
      </c>
      <c r="W21" s="6" t="b">
        <v>1</v>
      </c>
      <c r="X21" s="6">
        <v>240808</v>
      </c>
      <c r="Y21" s="6" t="s">
        <v>1405</v>
      </c>
      <c r="Z21" s="6">
        <v>0</v>
      </c>
      <c r="AA21" s="6">
        <v>0</v>
      </c>
      <c r="AB21" s="6" t="s">
        <v>1405</v>
      </c>
      <c r="AC21" s="6" t="s">
        <v>1405</v>
      </c>
      <c r="AD21" s="6">
        <v>0</v>
      </c>
      <c r="AE21" s="6" t="s">
        <v>1405</v>
      </c>
      <c r="AF21" s="6" t="s">
        <v>1405</v>
      </c>
    </row>
    <row r="22" spans="1:32" x14ac:dyDescent="0.2">
      <c r="A22" s="3" t="s">
        <v>1368</v>
      </c>
      <c r="B22" s="9" t="s">
        <v>1443</v>
      </c>
      <c r="C22" s="6">
        <v>21</v>
      </c>
      <c r="D22" s="9">
        <v>11</v>
      </c>
      <c r="E22" s="9" t="s">
        <v>1457</v>
      </c>
      <c r="F22" s="10" t="s">
        <v>1445</v>
      </c>
      <c r="G22" s="9" t="s">
        <v>1458</v>
      </c>
      <c r="H22" s="9" t="s">
        <v>114</v>
      </c>
      <c r="I22" s="9" t="s">
        <v>1411</v>
      </c>
      <c r="J22" s="9" t="s">
        <v>1401</v>
      </c>
      <c r="K22" s="8" t="s">
        <v>1482</v>
      </c>
      <c r="L22" s="11" t="s">
        <v>1474</v>
      </c>
      <c r="M22" s="11" t="s">
        <v>1475</v>
      </c>
      <c r="N22" s="11" t="s">
        <v>1450</v>
      </c>
      <c r="O22" s="11" t="s">
        <v>1405</v>
      </c>
      <c r="P22" s="11" t="s">
        <v>1395</v>
      </c>
      <c r="Q22" s="11" t="s">
        <v>1471</v>
      </c>
      <c r="R22" s="11">
        <v>4</v>
      </c>
      <c r="S22" s="11" t="s">
        <v>1453</v>
      </c>
      <c r="T22" s="11" t="s">
        <v>1454</v>
      </c>
      <c r="U22" s="11" t="s">
        <v>1406</v>
      </c>
      <c r="V22" s="11">
        <v>16</v>
      </c>
      <c r="W22" s="11" t="b">
        <v>1</v>
      </c>
      <c r="X22" s="11">
        <v>240808</v>
      </c>
      <c r="Y22" s="11" t="s">
        <v>1405</v>
      </c>
      <c r="Z22" s="11">
        <v>0</v>
      </c>
      <c r="AA22" s="11">
        <v>0</v>
      </c>
      <c r="AB22" s="11" t="s">
        <v>1405</v>
      </c>
      <c r="AC22" s="11" t="s">
        <v>1405</v>
      </c>
      <c r="AD22" s="11">
        <v>0</v>
      </c>
      <c r="AE22" s="11" t="s">
        <v>1405</v>
      </c>
      <c r="AF22" s="11" t="s">
        <v>1405</v>
      </c>
    </row>
    <row r="23" spans="1:32" x14ac:dyDescent="0.2">
      <c r="A23" s="3" t="s">
        <v>1932</v>
      </c>
      <c r="B23" s="6" t="s">
        <v>1443</v>
      </c>
      <c r="C23" s="6">
        <v>22</v>
      </c>
      <c r="D23" s="7">
        <v>12</v>
      </c>
      <c r="E23" s="6" t="s">
        <v>1444</v>
      </c>
      <c r="F23" s="6" t="s">
        <v>1445</v>
      </c>
      <c r="G23" s="6" t="s">
        <v>1446</v>
      </c>
      <c r="H23" s="6" t="s">
        <v>50</v>
      </c>
      <c r="I23" s="6" t="s">
        <v>1415</v>
      </c>
      <c r="J23" s="6" t="s">
        <v>1402</v>
      </c>
      <c r="K23" s="8" t="s">
        <v>1447</v>
      </c>
      <c r="L23" s="6" t="s">
        <v>1448</v>
      </c>
      <c r="M23" s="6" t="s">
        <v>1449</v>
      </c>
      <c r="N23" s="6" t="s">
        <v>1450</v>
      </c>
      <c r="O23" s="6" t="s">
        <v>1405</v>
      </c>
      <c r="P23" s="6" t="s">
        <v>1451</v>
      </c>
      <c r="Q23" s="6" t="s">
        <v>1452</v>
      </c>
      <c r="R23" s="6">
        <v>1</v>
      </c>
      <c r="S23" s="6" t="s">
        <v>1453</v>
      </c>
      <c r="T23" s="6" t="s">
        <v>1454</v>
      </c>
      <c r="U23" s="6" t="s">
        <v>1406</v>
      </c>
      <c r="V23" s="6">
        <v>16</v>
      </c>
      <c r="W23" s="6" t="b">
        <v>1</v>
      </c>
      <c r="X23" s="6">
        <v>240808</v>
      </c>
      <c r="Y23" s="6" t="s">
        <v>1405</v>
      </c>
      <c r="Z23" s="6">
        <v>0</v>
      </c>
      <c r="AA23" s="6">
        <v>0</v>
      </c>
      <c r="AB23" s="6" t="s">
        <v>1405</v>
      </c>
      <c r="AC23" s="6" t="s">
        <v>1405</v>
      </c>
      <c r="AD23" s="6">
        <v>0</v>
      </c>
      <c r="AE23" s="6" t="s">
        <v>1405</v>
      </c>
      <c r="AF23" s="6" t="s">
        <v>1405</v>
      </c>
    </row>
    <row r="24" spans="1:32" x14ac:dyDescent="0.2">
      <c r="A24" s="3" t="s">
        <v>1369</v>
      </c>
      <c r="B24" s="9" t="s">
        <v>1443</v>
      </c>
      <c r="C24" s="6">
        <v>23</v>
      </c>
      <c r="D24" s="9">
        <v>12</v>
      </c>
      <c r="E24" s="9" t="s">
        <v>1457</v>
      </c>
      <c r="F24" s="10" t="s">
        <v>1445</v>
      </c>
      <c r="G24" s="9" t="s">
        <v>1458</v>
      </c>
      <c r="H24" s="9" t="s">
        <v>115</v>
      </c>
      <c r="I24" s="9" t="s">
        <v>1411</v>
      </c>
      <c r="J24" s="9" t="s">
        <v>1402</v>
      </c>
      <c r="K24" s="8" t="s">
        <v>1483</v>
      </c>
      <c r="L24" s="11" t="s">
        <v>1448</v>
      </c>
      <c r="M24" s="11" t="s">
        <v>1449</v>
      </c>
      <c r="N24" s="11" t="s">
        <v>1450</v>
      </c>
      <c r="O24" s="11" t="s">
        <v>1405</v>
      </c>
      <c r="P24" s="11" t="s">
        <v>1451</v>
      </c>
      <c r="Q24" s="11" t="s">
        <v>1452</v>
      </c>
      <c r="R24" s="11">
        <v>1</v>
      </c>
      <c r="S24" s="11" t="s">
        <v>1453</v>
      </c>
      <c r="T24" s="11" t="s">
        <v>1454</v>
      </c>
      <c r="U24" s="11" t="s">
        <v>1406</v>
      </c>
      <c r="V24" s="11">
        <v>16</v>
      </c>
      <c r="W24" s="11" t="b">
        <v>1</v>
      </c>
      <c r="X24" s="11">
        <v>240808</v>
      </c>
      <c r="Y24" s="11" t="s">
        <v>1405</v>
      </c>
      <c r="Z24" s="11">
        <v>0</v>
      </c>
      <c r="AA24" s="11">
        <v>0</v>
      </c>
      <c r="AB24" s="11" t="s">
        <v>1405</v>
      </c>
      <c r="AC24" s="11" t="s">
        <v>1405</v>
      </c>
      <c r="AD24" s="11">
        <v>0</v>
      </c>
      <c r="AE24" s="11" t="s">
        <v>1405</v>
      </c>
      <c r="AF24" s="11" t="s">
        <v>1405</v>
      </c>
    </row>
    <row r="25" spans="1:32" x14ac:dyDescent="0.2">
      <c r="A25" s="3" t="s">
        <v>1933</v>
      </c>
      <c r="B25" s="6" t="s">
        <v>1443</v>
      </c>
      <c r="C25" s="6">
        <v>24</v>
      </c>
      <c r="D25" s="7">
        <v>13</v>
      </c>
      <c r="E25" s="6" t="s">
        <v>1444</v>
      </c>
      <c r="F25" s="6" t="s">
        <v>1445</v>
      </c>
      <c r="G25" s="6" t="s">
        <v>1446</v>
      </c>
      <c r="H25" s="6" t="s">
        <v>51</v>
      </c>
      <c r="I25" s="6" t="s">
        <v>1415</v>
      </c>
      <c r="J25" s="6" t="s">
        <v>1402</v>
      </c>
      <c r="K25" s="8" t="s">
        <v>1455</v>
      </c>
      <c r="L25" s="6" t="s">
        <v>1448</v>
      </c>
      <c r="M25" s="6" t="s">
        <v>1449</v>
      </c>
      <c r="N25" s="6" t="s">
        <v>1450</v>
      </c>
      <c r="O25" s="6" t="s">
        <v>1405</v>
      </c>
      <c r="P25" s="6" t="s">
        <v>1451</v>
      </c>
      <c r="Q25" s="6" t="s">
        <v>1456</v>
      </c>
      <c r="R25" s="6">
        <v>2</v>
      </c>
      <c r="S25" s="6" t="s">
        <v>1453</v>
      </c>
      <c r="T25" s="6" t="s">
        <v>1454</v>
      </c>
      <c r="U25" s="6" t="s">
        <v>1406</v>
      </c>
      <c r="V25" s="6">
        <v>16</v>
      </c>
      <c r="W25" s="6" t="b">
        <v>1</v>
      </c>
      <c r="X25" s="6">
        <v>240808</v>
      </c>
      <c r="Y25" s="6" t="s">
        <v>1405</v>
      </c>
      <c r="Z25" s="6">
        <v>0</v>
      </c>
      <c r="AA25" s="6">
        <v>0</v>
      </c>
      <c r="AB25" s="6" t="s">
        <v>1405</v>
      </c>
      <c r="AC25" s="6" t="s">
        <v>1405</v>
      </c>
      <c r="AD25" s="6">
        <v>0</v>
      </c>
      <c r="AE25" s="6" t="s">
        <v>1405</v>
      </c>
      <c r="AF25" s="6" t="s">
        <v>1405</v>
      </c>
    </row>
    <row r="26" spans="1:32" x14ac:dyDescent="0.2">
      <c r="A26" s="3" t="s">
        <v>1370</v>
      </c>
      <c r="B26" s="9" t="s">
        <v>1443</v>
      </c>
      <c r="C26" s="6">
        <v>25</v>
      </c>
      <c r="D26" s="9">
        <v>13</v>
      </c>
      <c r="E26" s="9" t="s">
        <v>1457</v>
      </c>
      <c r="F26" s="10" t="s">
        <v>1445</v>
      </c>
      <c r="G26" s="9" t="s">
        <v>1458</v>
      </c>
      <c r="H26" s="9" t="s">
        <v>116</v>
      </c>
      <c r="I26" s="9" t="s">
        <v>1411</v>
      </c>
      <c r="J26" s="9" t="s">
        <v>1402</v>
      </c>
      <c r="K26" s="8" t="s">
        <v>1459</v>
      </c>
      <c r="L26" s="11" t="s">
        <v>1448</v>
      </c>
      <c r="M26" s="11" t="s">
        <v>1449</v>
      </c>
      <c r="N26" s="11" t="s">
        <v>1450</v>
      </c>
      <c r="O26" s="11" t="s">
        <v>1405</v>
      </c>
      <c r="P26" s="11" t="s">
        <v>1451</v>
      </c>
      <c r="Q26" s="11" t="s">
        <v>1456</v>
      </c>
      <c r="R26" s="11">
        <v>2</v>
      </c>
      <c r="S26" s="11" t="s">
        <v>1453</v>
      </c>
      <c r="T26" s="11" t="s">
        <v>1454</v>
      </c>
      <c r="U26" s="11" t="s">
        <v>1406</v>
      </c>
      <c r="V26" s="11">
        <v>16</v>
      </c>
      <c r="W26" s="11" t="b">
        <v>1</v>
      </c>
      <c r="X26" s="11">
        <v>240808</v>
      </c>
      <c r="Y26" s="11" t="s">
        <v>1405</v>
      </c>
      <c r="Z26" s="11">
        <v>0</v>
      </c>
      <c r="AA26" s="11">
        <v>0</v>
      </c>
      <c r="AB26" s="11" t="s">
        <v>1405</v>
      </c>
      <c r="AC26" s="11" t="s">
        <v>1405</v>
      </c>
      <c r="AD26" s="11">
        <v>0</v>
      </c>
      <c r="AE26" s="11" t="s">
        <v>1405</v>
      </c>
      <c r="AF26" s="11" t="s">
        <v>1405</v>
      </c>
    </row>
    <row r="27" spans="1:32" x14ac:dyDescent="0.2">
      <c r="A27" s="3" t="s">
        <v>1934</v>
      </c>
      <c r="B27" s="6" t="s">
        <v>1443</v>
      </c>
      <c r="C27" s="6">
        <v>26</v>
      </c>
      <c r="D27" s="7">
        <v>14</v>
      </c>
      <c r="E27" s="6" t="s">
        <v>1444</v>
      </c>
      <c r="F27" s="6" t="s">
        <v>1445</v>
      </c>
      <c r="G27" s="6" t="s">
        <v>1446</v>
      </c>
      <c r="H27" s="6" t="s">
        <v>53</v>
      </c>
      <c r="I27" s="6" t="s">
        <v>1415</v>
      </c>
      <c r="J27" s="6" t="s">
        <v>1402</v>
      </c>
      <c r="K27" s="8" t="s">
        <v>1460</v>
      </c>
      <c r="L27" s="6" t="s">
        <v>1448</v>
      </c>
      <c r="M27" s="6" t="s">
        <v>1449</v>
      </c>
      <c r="N27" s="6" t="s">
        <v>1450</v>
      </c>
      <c r="O27" s="6" t="s">
        <v>1405</v>
      </c>
      <c r="P27" s="6" t="s">
        <v>1451</v>
      </c>
      <c r="Q27" s="6" t="s">
        <v>1461</v>
      </c>
      <c r="R27" s="6">
        <v>3</v>
      </c>
      <c r="S27" s="6" t="s">
        <v>1453</v>
      </c>
      <c r="T27" s="6" t="s">
        <v>1454</v>
      </c>
      <c r="U27" s="6" t="s">
        <v>1406</v>
      </c>
      <c r="V27" s="6">
        <v>16</v>
      </c>
      <c r="W27" s="6" t="b">
        <v>1</v>
      </c>
      <c r="X27" s="6">
        <v>240808</v>
      </c>
      <c r="Y27" s="6" t="s">
        <v>1405</v>
      </c>
      <c r="Z27" s="6">
        <v>0</v>
      </c>
      <c r="AA27" s="6">
        <v>0</v>
      </c>
      <c r="AB27" s="6" t="s">
        <v>1405</v>
      </c>
      <c r="AC27" s="6" t="s">
        <v>1405</v>
      </c>
      <c r="AD27" s="6">
        <v>0</v>
      </c>
      <c r="AE27" s="6" t="s">
        <v>1405</v>
      </c>
      <c r="AF27" s="6" t="s">
        <v>1405</v>
      </c>
    </row>
    <row r="28" spans="1:32" x14ac:dyDescent="0.2">
      <c r="A28" s="3" t="s">
        <v>1371</v>
      </c>
      <c r="B28" s="9" t="s">
        <v>1443</v>
      </c>
      <c r="C28" s="6">
        <v>27</v>
      </c>
      <c r="D28" s="9">
        <v>14</v>
      </c>
      <c r="E28" s="9" t="s">
        <v>1457</v>
      </c>
      <c r="F28" s="10" t="s">
        <v>1445</v>
      </c>
      <c r="G28" s="9" t="s">
        <v>1458</v>
      </c>
      <c r="H28" s="9" t="s">
        <v>118</v>
      </c>
      <c r="I28" s="9" t="s">
        <v>1411</v>
      </c>
      <c r="J28" s="9" t="s">
        <v>1402</v>
      </c>
      <c r="K28" s="8" t="s">
        <v>1462</v>
      </c>
      <c r="L28" s="11" t="s">
        <v>1448</v>
      </c>
      <c r="M28" s="11" t="s">
        <v>1449</v>
      </c>
      <c r="N28" s="11" t="s">
        <v>1450</v>
      </c>
      <c r="O28" s="11" t="s">
        <v>1405</v>
      </c>
      <c r="P28" s="11" t="s">
        <v>1451</v>
      </c>
      <c r="Q28" s="11" t="s">
        <v>1461</v>
      </c>
      <c r="R28" s="11">
        <v>3</v>
      </c>
      <c r="S28" s="11" t="s">
        <v>1453</v>
      </c>
      <c r="T28" s="11" t="s">
        <v>1454</v>
      </c>
      <c r="U28" s="11" t="s">
        <v>1406</v>
      </c>
      <c r="V28" s="11">
        <v>16</v>
      </c>
      <c r="W28" s="11" t="b">
        <v>1</v>
      </c>
      <c r="X28" s="11">
        <v>240808</v>
      </c>
      <c r="Y28" s="11" t="s">
        <v>1405</v>
      </c>
      <c r="Z28" s="11">
        <v>0</v>
      </c>
      <c r="AA28" s="11">
        <v>0</v>
      </c>
      <c r="AB28" s="11" t="s">
        <v>1405</v>
      </c>
      <c r="AC28" s="11" t="s">
        <v>1405</v>
      </c>
      <c r="AD28" s="11">
        <v>0</v>
      </c>
      <c r="AE28" s="11" t="s">
        <v>1405</v>
      </c>
      <c r="AF28" s="11" t="s">
        <v>1405</v>
      </c>
    </row>
    <row r="29" spans="1:32" x14ac:dyDescent="0.2">
      <c r="A29" s="3" t="s">
        <v>1935</v>
      </c>
      <c r="B29" s="6" t="s">
        <v>1443</v>
      </c>
      <c r="C29" s="6">
        <v>28</v>
      </c>
      <c r="D29" s="7">
        <v>15</v>
      </c>
      <c r="E29" s="6" t="s">
        <v>1444</v>
      </c>
      <c r="F29" s="6" t="s">
        <v>1445</v>
      </c>
      <c r="G29" s="6" t="s">
        <v>1446</v>
      </c>
      <c r="H29" s="6" t="s">
        <v>54</v>
      </c>
      <c r="I29" s="6" t="s">
        <v>1415</v>
      </c>
      <c r="J29" s="6" t="s">
        <v>1402</v>
      </c>
      <c r="K29" s="8" t="s">
        <v>1463</v>
      </c>
      <c r="L29" s="6" t="s">
        <v>1394</v>
      </c>
      <c r="M29" s="6" t="s">
        <v>1464</v>
      </c>
      <c r="N29" s="6" t="s">
        <v>1450</v>
      </c>
      <c r="O29" s="6" t="s">
        <v>1405</v>
      </c>
      <c r="P29" s="6" t="s">
        <v>1395</v>
      </c>
      <c r="Q29" s="6" t="s">
        <v>1452</v>
      </c>
      <c r="R29" s="6">
        <v>1</v>
      </c>
      <c r="S29" s="6" t="s">
        <v>1453</v>
      </c>
      <c r="T29" s="6" t="s">
        <v>1454</v>
      </c>
      <c r="U29" s="6" t="s">
        <v>1406</v>
      </c>
      <c r="V29" s="6">
        <v>16</v>
      </c>
      <c r="W29" s="6" t="b">
        <v>1</v>
      </c>
      <c r="X29" s="6">
        <v>240808</v>
      </c>
      <c r="Y29" s="6" t="s">
        <v>1405</v>
      </c>
      <c r="Z29" s="6">
        <v>0</v>
      </c>
      <c r="AA29" s="6">
        <v>0</v>
      </c>
      <c r="AB29" s="6" t="s">
        <v>1405</v>
      </c>
      <c r="AC29" s="6" t="s">
        <v>1405</v>
      </c>
      <c r="AD29" s="6">
        <v>0</v>
      </c>
      <c r="AE29" s="6" t="s">
        <v>1405</v>
      </c>
      <c r="AF29" s="6" t="s">
        <v>1405</v>
      </c>
    </row>
    <row r="30" spans="1:32" x14ac:dyDescent="0.2">
      <c r="A30" s="3" t="s">
        <v>1372</v>
      </c>
      <c r="B30" s="9" t="s">
        <v>1443</v>
      </c>
      <c r="C30" s="6">
        <v>29</v>
      </c>
      <c r="D30" s="9">
        <v>15</v>
      </c>
      <c r="E30" s="9" t="s">
        <v>1457</v>
      </c>
      <c r="F30" s="10" t="s">
        <v>1445</v>
      </c>
      <c r="G30" s="9" t="s">
        <v>1458</v>
      </c>
      <c r="H30" s="9" t="s">
        <v>119</v>
      </c>
      <c r="I30" s="9" t="s">
        <v>1411</v>
      </c>
      <c r="J30" s="9" t="s">
        <v>1402</v>
      </c>
      <c r="K30" s="8" t="s">
        <v>1465</v>
      </c>
      <c r="L30" s="11" t="s">
        <v>1394</v>
      </c>
      <c r="M30" s="11" t="s">
        <v>1464</v>
      </c>
      <c r="N30" s="11" t="s">
        <v>1450</v>
      </c>
      <c r="O30" s="11" t="s">
        <v>1405</v>
      </c>
      <c r="P30" s="11" t="s">
        <v>1395</v>
      </c>
      <c r="Q30" s="11" t="s">
        <v>1452</v>
      </c>
      <c r="R30" s="11">
        <v>1</v>
      </c>
      <c r="S30" s="11" t="s">
        <v>1453</v>
      </c>
      <c r="T30" s="11" t="s">
        <v>1454</v>
      </c>
      <c r="U30" s="11" t="s">
        <v>1406</v>
      </c>
      <c r="V30" s="11">
        <v>16</v>
      </c>
      <c r="W30" s="11" t="b">
        <v>1</v>
      </c>
      <c r="X30" s="11">
        <v>240808</v>
      </c>
      <c r="Y30" s="11" t="s">
        <v>1405</v>
      </c>
      <c r="Z30" s="11">
        <v>0</v>
      </c>
      <c r="AA30" s="11">
        <v>0</v>
      </c>
      <c r="AB30" s="11" t="s">
        <v>1405</v>
      </c>
      <c r="AC30" s="11" t="s">
        <v>1405</v>
      </c>
      <c r="AD30" s="11">
        <v>0</v>
      </c>
      <c r="AE30" s="11" t="s">
        <v>1405</v>
      </c>
      <c r="AF30" s="11" t="s">
        <v>1405</v>
      </c>
    </row>
    <row r="31" spans="1:32" x14ac:dyDescent="0.2">
      <c r="A31" s="3" t="s">
        <v>1936</v>
      </c>
      <c r="B31" s="6" t="s">
        <v>1443</v>
      </c>
      <c r="C31" s="6">
        <v>30</v>
      </c>
      <c r="D31" s="7">
        <v>16</v>
      </c>
      <c r="E31" s="6" t="s">
        <v>1444</v>
      </c>
      <c r="F31" s="6" t="s">
        <v>1445</v>
      </c>
      <c r="G31" s="6" t="s">
        <v>1446</v>
      </c>
      <c r="H31" s="6" t="s">
        <v>55</v>
      </c>
      <c r="I31" s="6" t="s">
        <v>1415</v>
      </c>
      <c r="J31" s="6" t="s">
        <v>1402</v>
      </c>
      <c r="K31" s="8" t="s">
        <v>1466</v>
      </c>
      <c r="L31" s="6" t="s">
        <v>1394</v>
      </c>
      <c r="M31" s="6" t="s">
        <v>1464</v>
      </c>
      <c r="N31" s="6" t="s">
        <v>1450</v>
      </c>
      <c r="O31" s="6" t="s">
        <v>1405</v>
      </c>
      <c r="P31" s="6" t="s">
        <v>1395</v>
      </c>
      <c r="Q31" s="6" t="s">
        <v>1456</v>
      </c>
      <c r="R31" s="6">
        <v>2</v>
      </c>
      <c r="S31" s="6" t="s">
        <v>1453</v>
      </c>
      <c r="T31" s="6" t="s">
        <v>1454</v>
      </c>
      <c r="U31" s="6" t="s">
        <v>1406</v>
      </c>
      <c r="V31" s="6">
        <v>16</v>
      </c>
      <c r="W31" s="6" t="b">
        <v>1</v>
      </c>
      <c r="X31" s="6">
        <v>240808</v>
      </c>
      <c r="Y31" s="6" t="s">
        <v>1405</v>
      </c>
      <c r="Z31" s="6">
        <v>0</v>
      </c>
      <c r="AA31" s="6">
        <v>0</v>
      </c>
      <c r="AB31" s="6" t="s">
        <v>1405</v>
      </c>
      <c r="AC31" s="6" t="s">
        <v>1405</v>
      </c>
      <c r="AD31" s="6">
        <v>0</v>
      </c>
      <c r="AE31" s="6" t="s">
        <v>1405</v>
      </c>
      <c r="AF31" s="6" t="s">
        <v>1405</v>
      </c>
    </row>
    <row r="32" spans="1:32" x14ac:dyDescent="0.2">
      <c r="A32" s="3" t="s">
        <v>1373</v>
      </c>
      <c r="B32" s="9" t="s">
        <v>1443</v>
      </c>
      <c r="C32" s="6">
        <v>31</v>
      </c>
      <c r="D32" s="9">
        <v>16</v>
      </c>
      <c r="E32" s="9" t="s">
        <v>1457</v>
      </c>
      <c r="F32" s="10" t="s">
        <v>1445</v>
      </c>
      <c r="G32" s="9" t="s">
        <v>1458</v>
      </c>
      <c r="H32" s="9" t="s">
        <v>120</v>
      </c>
      <c r="I32" s="9" t="s">
        <v>1411</v>
      </c>
      <c r="J32" s="9" t="s">
        <v>1402</v>
      </c>
      <c r="K32" s="8" t="s">
        <v>1467</v>
      </c>
      <c r="L32" s="11" t="s">
        <v>1394</v>
      </c>
      <c r="M32" s="11" t="s">
        <v>1464</v>
      </c>
      <c r="N32" s="11" t="s">
        <v>1450</v>
      </c>
      <c r="O32" s="11" t="s">
        <v>1405</v>
      </c>
      <c r="P32" s="11" t="s">
        <v>1395</v>
      </c>
      <c r="Q32" s="11" t="s">
        <v>1456</v>
      </c>
      <c r="R32" s="11">
        <v>2</v>
      </c>
      <c r="S32" s="11" t="s">
        <v>1453</v>
      </c>
      <c r="T32" s="11" t="s">
        <v>1454</v>
      </c>
      <c r="U32" s="11" t="s">
        <v>1406</v>
      </c>
      <c r="V32" s="11">
        <v>16</v>
      </c>
      <c r="W32" s="11" t="b">
        <v>1</v>
      </c>
      <c r="X32" s="11">
        <v>240808</v>
      </c>
      <c r="Y32" s="11" t="s">
        <v>1405</v>
      </c>
      <c r="Z32" s="11">
        <v>0</v>
      </c>
      <c r="AA32" s="11">
        <v>0</v>
      </c>
      <c r="AB32" s="11" t="s">
        <v>1405</v>
      </c>
      <c r="AC32" s="11" t="s">
        <v>1405</v>
      </c>
      <c r="AD32" s="11">
        <v>0</v>
      </c>
      <c r="AE32" s="11" t="s">
        <v>1405</v>
      </c>
      <c r="AF32" s="11" t="s">
        <v>1405</v>
      </c>
    </row>
    <row r="33" spans="1:32" x14ac:dyDescent="0.2">
      <c r="A33" s="3" t="s">
        <v>1937</v>
      </c>
      <c r="B33" s="6" t="s">
        <v>1443</v>
      </c>
      <c r="C33" s="6">
        <v>32</v>
      </c>
      <c r="D33" s="7">
        <v>17</v>
      </c>
      <c r="E33" s="6" t="s">
        <v>1444</v>
      </c>
      <c r="F33" s="6" t="s">
        <v>1445</v>
      </c>
      <c r="G33" s="6" t="s">
        <v>1446</v>
      </c>
      <c r="H33" s="6" t="s">
        <v>56</v>
      </c>
      <c r="I33" s="6" t="s">
        <v>1415</v>
      </c>
      <c r="J33" s="6" t="s">
        <v>1402</v>
      </c>
      <c r="K33" s="8" t="s">
        <v>1468</v>
      </c>
      <c r="L33" s="6" t="s">
        <v>1394</v>
      </c>
      <c r="M33" s="6" t="s">
        <v>1464</v>
      </c>
      <c r="N33" s="6" t="s">
        <v>1450</v>
      </c>
      <c r="O33" s="6" t="s">
        <v>1405</v>
      </c>
      <c r="P33" s="6" t="s">
        <v>1395</v>
      </c>
      <c r="Q33" s="6" t="s">
        <v>1461</v>
      </c>
      <c r="R33" s="6">
        <v>3</v>
      </c>
      <c r="S33" s="6" t="s">
        <v>1453</v>
      </c>
      <c r="T33" s="6" t="s">
        <v>1454</v>
      </c>
      <c r="U33" s="6" t="s">
        <v>1406</v>
      </c>
      <c r="V33" s="6">
        <v>16</v>
      </c>
      <c r="W33" s="6" t="b">
        <v>1</v>
      </c>
      <c r="X33" s="6">
        <v>240808</v>
      </c>
      <c r="Y33" s="6" t="s">
        <v>1405</v>
      </c>
      <c r="Z33" s="6">
        <v>0</v>
      </c>
      <c r="AA33" s="6">
        <v>0</v>
      </c>
      <c r="AB33" s="6" t="s">
        <v>1405</v>
      </c>
      <c r="AC33" s="6" t="s">
        <v>1405</v>
      </c>
      <c r="AD33" s="6">
        <v>0</v>
      </c>
      <c r="AE33" s="6" t="s">
        <v>1405</v>
      </c>
      <c r="AF33" s="6" t="s">
        <v>1405</v>
      </c>
    </row>
    <row r="34" spans="1:32" x14ac:dyDescent="0.2">
      <c r="A34" s="3" t="s">
        <v>1374</v>
      </c>
      <c r="B34" s="9" t="s">
        <v>1443</v>
      </c>
      <c r="C34" s="6">
        <v>33</v>
      </c>
      <c r="D34" s="9">
        <v>17</v>
      </c>
      <c r="E34" s="9" t="s">
        <v>1457</v>
      </c>
      <c r="F34" s="10" t="s">
        <v>1445</v>
      </c>
      <c r="G34" s="9" t="s">
        <v>1458</v>
      </c>
      <c r="H34" s="9" t="s">
        <v>121</v>
      </c>
      <c r="I34" s="9" t="s">
        <v>1411</v>
      </c>
      <c r="J34" s="9" t="s">
        <v>1402</v>
      </c>
      <c r="K34" s="8" t="s">
        <v>1469</v>
      </c>
      <c r="L34" s="11" t="s">
        <v>1394</v>
      </c>
      <c r="M34" s="11" t="s">
        <v>1464</v>
      </c>
      <c r="N34" s="11" t="s">
        <v>1450</v>
      </c>
      <c r="O34" s="11" t="s">
        <v>1405</v>
      </c>
      <c r="P34" s="11" t="s">
        <v>1395</v>
      </c>
      <c r="Q34" s="11" t="s">
        <v>1461</v>
      </c>
      <c r="R34" s="11">
        <v>3</v>
      </c>
      <c r="S34" s="11" t="s">
        <v>1453</v>
      </c>
      <c r="T34" s="11" t="s">
        <v>1454</v>
      </c>
      <c r="U34" s="11" t="s">
        <v>1406</v>
      </c>
      <c r="V34" s="11">
        <v>16</v>
      </c>
      <c r="W34" s="11" t="b">
        <v>1</v>
      </c>
      <c r="X34" s="11">
        <v>240808</v>
      </c>
      <c r="Y34" s="11" t="s">
        <v>1405</v>
      </c>
      <c r="Z34" s="11">
        <v>0</v>
      </c>
      <c r="AA34" s="11">
        <v>0</v>
      </c>
      <c r="AB34" s="11" t="s">
        <v>1405</v>
      </c>
      <c r="AC34" s="11" t="s">
        <v>1405</v>
      </c>
      <c r="AD34" s="11">
        <v>0</v>
      </c>
      <c r="AE34" s="11" t="s">
        <v>1405</v>
      </c>
      <c r="AF34" s="11" t="s">
        <v>1405</v>
      </c>
    </row>
    <row r="35" spans="1:32" x14ac:dyDescent="0.2">
      <c r="A35" s="3" t="s">
        <v>1938</v>
      </c>
      <c r="B35" s="6" t="s">
        <v>1443</v>
      </c>
      <c r="C35" s="6">
        <v>34</v>
      </c>
      <c r="D35" s="7">
        <v>18</v>
      </c>
      <c r="E35" s="6" t="s">
        <v>1444</v>
      </c>
      <c r="F35" s="6" t="s">
        <v>1445</v>
      </c>
      <c r="G35" s="6" t="s">
        <v>1446</v>
      </c>
      <c r="H35" s="6" t="s">
        <v>57</v>
      </c>
      <c r="I35" s="6" t="s">
        <v>1415</v>
      </c>
      <c r="J35" s="6" t="s">
        <v>1402</v>
      </c>
      <c r="K35" s="8" t="s">
        <v>1470</v>
      </c>
      <c r="L35" s="6" t="s">
        <v>1394</v>
      </c>
      <c r="M35" s="6" t="s">
        <v>1464</v>
      </c>
      <c r="N35" s="6" t="s">
        <v>1450</v>
      </c>
      <c r="O35" s="6" t="s">
        <v>1405</v>
      </c>
      <c r="P35" s="6" t="s">
        <v>1395</v>
      </c>
      <c r="Q35" s="6" t="s">
        <v>1471</v>
      </c>
      <c r="R35" s="6">
        <v>4</v>
      </c>
      <c r="S35" s="6" t="s">
        <v>1453</v>
      </c>
      <c r="T35" s="6" t="s">
        <v>1454</v>
      </c>
      <c r="U35" s="6" t="s">
        <v>1406</v>
      </c>
      <c r="V35" s="6">
        <v>16</v>
      </c>
      <c r="W35" s="6" t="b">
        <v>1</v>
      </c>
      <c r="X35" s="6">
        <v>240808</v>
      </c>
      <c r="Y35" s="6" t="s">
        <v>1405</v>
      </c>
      <c r="Z35" s="6">
        <v>0</v>
      </c>
      <c r="AA35" s="6">
        <v>0</v>
      </c>
      <c r="AB35" s="6" t="s">
        <v>1405</v>
      </c>
      <c r="AC35" s="6" t="s">
        <v>1405</v>
      </c>
      <c r="AD35" s="6">
        <v>0</v>
      </c>
      <c r="AE35" s="6" t="s">
        <v>1405</v>
      </c>
      <c r="AF35" s="6" t="s">
        <v>1405</v>
      </c>
    </row>
    <row r="36" spans="1:32" x14ac:dyDescent="0.2">
      <c r="A36" s="3" t="s">
        <v>1375</v>
      </c>
      <c r="B36" s="9" t="s">
        <v>1443</v>
      </c>
      <c r="C36" s="6">
        <v>35</v>
      </c>
      <c r="D36" s="9">
        <v>18</v>
      </c>
      <c r="E36" s="9" t="s">
        <v>1457</v>
      </c>
      <c r="F36" s="10" t="s">
        <v>1445</v>
      </c>
      <c r="G36" s="9" t="s">
        <v>1458</v>
      </c>
      <c r="H36" s="9" t="s">
        <v>122</v>
      </c>
      <c r="I36" s="9" t="s">
        <v>1411</v>
      </c>
      <c r="J36" s="9" t="s">
        <v>1402</v>
      </c>
      <c r="K36" s="8" t="s">
        <v>1472</v>
      </c>
      <c r="L36" s="11" t="s">
        <v>1394</v>
      </c>
      <c r="M36" s="11" t="s">
        <v>1464</v>
      </c>
      <c r="N36" s="11" t="s">
        <v>1450</v>
      </c>
      <c r="O36" s="11" t="s">
        <v>1405</v>
      </c>
      <c r="P36" s="11" t="s">
        <v>1395</v>
      </c>
      <c r="Q36" s="11" t="s">
        <v>1471</v>
      </c>
      <c r="R36" s="11">
        <v>4</v>
      </c>
      <c r="S36" s="11" t="s">
        <v>1453</v>
      </c>
      <c r="T36" s="11" t="s">
        <v>1454</v>
      </c>
      <c r="U36" s="11" t="s">
        <v>1406</v>
      </c>
      <c r="V36" s="11">
        <v>16</v>
      </c>
      <c r="W36" s="11" t="b">
        <v>1</v>
      </c>
      <c r="X36" s="11">
        <v>240808</v>
      </c>
      <c r="Y36" s="11" t="s">
        <v>1405</v>
      </c>
      <c r="Z36" s="11">
        <v>0</v>
      </c>
      <c r="AA36" s="11">
        <v>0</v>
      </c>
      <c r="AB36" s="11" t="s">
        <v>1405</v>
      </c>
      <c r="AC36" s="11" t="s">
        <v>1405</v>
      </c>
      <c r="AD36" s="11">
        <v>0</v>
      </c>
      <c r="AE36" s="11" t="s">
        <v>1405</v>
      </c>
      <c r="AF36" s="11" t="s">
        <v>1405</v>
      </c>
    </row>
    <row r="37" spans="1:32" x14ac:dyDescent="0.2">
      <c r="A37" s="3" t="s">
        <v>1939</v>
      </c>
      <c r="B37" s="6" t="s">
        <v>1443</v>
      </c>
      <c r="C37" s="6">
        <v>36</v>
      </c>
      <c r="D37" s="7">
        <v>19</v>
      </c>
      <c r="E37" s="6" t="s">
        <v>1444</v>
      </c>
      <c r="F37" s="6" t="s">
        <v>1445</v>
      </c>
      <c r="G37" s="6" t="s">
        <v>1446</v>
      </c>
      <c r="H37" s="6" t="s">
        <v>58</v>
      </c>
      <c r="I37" s="6" t="s">
        <v>1415</v>
      </c>
      <c r="J37" s="6" t="s">
        <v>1402</v>
      </c>
      <c r="K37" s="8" t="s">
        <v>1484</v>
      </c>
      <c r="L37" s="6" t="s">
        <v>1474</v>
      </c>
      <c r="M37" s="6" t="s">
        <v>1475</v>
      </c>
      <c r="N37" s="6" t="s">
        <v>1450</v>
      </c>
      <c r="O37" s="6" t="s">
        <v>1405</v>
      </c>
      <c r="P37" s="6" t="s">
        <v>1395</v>
      </c>
      <c r="Q37" s="6" t="s">
        <v>1452</v>
      </c>
      <c r="R37" s="6">
        <v>1</v>
      </c>
      <c r="S37" s="6" t="s">
        <v>1453</v>
      </c>
      <c r="T37" s="6" t="s">
        <v>1454</v>
      </c>
      <c r="U37" s="6" t="s">
        <v>1406</v>
      </c>
      <c r="V37" s="6">
        <v>16</v>
      </c>
      <c r="W37" s="6" t="b">
        <v>1</v>
      </c>
      <c r="X37" s="6">
        <v>240808</v>
      </c>
      <c r="Y37" s="6" t="s">
        <v>1405</v>
      </c>
      <c r="Z37" s="6">
        <v>0</v>
      </c>
      <c r="AA37" s="6">
        <v>0</v>
      </c>
      <c r="AB37" s="6" t="s">
        <v>1405</v>
      </c>
      <c r="AC37" s="6" t="s">
        <v>1405</v>
      </c>
      <c r="AD37" s="6">
        <v>0</v>
      </c>
      <c r="AE37" s="6" t="s">
        <v>1405</v>
      </c>
      <c r="AF37" s="6" t="s">
        <v>1405</v>
      </c>
    </row>
    <row r="38" spans="1:32" x14ac:dyDescent="0.2">
      <c r="A38" s="3" t="s">
        <v>1376</v>
      </c>
      <c r="B38" s="9" t="s">
        <v>1443</v>
      </c>
      <c r="C38" s="6">
        <v>37</v>
      </c>
      <c r="D38" s="9">
        <v>19</v>
      </c>
      <c r="E38" s="9" t="s">
        <v>1457</v>
      </c>
      <c r="F38" s="10" t="s">
        <v>1445</v>
      </c>
      <c r="G38" s="9" t="s">
        <v>1458</v>
      </c>
      <c r="H38" s="9" t="s">
        <v>123</v>
      </c>
      <c r="I38" s="9" t="s">
        <v>1411</v>
      </c>
      <c r="J38" s="9" t="s">
        <v>1402</v>
      </c>
      <c r="K38" s="8" t="s">
        <v>1476</v>
      </c>
      <c r="L38" s="11" t="s">
        <v>1474</v>
      </c>
      <c r="M38" s="11" t="s">
        <v>1475</v>
      </c>
      <c r="N38" s="11" t="s">
        <v>1450</v>
      </c>
      <c r="O38" s="11" t="s">
        <v>1405</v>
      </c>
      <c r="P38" s="11" t="s">
        <v>1395</v>
      </c>
      <c r="Q38" s="11" t="s">
        <v>1452</v>
      </c>
      <c r="R38" s="11">
        <v>1</v>
      </c>
      <c r="S38" s="11" t="s">
        <v>1453</v>
      </c>
      <c r="T38" s="11" t="s">
        <v>1454</v>
      </c>
      <c r="U38" s="11" t="s">
        <v>1406</v>
      </c>
      <c r="V38" s="11">
        <v>16</v>
      </c>
      <c r="W38" s="11" t="b">
        <v>1</v>
      </c>
      <c r="X38" s="11">
        <v>240808</v>
      </c>
      <c r="Y38" s="11" t="s">
        <v>1405</v>
      </c>
      <c r="Z38" s="11">
        <v>0</v>
      </c>
      <c r="AA38" s="11">
        <v>0</v>
      </c>
      <c r="AB38" s="11" t="s">
        <v>1405</v>
      </c>
      <c r="AC38" s="11" t="s">
        <v>1405</v>
      </c>
      <c r="AD38" s="11">
        <v>0</v>
      </c>
      <c r="AE38" s="11" t="s">
        <v>1405</v>
      </c>
      <c r="AF38" s="11" t="s">
        <v>1405</v>
      </c>
    </row>
    <row r="39" spans="1:32" x14ac:dyDescent="0.2">
      <c r="A39" s="3" t="s">
        <v>1940</v>
      </c>
      <c r="B39" s="6" t="s">
        <v>1443</v>
      </c>
      <c r="C39" s="6">
        <v>38</v>
      </c>
      <c r="D39" s="7">
        <v>20</v>
      </c>
      <c r="E39" s="6" t="s">
        <v>1444</v>
      </c>
      <c r="F39" s="6" t="s">
        <v>1445</v>
      </c>
      <c r="G39" s="6" t="s">
        <v>1446</v>
      </c>
      <c r="H39" s="6" t="s">
        <v>59</v>
      </c>
      <c r="I39" s="6" t="s">
        <v>1415</v>
      </c>
      <c r="J39" s="6" t="s">
        <v>1402</v>
      </c>
      <c r="K39" s="8" t="s">
        <v>1477</v>
      </c>
      <c r="L39" s="6" t="s">
        <v>1474</v>
      </c>
      <c r="M39" s="6" t="s">
        <v>1475</v>
      </c>
      <c r="N39" s="6" t="s">
        <v>1450</v>
      </c>
      <c r="O39" s="6" t="s">
        <v>1405</v>
      </c>
      <c r="P39" s="6" t="s">
        <v>1395</v>
      </c>
      <c r="Q39" s="6" t="s">
        <v>1456</v>
      </c>
      <c r="R39" s="6">
        <v>2</v>
      </c>
      <c r="S39" s="6" t="s">
        <v>1453</v>
      </c>
      <c r="T39" s="6" t="s">
        <v>1454</v>
      </c>
      <c r="U39" s="6" t="s">
        <v>1406</v>
      </c>
      <c r="V39" s="6">
        <v>16</v>
      </c>
      <c r="W39" s="6" t="b">
        <v>1</v>
      </c>
      <c r="X39" s="6">
        <v>240808</v>
      </c>
      <c r="Y39" s="6" t="s">
        <v>1405</v>
      </c>
      <c r="Z39" s="6">
        <v>0</v>
      </c>
      <c r="AA39" s="6">
        <v>0</v>
      </c>
      <c r="AB39" s="6" t="s">
        <v>1405</v>
      </c>
      <c r="AC39" s="6" t="s">
        <v>1405</v>
      </c>
      <c r="AD39" s="6">
        <v>0</v>
      </c>
      <c r="AE39" s="6" t="s">
        <v>1405</v>
      </c>
      <c r="AF39" s="6" t="s">
        <v>1405</v>
      </c>
    </row>
    <row r="40" spans="1:32" x14ac:dyDescent="0.2">
      <c r="A40" s="3" t="s">
        <v>1377</v>
      </c>
      <c r="B40" s="9" t="s">
        <v>1443</v>
      </c>
      <c r="C40" s="6">
        <v>39</v>
      </c>
      <c r="D40" s="9">
        <v>20</v>
      </c>
      <c r="E40" s="9" t="s">
        <v>1457</v>
      </c>
      <c r="F40" s="10" t="s">
        <v>1445</v>
      </c>
      <c r="G40" s="9" t="s">
        <v>1458</v>
      </c>
      <c r="H40" s="9" t="s">
        <v>124</v>
      </c>
      <c r="I40" s="9" t="s">
        <v>1411</v>
      </c>
      <c r="J40" s="9" t="s">
        <v>1402</v>
      </c>
      <c r="K40" s="8" t="s">
        <v>1478</v>
      </c>
      <c r="L40" s="11" t="s">
        <v>1474</v>
      </c>
      <c r="M40" s="11" t="s">
        <v>1475</v>
      </c>
      <c r="N40" s="11" t="s">
        <v>1450</v>
      </c>
      <c r="O40" s="11" t="s">
        <v>1405</v>
      </c>
      <c r="P40" s="11" t="s">
        <v>1395</v>
      </c>
      <c r="Q40" s="11" t="s">
        <v>1456</v>
      </c>
      <c r="R40" s="11">
        <v>2</v>
      </c>
      <c r="S40" s="11" t="s">
        <v>1453</v>
      </c>
      <c r="T40" s="11" t="s">
        <v>1454</v>
      </c>
      <c r="U40" s="11" t="s">
        <v>1406</v>
      </c>
      <c r="V40" s="11">
        <v>16</v>
      </c>
      <c r="W40" s="11" t="b">
        <v>1</v>
      </c>
      <c r="X40" s="11">
        <v>240808</v>
      </c>
      <c r="Y40" s="11" t="s">
        <v>1405</v>
      </c>
      <c r="Z40" s="11">
        <v>0</v>
      </c>
      <c r="AA40" s="11">
        <v>0</v>
      </c>
      <c r="AB40" s="11" t="s">
        <v>1405</v>
      </c>
      <c r="AC40" s="11" t="s">
        <v>1405</v>
      </c>
      <c r="AD40" s="11">
        <v>0</v>
      </c>
      <c r="AE40" s="11" t="s">
        <v>1405</v>
      </c>
      <c r="AF40" s="11" t="s">
        <v>1405</v>
      </c>
    </row>
    <row r="41" spans="1:32" x14ac:dyDescent="0.2">
      <c r="A41" s="3" t="s">
        <v>1941</v>
      </c>
      <c r="B41" s="6" t="s">
        <v>1443</v>
      </c>
      <c r="C41" s="6">
        <v>40</v>
      </c>
      <c r="D41" s="7">
        <v>21</v>
      </c>
      <c r="E41" s="6" t="s">
        <v>1444</v>
      </c>
      <c r="F41" s="6" t="s">
        <v>1445</v>
      </c>
      <c r="G41" s="6" t="s">
        <v>1446</v>
      </c>
      <c r="H41" s="6" t="s">
        <v>60</v>
      </c>
      <c r="I41" s="6" t="s">
        <v>1415</v>
      </c>
      <c r="J41" s="6" t="s">
        <v>1402</v>
      </c>
      <c r="K41" s="8" t="s">
        <v>1479</v>
      </c>
      <c r="L41" s="6" t="s">
        <v>1474</v>
      </c>
      <c r="M41" s="6" t="s">
        <v>1475</v>
      </c>
      <c r="N41" s="6" t="s">
        <v>1450</v>
      </c>
      <c r="O41" s="6" t="s">
        <v>1405</v>
      </c>
      <c r="P41" s="6" t="s">
        <v>1395</v>
      </c>
      <c r="Q41" s="6" t="s">
        <v>1461</v>
      </c>
      <c r="R41" s="6">
        <v>3</v>
      </c>
      <c r="S41" s="6" t="s">
        <v>1453</v>
      </c>
      <c r="T41" s="6" t="s">
        <v>1454</v>
      </c>
      <c r="U41" s="6" t="s">
        <v>1406</v>
      </c>
      <c r="V41" s="6">
        <v>16</v>
      </c>
      <c r="W41" s="6" t="b">
        <v>1</v>
      </c>
      <c r="X41" s="6">
        <v>240808</v>
      </c>
      <c r="Y41" s="6" t="s">
        <v>1405</v>
      </c>
      <c r="Z41" s="6">
        <v>0</v>
      </c>
      <c r="AA41" s="6">
        <v>0</v>
      </c>
      <c r="AB41" s="6" t="s">
        <v>1405</v>
      </c>
      <c r="AC41" s="6" t="s">
        <v>1405</v>
      </c>
      <c r="AD41" s="6">
        <v>0</v>
      </c>
      <c r="AE41" s="6" t="s">
        <v>1405</v>
      </c>
      <c r="AF41" s="6" t="s">
        <v>1405</v>
      </c>
    </row>
    <row r="42" spans="1:32" x14ac:dyDescent="0.2">
      <c r="A42" s="3" t="s">
        <v>1378</v>
      </c>
      <c r="B42" s="9" t="s">
        <v>1443</v>
      </c>
      <c r="C42" s="6">
        <v>41</v>
      </c>
      <c r="D42" s="9">
        <v>21</v>
      </c>
      <c r="E42" s="9" t="s">
        <v>1457</v>
      </c>
      <c r="F42" s="10" t="s">
        <v>1445</v>
      </c>
      <c r="G42" s="9" t="s">
        <v>1458</v>
      </c>
      <c r="H42" s="9" t="s">
        <v>125</v>
      </c>
      <c r="I42" s="9" t="s">
        <v>1411</v>
      </c>
      <c r="J42" s="9" t="s">
        <v>1402</v>
      </c>
      <c r="K42" s="8" t="s">
        <v>1480</v>
      </c>
      <c r="L42" s="11" t="s">
        <v>1474</v>
      </c>
      <c r="M42" s="11" t="s">
        <v>1475</v>
      </c>
      <c r="N42" s="11" t="s">
        <v>1450</v>
      </c>
      <c r="O42" s="11" t="s">
        <v>1405</v>
      </c>
      <c r="P42" s="11" t="s">
        <v>1395</v>
      </c>
      <c r="Q42" s="11" t="s">
        <v>1461</v>
      </c>
      <c r="R42" s="11">
        <v>3</v>
      </c>
      <c r="S42" s="11" t="s">
        <v>1453</v>
      </c>
      <c r="T42" s="11" t="s">
        <v>1454</v>
      </c>
      <c r="U42" s="11" t="s">
        <v>1406</v>
      </c>
      <c r="V42" s="11">
        <v>16</v>
      </c>
      <c r="W42" s="11" t="b">
        <v>1</v>
      </c>
      <c r="X42" s="11">
        <v>240808</v>
      </c>
      <c r="Y42" s="11" t="s">
        <v>1405</v>
      </c>
      <c r="Z42" s="11">
        <v>0</v>
      </c>
      <c r="AA42" s="11">
        <v>0</v>
      </c>
      <c r="AB42" s="11" t="s">
        <v>1405</v>
      </c>
      <c r="AC42" s="11" t="s">
        <v>1405</v>
      </c>
      <c r="AD42" s="11">
        <v>0</v>
      </c>
      <c r="AE42" s="11" t="s">
        <v>1405</v>
      </c>
      <c r="AF42" s="11" t="s">
        <v>1405</v>
      </c>
    </row>
    <row r="43" spans="1:32" x14ac:dyDescent="0.2">
      <c r="A43" s="3" t="s">
        <v>1942</v>
      </c>
      <c r="B43" s="6" t="s">
        <v>1443</v>
      </c>
      <c r="C43" s="6">
        <v>42</v>
      </c>
      <c r="D43" s="7">
        <v>22</v>
      </c>
      <c r="E43" s="6" t="s">
        <v>1444</v>
      </c>
      <c r="F43" s="6" t="s">
        <v>1445</v>
      </c>
      <c r="G43" s="6" t="s">
        <v>1446</v>
      </c>
      <c r="H43" s="6" t="s">
        <v>61</v>
      </c>
      <c r="I43" s="6" t="s">
        <v>1415</v>
      </c>
      <c r="J43" s="6" t="s">
        <v>1402</v>
      </c>
      <c r="K43" s="8" t="s">
        <v>1481</v>
      </c>
      <c r="L43" s="6" t="s">
        <v>1474</v>
      </c>
      <c r="M43" s="6" t="s">
        <v>1475</v>
      </c>
      <c r="N43" s="6" t="s">
        <v>1450</v>
      </c>
      <c r="O43" s="6" t="s">
        <v>1405</v>
      </c>
      <c r="P43" s="6" t="s">
        <v>1395</v>
      </c>
      <c r="Q43" s="6" t="s">
        <v>1471</v>
      </c>
      <c r="R43" s="6">
        <v>4</v>
      </c>
      <c r="S43" s="6" t="s">
        <v>1453</v>
      </c>
      <c r="T43" s="6" t="s">
        <v>1454</v>
      </c>
      <c r="U43" s="6" t="s">
        <v>1406</v>
      </c>
      <c r="V43" s="6">
        <v>16</v>
      </c>
      <c r="W43" s="6" t="b">
        <v>1</v>
      </c>
      <c r="X43" s="6">
        <v>240808</v>
      </c>
      <c r="Y43" s="6" t="s">
        <v>1405</v>
      </c>
      <c r="Z43" s="6">
        <v>0</v>
      </c>
      <c r="AA43" s="6">
        <v>0</v>
      </c>
      <c r="AB43" s="6" t="s">
        <v>1405</v>
      </c>
      <c r="AC43" s="6" t="s">
        <v>1405</v>
      </c>
      <c r="AD43" s="6">
        <v>0</v>
      </c>
      <c r="AE43" s="6" t="s">
        <v>1405</v>
      </c>
      <c r="AF43" s="6" t="s">
        <v>1405</v>
      </c>
    </row>
    <row r="44" spans="1:32" x14ac:dyDescent="0.2">
      <c r="A44" s="3" t="s">
        <v>1379</v>
      </c>
      <c r="B44" s="9" t="s">
        <v>1443</v>
      </c>
      <c r="C44" s="6">
        <v>43</v>
      </c>
      <c r="D44" s="9">
        <v>22</v>
      </c>
      <c r="E44" s="9" t="s">
        <v>1457</v>
      </c>
      <c r="F44" s="10" t="s">
        <v>1445</v>
      </c>
      <c r="G44" s="9" t="s">
        <v>1458</v>
      </c>
      <c r="H44" s="9" t="s">
        <v>126</v>
      </c>
      <c r="I44" s="9" t="s">
        <v>1411</v>
      </c>
      <c r="J44" s="9" t="s">
        <v>1402</v>
      </c>
      <c r="K44" s="8" t="s">
        <v>1482</v>
      </c>
      <c r="L44" s="11" t="s">
        <v>1474</v>
      </c>
      <c r="M44" s="11" t="s">
        <v>1475</v>
      </c>
      <c r="N44" s="11" t="s">
        <v>1450</v>
      </c>
      <c r="O44" s="11" t="s">
        <v>1405</v>
      </c>
      <c r="P44" s="11" t="s">
        <v>1395</v>
      </c>
      <c r="Q44" s="11" t="s">
        <v>1471</v>
      </c>
      <c r="R44" s="11">
        <v>4</v>
      </c>
      <c r="S44" s="11" t="s">
        <v>1453</v>
      </c>
      <c r="T44" s="11" t="s">
        <v>1454</v>
      </c>
      <c r="U44" s="11" t="s">
        <v>1406</v>
      </c>
      <c r="V44" s="11">
        <v>16</v>
      </c>
      <c r="W44" s="11" t="b">
        <v>1</v>
      </c>
      <c r="X44" s="11">
        <v>240808</v>
      </c>
      <c r="Y44" s="11" t="s">
        <v>1405</v>
      </c>
      <c r="Z44" s="11">
        <v>0</v>
      </c>
      <c r="AA44" s="11">
        <v>0</v>
      </c>
      <c r="AB44" s="11" t="s">
        <v>1405</v>
      </c>
      <c r="AC44" s="11" t="s">
        <v>1405</v>
      </c>
      <c r="AD44" s="11">
        <v>0</v>
      </c>
      <c r="AE44" s="11" t="s">
        <v>1405</v>
      </c>
      <c r="AF44" s="11" t="s">
        <v>1405</v>
      </c>
    </row>
    <row r="45" spans="1:32" x14ac:dyDescent="0.2">
      <c r="A45" s="3" t="s">
        <v>1943</v>
      </c>
      <c r="B45" s="6" t="s">
        <v>1443</v>
      </c>
      <c r="C45" s="6">
        <v>44</v>
      </c>
      <c r="D45" s="7">
        <v>23</v>
      </c>
      <c r="E45" s="6" t="s">
        <v>1444</v>
      </c>
      <c r="F45" s="6" t="s">
        <v>1445</v>
      </c>
      <c r="G45" s="6" t="s">
        <v>1446</v>
      </c>
      <c r="H45" s="6" t="s">
        <v>62</v>
      </c>
      <c r="I45" s="6" t="s">
        <v>1415</v>
      </c>
      <c r="J45" s="6" t="s">
        <v>1403</v>
      </c>
      <c r="K45" s="8" t="s">
        <v>1447</v>
      </c>
      <c r="L45" s="6" t="s">
        <v>1448</v>
      </c>
      <c r="M45" s="6" t="s">
        <v>1449</v>
      </c>
      <c r="N45" s="6" t="s">
        <v>1450</v>
      </c>
      <c r="O45" s="6" t="s">
        <v>1405</v>
      </c>
      <c r="P45" s="6" t="s">
        <v>1451</v>
      </c>
      <c r="Q45" s="6" t="s">
        <v>1452</v>
      </c>
      <c r="R45" s="6">
        <v>1</v>
      </c>
      <c r="S45" s="6" t="s">
        <v>1453</v>
      </c>
      <c r="T45" s="6" t="s">
        <v>1454</v>
      </c>
      <c r="U45" s="6" t="s">
        <v>1406</v>
      </c>
      <c r="V45" s="6">
        <v>16</v>
      </c>
      <c r="W45" s="6" t="b">
        <v>1</v>
      </c>
      <c r="X45" s="6">
        <v>240808</v>
      </c>
      <c r="Y45" s="6" t="s">
        <v>1405</v>
      </c>
      <c r="Z45" s="6">
        <v>0</v>
      </c>
      <c r="AA45" s="6">
        <v>0</v>
      </c>
      <c r="AB45" s="6" t="s">
        <v>1405</v>
      </c>
      <c r="AC45" s="6" t="s">
        <v>1405</v>
      </c>
      <c r="AD45" s="6">
        <v>0</v>
      </c>
      <c r="AE45" s="6" t="s">
        <v>1405</v>
      </c>
      <c r="AF45" s="6" t="s">
        <v>1405</v>
      </c>
    </row>
    <row r="46" spans="1:32" x14ac:dyDescent="0.2">
      <c r="A46" s="3" t="s">
        <v>1380</v>
      </c>
      <c r="B46" s="9" t="s">
        <v>1443</v>
      </c>
      <c r="C46" s="6">
        <v>45</v>
      </c>
      <c r="D46" s="9">
        <v>23</v>
      </c>
      <c r="E46" s="9" t="s">
        <v>1457</v>
      </c>
      <c r="F46" s="10" t="s">
        <v>1445</v>
      </c>
      <c r="G46" s="9" t="s">
        <v>1458</v>
      </c>
      <c r="H46" s="9" t="s">
        <v>127</v>
      </c>
      <c r="I46" s="9" t="s">
        <v>1411</v>
      </c>
      <c r="J46" s="9" t="s">
        <v>1403</v>
      </c>
      <c r="K46" s="8" t="s">
        <v>1483</v>
      </c>
      <c r="L46" s="11" t="s">
        <v>1448</v>
      </c>
      <c r="M46" s="11" t="s">
        <v>1449</v>
      </c>
      <c r="N46" s="11" t="s">
        <v>1450</v>
      </c>
      <c r="O46" s="11" t="s">
        <v>1405</v>
      </c>
      <c r="P46" s="11" t="s">
        <v>1451</v>
      </c>
      <c r="Q46" s="11" t="s">
        <v>1452</v>
      </c>
      <c r="R46" s="11">
        <v>1</v>
      </c>
      <c r="S46" s="11" t="s">
        <v>1453</v>
      </c>
      <c r="T46" s="11" t="s">
        <v>1454</v>
      </c>
      <c r="U46" s="11" t="s">
        <v>1406</v>
      </c>
      <c r="V46" s="11">
        <v>16</v>
      </c>
      <c r="W46" s="11" t="b">
        <v>1</v>
      </c>
      <c r="X46" s="11">
        <v>240808</v>
      </c>
      <c r="Y46" s="11" t="s">
        <v>1405</v>
      </c>
      <c r="Z46" s="11">
        <v>0</v>
      </c>
      <c r="AA46" s="11">
        <v>0</v>
      </c>
      <c r="AB46" s="11" t="s">
        <v>1405</v>
      </c>
      <c r="AC46" s="11" t="s">
        <v>1405</v>
      </c>
      <c r="AD46" s="11">
        <v>0</v>
      </c>
      <c r="AE46" s="11" t="s">
        <v>1405</v>
      </c>
      <c r="AF46" s="11" t="s">
        <v>1405</v>
      </c>
    </row>
    <row r="47" spans="1:32" x14ac:dyDescent="0.2">
      <c r="A47" s="3" t="s">
        <v>1944</v>
      </c>
      <c r="B47" s="6" t="s">
        <v>1443</v>
      </c>
      <c r="C47" s="6">
        <v>46</v>
      </c>
      <c r="D47" s="7">
        <v>24</v>
      </c>
      <c r="E47" s="6" t="s">
        <v>1444</v>
      </c>
      <c r="F47" s="6" t="s">
        <v>1445</v>
      </c>
      <c r="G47" s="6" t="s">
        <v>1446</v>
      </c>
      <c r="H47" s="6" t="s">
        <v>63</v>
      </c>
      <c r="I47" s="6" t="s">
        <v>1415</v>
      </c>
      <c r="J47" s="6" t="s">
        <v>1403</v>
      </c>
      <c r="K47" s="8" t="s">
        <v>1455</v>
      </c>
      <c r="L47" s="6" t="s">
        <v>1448</v>
      </c>
      <c r="M47" s="6" t="s">
        <v>1449</v>
      </c>
      <c r="N47" s="6" t="s">
        <v>1450</v>
      </c>
      <c r="O47" s="6" t="s">
        <v>1405</v>
      </c>
      <c r="P47" s="6" t="s">
        <v>1451</v>
      </c>
      <c r="Q47" s="6" t="s">
        <v>1456</v>
      </c>
      <c r="R47" s="6">
        <v>2</v>
      </c>
      <c r="S47" s="6" t="s">
        <v>1453</v>
      </c>
      <c r="T47" s="6" t="s">
        <v>1454</v>
      </c>
      <c r="U47" s="6" t="s">
        <v>1406</v>
      </c>
      <c r="V47" s="6">
        <v>16</v>
      </c>
      <c r="W47" s="6" t="b">
        <v>1</v>
      </c>
      <c r="X47" s="6">
        <v>240808</v>
      </c>
      <c r="Y47" s="6" t="s">
        <v>1405</v>
      </c>
      <c r="Z47" s="6">
        <v>0</v>
      </c>
      <c r="AA47" s="6">
        <v>0</v>
      </c>
      <c r="AB47" s="6" t="s">
        <v>1405</v>
      </c>
      <c r="AC47" s="6" t="s">
        <v>1405</v>
      </c>
      <c r="AD47" s="6">
        <v>0</v>
      </c>
      <c r="AE47" s="6" t="s">
        <v>1405</v>
      </c>
      <c r="AF47" s="6" t="s">
        <v>1405</v>
      </c>
    </row>
    <row r="48" spans="1:32" x14ac:dyDescent="0.2">
      <c r="A48" s="3" t="s">
        <v>1381</v>
      </c>
      <c r="B48" s="9" t="s">
        <v>1443</v>
      </c>
      <c r="C48" s="6">
        <v>47</v>
      </c>
      <c r="D48" s="9">
        <v>24</v>
      </c>
      <c r="E48" s="9" t="s">
        <v>1457</v>
      </c>
      <c r="F48" s="10" t="s">
        <v>1445</v>
      </c>
      <c r="G48" s="9" t="s">
        <v>1458</v>
      </c>
      <c r="H48" s="9" t="s">
        <v>128</v>
      </c>
      <c r="I48" s="9" t="s">
        <v>1411</v>
      </c>
      <c r="J48" s="9" t="s">
        <v>1403</v>
      </c>
      <c r="K48" s="8" t="s">
        <v>1459</v>
      </c>
      <c r="L48" s="11" t="s">
        <v>1448</v>
      </c>
      <c r="M48" s="11" t="s">
        <v>1449</v>
      </c>
      <c r="N48" s="11" t="s">
        <v>1450</v>
      </c>
      <c r="O48" s="11" t="s">
        <v>1405</v>
      </c>
      <c r="P48" s="11" t="s">
        <v>1451</v>
      </c>
      <c r="Q48" s="11" t="s">
        <v>1456</v>
      </c>
      <c r="R48" s="11">
        <v>2</v>
      </c>
      <c r="S48" s="11" t="s">
        <v>1453</v>
      </c>
      <c r="T48" s="11" t="s">
        <v>1454</v>
      </c>
      <c r="U48" s="11" t="s">
        <v>1406</v>
      </c>
      <c r="V48" s="11">
        <v>16</v>
      </c>
      <c r="W48" s="11" t="b">
        <v>1</v>
      </c>
      <c r="X48" s="11">
        <v>240808</v>
      </c>
      <c r="Y48" s="11" t="s">
        <v>1405</v>
      </c>
      <c r="Z48" s="11">
        <v>0</v>
      </c>
      <c r="AA48" s="11">
        <v>0</v>
      </c>
      <c r="AB48" s="11" t="s">
        <v>1405</v>
      </c>
      <c r="AC48" s="11" t="s">
        <v>1405</v>
      </c>
      <c r="AD48" s="11">
        <v>0</v>
      </c>
      <c r="AE48" s="11" t="s">
        <v>1405</v>
      </c>
      <c r="AF48" s="11" t="s">
        <v>1405</v>
      </c>
    </row>
    <row r="49" spans="1:32" x14ac:dyDescent="0.2">
      <c r="A49" s="3" t="s">
        <v>1945</v>
      </c>
      <c r="B49" s="6" t="s">
        <v>1443</v>
      </c>
      <c r="C49" s="6">
        <v>48</v>
      </c>
      <c r="D49" s="7">
        <v>25</v>
      </c>
      <c r="E49" s="6" t="s">
        <v>1444</v>
      </c>
      <c r="F49" s="6" t="s">
        <v>1445</v>
      </c>
      <c r="G49" s="6" t="s">
        <v>1446</v>
      </c>
      <c r="H49" s="6" t="s">
        <v>64</v>
      </c>
      <c r="I49" s="6" t="s">
        <v>1415</v>
      </c>
      <c r="J49" s="6" t="s">
        <v>1403</v>
      </c>
      <c r="K49" s="8" t="s">
        <v>1460</v>
      </c>
      <c r="L49" s="6" t="s">
        <v>1448</v>
      </c>
      <c r="M49" s="6" t="s">
        <v>1449</v>
      </c>
      <c r="N49" s="6" t="s">
        <v>1450</v>
      </c>
      <c r="O49" s="6" t="s">
        <v>1405</v>
      </c>
      <c r="P49" s="6" t="s">
        <v>1451</v>
      </c>
      <c r="Q49" s="6" t="s">
        <v>1461</v>
      </c>
      <c r="R49" s="6">
        <v>3</v>
      </c>
      <c r="S49" s="6" t="s">
        <v>1453</v>
      </c>
      <c r="T49" s="6" t="s">
        <v>1454</v>
      </c>
      <c r="U49" s="6" t="s">
        <v>1406</v>
      </c>
      <c r="V49" s="6">
        <v>16</v>
      </c>
      <c r="W49" s="6" t="b">
        <v>1</v>
      </c>
      <c r="X49" s="6">
        <v>240808</v>
      </c>
      <c r="Y49" s="6" t="s">
        <v>1405</v>
      </c>
      <c r="Z49" s="6">
        <v>0</v>
      </c>
      <c r="AA49" s="6">
        <v>0</v>
      </c>
      <c r="AB49" s="6" t="s">
        <v>1405</v>
      </c>
      <c r="AC49" s="6" t="s">
        <v>1405</v>
      </c>
      <c r="AD49" s="6">
        <v>0</v>
      </c>
      <c r="AE49" s="6" t="s">
        <v>1405</v>
      </c>
      <c r="AF49" s="6" t="s">
        <v>1405</v>
      </c>
    </row>
    <row r="50" spans="1:32" x14ac:dyDescent="0.2">
      <c r="A50" s="3" t="s">
        <v>1382</v>
      </c>
      <c r="B50" s="9" t="s">
        <v>1443</v>
      </c>
      <c r="C50" s="6">
        <v>49</v>
      </c>
      <c r="D50" s="9">
        <v>25</v>
      </c>
      <c r="E50" s="9" t="s">
        <v>1457</v>
      </c>
      <c r="F50" s="10" t="s">
        <v>1445</v>
      </c>
      <c r="G50" s="9" t="s">
        <v>1458</v>
      </c>
      <c r="H50" s="9" t="s">
        <v>129</v>
      </c>
      <c r="I50" s="9" t="s">
        <v>1411</v>
      </c>
      <c r="J50" s="9" t="s">
        <v>1403</v>
      </c>
      <c r="K50" s="8" t="s">
        <v>1462</v>
      </c>
      <c r="L50" s="11" t="s">
        <v>1448</v>
      </c>
      <c r="M50" s="11" t="s">
        <v>1449</v>
      </c>
      <c r="N50" s="11" t="s">
        <v>1450</v>
      </c>
      <c r="O50" s="11" t="s">
        <v>1405</v>
      </c>
      <c r="P50" s="11" t="s">
        <v>1451</v>
      </c>
      <c r="Q50" s="11" t="s">
        <v>1461</v>
      </c>
      <c r="R50" s="11">
        <v>3</v>
      </c>
      <c r="S50" s="11" t="s">
        <v>1453</v>
      </c>
      <c r="T50" s="11" t="s">
        <v>1454</v>
      </c>
      <c r="U50" s="11" t="s">
        <v>1406</v>
      </c>
      <c r="V50" s="11">
        <v>16</v>
      </c>
      <c r="W50" s="11" t="b">
        <v>1</v>
      </c>
      <c r="X50" s="11">
        <v>240808</v>
      </c>
      <c r="Y50" s="11" t="s">
        <v>1405</v>
      </c>
      <c r="Z50" s="11">
        <v>0</v>
      </c>
      <c r="AA50" s="11">
        <v>0</v>
      </c>
      <c r="AB50" s="11" t="s">
        <v>1405</v>
      </c>
      <c r="AC50" s="11" t="s">
        <v>1405</v>
      </c>
      <c r="AD50" s="11">
        <v>0</v>
      </c>
      <c r="AE50" s="11" t="s">
        <v>1405</v>
      </c>
      <c r="AF50" s="11" t="s">
        <v>1405</v>
      </c>
    </row>
    <row r="51" spans="1:32" x14ac:dyDescent="0.2">
      <c r="A51" s="3" t="s">
        <v>1946</v>
      </c>
      <c r="B51" s="6" t="s">
        <v>1443</v>
      </c>
      <c r="C51" s="6">
        <v>50</v>
      </c>
      <c r="D51" s="7">
        <v>26</v>
      </c>
      <c r="E51" s="6" t="s">
        <v>1444</v>
      </c>
      <c r="F51" s="6" t="s">
        <v>1445</v>
      </c>
      <c r="G51" s="6" t="s">
        <v>1446</v>
      </c>
      <c r="H51" s="6" t="s">
        <v>66</v>
      </c>
      <c r="I51" s="6" t="s">
        <v>1415</v>
      </c>
      <c r="J51" s="6" t="s">
        <v>1403</v>
      </c>
      <c r="K51" s="8" t="s">
        <v>1463</v>
      </c>
      <c r="L51" s="6" t="s">
        <v>1394</v>
      </c>
      <c r="M51" s="6" t="s">
        <v>1464</v>
      </c>
      <c r="N51" s="6" t="s">
        <v>1450</v>
      </c>
      <c r="O51" s="6" t="s">
        <v>1405</v>
      </c>
      <c r="P51" s="6" t="s">
        <v>1395</v>
      </c>
      <c r="Q51" s="6" t="s">
        <v>1452</v>
      </c>
      <c r="R51" s="6">
        <v>1</v>
      </c>
      <c r="S51" s="6" t="s">
        <v>1453</v>
      </c>
      <c r="T51" s="6" t="s">
        <v>1454</v>
      </c>
      <c r="U51" s="6" t="s">
        <v>1406</v>
      </c>
      <c r="V51" s="6">
        <v>16</v>
      </c>
      <c r="W51" s="6" t="b">
        <v>1</v>
      </c>
      <c r="X51" s="6">
        <v>240808</v>
      </c>
      <c r="Y51" s="6" t="s">
        <v>1405</v>
      </c>
      <c r="Z51" s="6">
        <v>0</v>
      </c>
      <c r="AA51" s="6">
        <v>0</v>
      </c>
      <c r="AB51" s="6" t="s">
        <v>1405</v>
      </c>
      <c r="AC51" s="6" t="s">
        <v>1405</v>
      </c>
      <c r="AD51" s="6">
        <v>0</v>
      </c>
      <c r="AE51" s="6" t="s">
        <v>1405</v>
      </c>
      <c r="AF51" s="6" t="s">
        <v>1405</v>
      </c>
    </row>
    <row r="52" spans="1:32" x14ac:dyDescent="0.2">
      <c r="A52" s="3" t="s">
        <v>1383</v>
      </c>
      <c r="B52" s="9" t="s">
        <v>1443</v>
      </c>
      <c r="C52" s="6">
        <v>51</v>
      </c>
      <c r="D52" s="9">
        <v>26</v>
      </c>
      <c r="E52" s="9" t="s">
        <v>1457</v>
      </c>
      <c r="F52" s="10" t="s">
        <v>1445</v>
      </c>
      <c r="G52" s="9" t="s">
        <v>1458</v>
      </c>
      <c r="H52" s="9" t="s">
        <v>131</v>
      </c>
      <c r="I52" s="9" t="s">
        <v>1411</v>
      </c>
      <c r="J52" s="9" t="s">
        <v>1403</v>
      </c>
      <c r="K52" s="8" t="s">
        <v>1465</v>
      </c>
      <c r="L52" s="11" t="s">
        <v>1394</v>
      </c>
      <c r="M52" s="11" t="s">
        <v>1464</v>
      </c>
      <c r="N52" s="11" t="s">
        <v>1450</v>
      </c>
      <c r="O52" s="11" t="s">
        <v>1405</v>
      </c>
      <c r="P52" s="11" t="s">
        <v>1395</v>
      </c>
      <c r="Q52" s="11" t="s">
        <v>1452</v>
      </c>
      <c r="R52" s="11">
        <v>1</v>
      </c>
      <c r="S52" s="11" t="s">
        <v>1453</v>
      </c>
      <c r="T52" s="11" t="s">
        <v>1454</v>
      </c>
      <c r="U52" s="11" t="s">
        <v>1406</v>
      </c>
      <c r="V52" s="11">
        <v>16</v>
      </c>
      <c r="W52" s="11" t="b">
        <v>1</v>
      </c>
      <c r="X52" s="11">
        <v>240808</v>
      </c>
      <c r="Y52" s="11" t="s">
        <v>1405</v>
      </c>
      <c r="Z52" s="11">
        <v>0</v>
      </c>
      <c r="AA52" s="11">
        <v>0</v>
      </c>
      <c r="AB52" s="11" t="s">
        <v>1405</v>
      </c>
      <c r="AC52" s="11" t="s">
        <v>1405</v>
      </c>
      <c r="AD52" s="11">
        <v>0</v>
      </c>
      <c r="AE52" s="11" t="s">
        <v>1405</v>
      </c>
      <c r="AF52" s="11" t="s">
        <v>1405</v>
      </c>
    </row>
    <row r="53" spans="1:32" x14ac:dyDescent="0.2">
      <c r="A53" s="3" t="s">
        <v>1947</v>
      </c>
      <c r="B53" s="6" t="s">
        <v>1443</v>
      </c>
      <c r="C53" s="6">
        <v>52</v>
      </c>
      <c r="D53" s="7">
        <v>27</v>
      </c>
      <c r="E53" s="6" t="s">
        <v>1444</v>
      </c>
      <c r="F53" s="6" t="s">
        <v>1445</v>
      </c>
      <c r="G53" s="6" t="s">
        <v>1446</v>
      </c>
      <c r="H53" s="6" t="s">
        <v>67</v>
      </c>
      <c r="I53" s="6" t="s">
        <v>1415</v>
      </c>
      <c r="J53" s="6" t="s">
        <v>1403</v>
      </c>
      <c r="K53" s="8" t="s">
        <v>1466</v>
      </c>
      <c r="L53" s="6" t="s">
        <v>1394</v>
      </c>
      <c r="M53" s="6" t="s">
        <v>1464</v>
      </c>
      <c r="N53" s="6" t="s">
        <v>1450</v>
      </c>
      <c r="O53" s="6" t="s">
        <v>1405</v>
      </c>
      <c r="P53" s="6" t="s">
        <v>1395</v>
      </c>
      <c r="Q53" s="6" t="s">
        <v>1456</v>
      </c>
      <c r="R53" s="6">
        <v>2</v>
      </c>
      <c r="S53" s="6" t="s">
        <v>1453</v>
      </c>
      <c r="T53" s="6" t="s">
        <v>1454</v>
      </c>
      <c r="U53" s="6" t="s">
        <v>1406</v>
      </c>
      <c r="V53" s="6">
        <v>16</v>
      </c>
      <c r="W53" s="6" t="b">
        <v>1</v>
      </c>
      <c r="X53" s="6">
        <v>240808</v>
      </c>
      <c r="Y53" s="6" t="s">
        <v>1405</v>
      </c>
      <c r="Z53" s="6">
        <v>0</v>
      </c>
      <c r="AA53" s="6">
        <v>0</v>
      </c>
      <c r="AB53" s="6" t="s">
        <v>1405</v>
      </c>
      <c r="AC53" s="6" t="s">
        <v>1405</v>
      </c>
      <c r="AD53" s="6">
        <v>0</v>
      </c>
      <c r="AE53" s="6" t="s">
        <v>1405</v>
      </c>
      <c r="AF53" s="6" t="s">
        <v>1405</v>
      </c>
    </row>
    <row r="54" spans="1:32" x14ac:dyDescent="0.2">
      <c r="A54" s="3" t="s">
        <v>1384</v>
      </c>
      <c r="B54" s="9" t="s">
        <v>1443</v>
      </c>
      <c r="C54" s="6">
        <v>53</v>
      </c>
      <c r="D54" s="9">
        <v>27</v>
      </c>
      <c r="E54" s="9" t="s">
        <v>1457</v>
      </c>
      <c r="F54" s="10" t="s">
        <v>1445</v>
      </c>
      <c r="G54" s="9" t="s">
        <v>1458</v>
      </c>
      <c r="H54" s="9" t="s">
        <v>132</v>
      </c>
      <c r="I54" s="9" t="s">
        <v>1411</v>
      </c>
      <c r="J54" s="9" t="s">
        <v>1403</v>
      </c>
      <c r="K54" s="8" t="s">
        <v>1467</v>
      </c>
      <c r="L54" s="11" t="s">
        <v>1394</v>
      </c>
      <c r="M54" s="11" t="s">
        <v>1464</v>
      </c>
      <c r="N54" s="11" t="s">
        <v>1450</v>
      </c>
      <c r="O54" s="11" t="s">
        <v>1405</v>
      </c>
      <c r="P54" s="11" t="s">
        <v>1395</v>
      </c>
      <c r="Q54" s="11" t="s">
        <v>1456</v>
      </c>
      <c r="R54" s="11">
        <v>2</v>
      </c>
      <c r="S54" s="11" t="s">
        <v>1453</v>
      </c>
      <c r="T54" s="11" t="s">
        <v>1454</v>
      </c>
      <c r="U54" s="11" t="s">
        <v>1406</v>
      </c>
      <c r="V54" s="11">
        <v>16</v>
      </c>
      <c r="W54" s="11" t="b">
        <v>1</v>
      </c>
      <c r="X54" s="11">
        <v>240808</v>
      </c>
      <c r="Y54" s="11" t="s">
        <v>1405</v>
      </c>
      <c r="Z54" s="11">
        <v>0</v>
      </c>
      <c r="AA54" s="11">
        <v>0</v>
      </c>
      <c r="AB54" s="11" t="s">
        <v>1405</v>
      </c>
      <c r="AC54" s="11" t="s">
        <v>1405</v>
      </c>
      <c r="AD54" s="11">
        <v>0</v>
      </c>
      <c r="AE54" s="11" t="s">
        <v>1405</v>
      </c>
      <c r="AF54" s="11" t="s">
        <v>1405</v>
      </c>
    </row>
    <row r="55" spans="1:32" x14ac:dyDescent="0.2">
      <c r="A55" s="3" t="s">
        <v>1948</v>
      </c>
      <c r="B55" s="6" t="s">
        <v>1443</v>
      </c>
      <c r="C55" s="6">
        <v>54</v>
      </c>
      <c r="D55" s="7">
        <v>28</v>
      </c>
      <c r="E55" s="6" t="s">
        <v>1444</v>
      </c>
      <c r="F55" s="6" t="s">
        <v>1445</v>
      </c>
      <c r="G55" s="6" t="s">
        <v>1446</v>
      </c>
      <c r="H55" s="6" t="s">
        <v>68</v>
      </c>
      <c r="I55" s="6" t="s">
        <v>1415</v>
      </c>
      <c r="J55" s="6" t="s">
        <v>1403</v>
      </c>
      <c r="K55" s="8" t="s">
        <v>1468</v>
      </c>
      <c r="L55" s="6" t="s">
        <v>1394</v>
      </c>
      <c r="M55" s="6" t="s">
        <v>1464</v>
      </c>
      <c r="N55" s="6" t="s">
        <v>1450</v>
      </c>
      <c r="O55" s="6" t="s">
        <v>1405</v>
      </c>
      <c r="P55" s="6" t="s">
        <v>1395</v>
      </c>
      <c r="Q55" s="6" t="s">
        <v>1461</v>
      </c>
      <c r="R55" s="6">
        <v>3</v>
      </c>
      <c r="S55" s="6" t="s">
        <v>1453</v>
      </c>
      <c r="T55" s="6" t="s">
        <v>1454</v>
      </c>
      <c r="U55" s="6" t="s">
        <v>1406</v>
      </c>
      <c r="V55" s="6">
        <v>16</v>
      </c>
      <c r="W55" s="6" t="b">
        <v>1</v>
      </c>
      <c r="X55" s="6">
        <v>240808</v>
      </c>
      <c r="Y55" s="6" t="s">
        <v>1405</v>
      </c>
      <c r="Z55" s="6">
        <v>0</v>
      </c>
      <c r="AA55" s="6">
        <v>0</v>
      </c>
      <c r="AB55" s="6" t="s">
        <v>1405</v>
      </c>
      <c r="AC55" s="6" t="s">
        <v>1405</v>
      </c>
      <c r="AD55" s="6">
        <v>0</v>
      </c>
      <c r="AE55" s="6" t="s">
        <v>1405</v>
      </c>
      <c r="AF55" s="6" t="s">
        <v>1405</v>
      </c>
    </row>
    <row r="56" spans="1:32" x14ac:dyDescent="0.2">
      <c r="A56" s="3" t="s">
        <v>1385</v>
      </c>
      <c r="B56" s="9" t="s">
        <v>1443</v>
      </c>
      <c r="C56" s="6">
        <v>55</v>
      </c>
      <c r="D56" s="9">
        <v>28</v>
      </c>
      <c r="E56" s="9" t="s">
        <v>1457</v>
      </c>
      <c r="F56" s="10" t="s">
        <v>1445</v>
      </c>
      <c r="G56" s="9" t="s">
        <v>1458</v>
      </c>
      <c r="H56" s="9" t="s">
        <v>133</v>
      </c>
      <c r="I56" s="9" t="s">
        <v>1411</v>
      </c>
      <c r="J56" s="9" t="s">
        <v>1403</v>
      </c>
      <c r="K56" s="8" t="s">
        <v>1469</v>
      </c>
      <c r="L56" s="11" t="s">
        <v>1394</v>
      </c>
      <c r="M56" s="11" t="s">
        <v>1464</v>
      </c>
      <c r="N56" s="11" t="s">
        <v>1450</v>
      </c>
      <c r="O56" s="11" t="s">
        <v>1405</v>
      </c>
      <c r="P56" s="11" t="s">
        <v>1395</v>
      </c>
      <c r="Q56" s="11" t="s">
        <v>1461</v>
      </c>
      <c r="R56" s="11">
        <v>3</v>
      </c>
      <c r="S56" s="11" t="s">
        <v>1453</v>
      </c>
      <c r="T56" s="11" t="s">
        <v>1454</v>
      </c>
      <c r="U56" s="11" t="s">
        <v>1406</v>
      </c>
      <c r="V56" s="11">
        <v>16</v>
      </c>
      <c r="W56" s="11" t="b">
        <v>1</v>
      </c>
      <c r="X56" s="11">
        <v>240808</v>
      </c>
      <c r="Y56" s="11" t="s">
        <v>1405</v>
      </c>
      <c r="Z56" s="11">
        <v>0</v>
      </c>
      <c r="AA56" s="11">
        <v>0</v>
      </c>
      <c r="AB56" s="11" t="s">
        <v>1405</v>
      </c>
      <c r="AC56" s="11" t="s">
        <v>1405</v>
      </c>
      <c r="AD56" s="11">
        <v>0</v>
      </c>
      <c r="AE56" s="11" t="s">
        <v>1405</v>
      </c>
      <c r="AF56" s="11" t="s">
        <v>1405</v>
      </c>
    </row>
    <row r="57" spans="1:32" x14ac:dyDescent="0.2">
      <c r="A57" s="3" t="s">
        <v>1949</v>
      </c>
      <c r="B57" s="6" t="s">
        <v>1443</v>
      </c>
      <c r="C57" s="6">
        <v>56</v>
      </c>
      <c r="D57" s="7">
        <v>29</v>
      </c>
      <c r="E57" s="6" t="s">
        <v>1444</v>
      </c>
      <c r="F57" s="6" t="s">
        <v>1445</v>
      </c>
      <c r="G57" s="6" t="s">
        <v>1446</v>
      </c>
      <c r="H57" s="6" t="s">
        <v>69</v>
      </c>
      <c r="I57" s="6" t="s">
        <v>1415</v>
      </c>
      <c r="J57" s="6" t="s">
        <v>1403</v>
      </c>
      <c r="K57" s="8" t="s">
        <v>1470</v>
      </c>
      <c r="L57" s="6" t="s">
        <v>1394</v>
      </c>
      <c r="M57" s="6" t="s">
        <v>1464</v>
      </c>
      <c r="N57" s="6" t="s">
        <v>1450</v>
      </c>
      <c r="O57" s="6" t="s">
        <v>1405</v>
      </c>
      <c r="P57" s="6" t="s">
        <v>1395</v>
      </c>
      <c r="Q57" s="6" t="s">
        <v>1471</v>
      </c>
      <c r="R57" s="6">
        <v>4</v>
      </c>
      <c r="S57" s="6" t="s">
        <v>1453</v>
      </c>
      <c r="T57" s="6" t="s">
        <v>1454</v>
      </c>
      <c r="U57" s="6" t="s">
        <v>1406</v>
      </c>
      <c r="V57" s="6">
        <v>16</v>
      </c>
      <c r="W57" s="6" t="b">
        <v>1</v>
      </c>
      <c r="X57" s="6">
        <v>240808</v>
      </c>
      <c r="Y57" s="6" t="s">
        <v>1405</v>
      </c>
      <c r="Z57" s="6">
        <v>0</v>
      </c>
      <c r="AA57" s="6">
        <v>0</v>
      </c>
      <c r="AB57" s="6" t="s">
        <v>1405</v>
      </c>
      <c r="AC57" s="6" t="s">
        <v>1405</v>
      </c>
      <c r="AD57" s="6">
        <v>0</v>
      </c>
      <c r="AE57" s="6" t="s">
        <v>1405</v>
      </c>
      <c r="AF57" s="6" t="s">
        <v>1405</v>
      </c>
    </row>
    <row r="58" spans="1:32" x14ac:dyDescent="0.2">
      <c r="A58" s="3" t="s">
        <v>1386</v>
      </c>
      <c r="B58" s="9" t="s">
        <v>1443</v>
      </c>
      <c r="C58" s="6">
        <v>57</v>
      </c>
      <c r="D58" s="9">
        <v>29</v>
      </c>
      <c r="E58" s="9" t="s">
        <v>1457</v>
      </c>
      <c r="F58" s="10" t="s">
        <v>1445</v>
      </c>
      <c r="G58" s="9" t="s">
        <v>1458</v>
      </c>
      <c r="H58" s="9" t="s">
        <v>134</v>
      </c>
      <c r="I58" s="9" t="s">
        <v>1411</v>
      </c>
      <c r="J58" s="9" t="s">
        <v>1403</v>
      </c>
      <c r="K58" s="8" t="s">
        <v>1472</v>
      </c>
      <c r="L58" s="11" t="s">
        <v>1394</v>
      </c>
      <c r="M58" s="11" t="s">
        <v>1464</v>
      </c>
      <c r="N58" s="11" t="s">
        <v>1450</v>
      </c>
      <c r="O58" s="11" t="s">
        <v>1405</v>
      </c>
      <c r="P58" s="11" t="s">
        <v>1395</v>
      </c>
      <c r="Q58" s="11" t="s">
        <v>1471</v>
      </c>
      <c r="R58" s="11">
        <v>4</v>
      </c>
      <c r="S58" s="11" t="s">
        <v>1453</v>
      </c>
      <c r="T58" s="11" t="s">
        <v>1454</v>
      </c>
      <c r="U58" s="11" t="s">
        <v>1406</v>
      </c>
      <c r="V58" s="11">
        <v>16</v>
      </c>
      <c r="W58" s="11" t="b">
        <v>1</v>
      </c>
      <c r="X58" s="11">
        <v>240808</v>
      </c>
      <c r="Y58" s="11" t="s">
        <v>1405</v>
      </c>
      <c r="Z58" s="11">
        <v>0</v>
      </c>
      <c r="AA58" s="11">
        <v>0</v>
      </c>
      <c r="AB58" s="11" t="s">
        <v>1405</v>
      </c>
      <c r="AC58" s="11" t="s">
        <v>1405</v>
      </c>
      <c r="AD58" s="11">
        <v>0</v>
      </c>
      <c r="AE58" s="11" t="s">
        <v>1405</v>
      </c>
      <c r="AF58" s="11" t="s">
        <v>1405</v>
      </c>
    </row>
    <row r="59" spans="1:32" x14ac:dyDescent="0.2">
      <c r="A59" s="3" t="s">
        <v>1950</v>
      </c>
      <c r="B59" s="6" t="s">
        <v>1443</v>
      </c>
      <c r="C59" s="6">
        <v>58</v>
      </c>
      <c r="D59" s="7">
        <v>30</v>
      </c>
      <c r="E59" s="6" t="s">
        <v>1444</v>
      </c>
      <c r="F59" s="6" t="s">
        <v>1445</v>
      </c>
      <c r="G59" s="6" t="s">
        <v>1446</v>
      </c>
      <c r="H59" s="6" t="s">
        <v>70</v>
      </c>
      <c r="I59" s="6" t="s">
        <v>1415</v>
      </c>
      <c r="J59" s="6" t="s">
        <v>1403</v>
      </c>
      <c r="K59" s="8" t="s">
        <v>1484</v>
      </c>
      <c r="L59" s="6" t="s">
        <v>1474</v>
      </c>
      <c r="M59" s="6" t="s">
        <v>1475</v>
      </c>
      <c r="N59" s="6" t="s">
        <v>1450</v>
      </c>
      <c r="O59" s="6" t="s">
        <v>1405</v>
      </c>
      <c r="P59" s="6" t="s">
        <v>1395</v>
      </c>
      <c r="Q59" s="6" t="s">
        <v>1452</v>
      </c>
      <c r="R59" s="6">
        <v>1</v>
      </c>
      <c r="S59" s="6" t="s">
        <v>1453</v>
      </c>
      <c r="T59" s="6" t="s">
        <v>1454</v>
      </c>
      <c r="U59" s="6" t="s">
        <v>1406</v>
      </c>
      <c r="V59" s="6">
        <v>16</v>
      </c>
      <c r="W59" s="6" t="b">
        <v>1</v>
      </c>
      <c r="X59" s="6">
        <v>240808</v>
      </c>
      <c r="Y59" s="6" t="s">
        <v>1405</v>
      </c>
      <c r="Z59" s="6">
        <v>0</v>
      </c>
      <c r="AA59" s="6">
        <v>0</v>
      </c>
      <c r="AB59" s="6" t="s">
        <v>1405</v>
      </c>
      <c r="AC59" s="6" t="s">
        <v>1405</v>
      </c>
      <c r="AD59" s="6">
        <v>0</v>
      </c>
      <c r="AE59" s="6" t="s">
        <v>1405</v>
      </c>
      <c r="AF59" s="6" t="s">
        <v>1405</v>
      </c>
    </row>
    <row r="60" spans="1:32" x14ac:dyDescent="0.2">
      <c r="A60" s="3" t="s">
        <v>1387</v>
      </c>
      <c r="B60" s="9" t="s">
        <v>1443</v>
      </c>
      <c r="C60" s="6">
        <v>59</v>
      </c>
      <c r="D60" s="9">
        <v>30</v>
      </c>
      <c r="E60" s="9" t="s">
        <v>1457</v>
      </c>
      <c r="F60" s="10" t="s">
        <v>1445</v>
      </c>
      <c r="G60" s="9" t="s">
        <v>1458</v>
      </c>
      <c r="H60" s="9" t="s">
        <v>135</v>
      </c>
      <c r="I60" s="9" t="s">
        <v>1411</v>
      </c>
      <c r="J60" s="9" t="s">
        <v>1403</v>
      </c>
      <c r="K60" s="8" t="s">
        <v>1476</v>
      </c>
      <c r="L60" s="11" t="s">
        <v>1474</v>
      </c>
      <c r="M60" s="11" t="s">
        <v>1475</v>
      </c>
      <c r="N60" s="11" t="s">
        <v>1450</v>
      </c>
      <c r="O60" s="11" t="s">
        <v>1405</v>
      </c>
      <c r="P60" s="11" t="s">
        <v>1395</v>
      </c>
      <c r="Q60" s="11" t="s">
        <v>1452</v>
      </c>
      <c r="R60" s="11">
        <v>1</v>
      </c>
      <c r="S60" s="11" t="s">
        <v>1453</v>
      </c>
      <c r="T60" s="11" t="s">
        <v>1454</v>
      </c>
      <c r="U60" s="11" t="s">
        <v>1406</v>
      </c>
      <c r="V60" s="11">
        <v>16</v>
      </c>
      <c r="W60" s="11" t="b">
        <v>1</v>
      </c>
      <c r="X60" s="11">
        <v>240808</v>
      </c>
      <c r="Y60" s="11" t="s">
        <v>1405</v>
      </c>
      <c r="Z60" s="11">
        <v>0</v>
      </c>
      <c r="AA60" s="11">
        <v>0</v>
      </c>
      <c r="AB60" s="11" t="s">
        <v>1405</v>
      </c>
      <c r="AC60" s="11" t="s">
        <v>1405</v>
      </c>
      <c r="AD60" s="11">
        <v>0</v>
      </c>
      <c r="AE60" s="11" t="s">
        <v>1405</v>
      </c>
      <c r="AF60" s="11" t="s">
        <v>1405</v>
      </c>
    </row>
    <row r="61" spans="1:32" x14ac:dyDescent="0.2">
      <c r="A61" s="3" t="s">
        <v>1951</v>
      </c>
      <c r="B61" s="6" t="s">
        <v>1443</v>
      </c>
      <c r="C61" s="6">
        <v>60</v>
      </c>
      <c r="D61" s="7">
        <v>31</v>
      </c>
      <c r="E61" s="6" t="s">
        <v>1444</v>
      </c>
      <c r="F61" s="6" t="s">
        <v>1445</v>
      </c>
      <c r="G61" s="6" t="s">
        <v>1446</v>
      </c>
      <c r="H61" s="6" t="s">
        <v>71</v>
      </c>
      <c r="I61" s="6" t="s">
        <v>1415</v>
      </c>
      <c r="J61" s="6" t="s">
        <v>1403</v>
      </c>
      <c r="K61" s="8" t="s">
        <v>1477</v>
      </c>
      <c r="L61" s="6" t="s">
        <v>1474</v>
      </c>
      <c r="M61" s="6" t="s">
        <v>1475</v>
      </c>
      <c r="N61" s="6" t="s">
        <v>1450</v>
      </c>
      <c r="O61" s="6" t="s">
        <v>1405</v>
      </c>
      <c r="P61" s="6" t="s">
        <v>1395</v>
      </c>
      <c r="Q61" s="6" t="s">
        <v>1456</v>
      </c>
      <c r="R61" s="6">
        <v>2</v>
      </c>
      <c r="S61" s="6" t="s">
        <v>1453</v>
      </c>
      <c r="T61" s="6" t="s">
        <v>1454</v>
      </c>
      <c r="U61" s="6" t="s">
        <v>1406</v>
      </c>
      <c r="V61" s="6">
        <v>16</v>
      </c>
      <c r="W61" s="6" t="b">
        <v>1</v>
      </c>
      <c r="X61" s="6">
        <v>240808</v>
      </c>
      <c r="Y61" s="6" t="s">
        <v>1405</v>
      </c>
      <c r="Z61" s="6">
        <v>0</v>
      </c>
      <c r="AA61" s="6">
        <v>0</v>
      </c>
      <c r="AB61" s="6" t="s">
        <v>1405</v>
      </c>
      <c r="AC61" s="6" t="s">
        <v>1405</v>
      </c>
      <c r="AD61" s="6">
        <v>0</v>
      </c>
      <c r="AE61" s="6" t="s">
        <v>1405</v>
      </c>
      <c r="AF61" s="6" t="s">
        <v>1405</v>
      </c>
    </row>
    <row r="62" spans="1:32" x14ac:dyDescent="0.2">
      <c r="A62" s="3" t="s">
        <v>1388</v>
      </c>
      <c r="B62" s="9" t="s">
        <v>1443</v>
      </c>
      <c r="C62" s="6">
        <v>61</v>
      </c>
      <c r="D62" s="9">
        <v>31</v>
      </c>
      <c r="E62" s="9" t="s">
        <v>1457</v>
      </c>
      <c r="F62" s="10" t="s">
        <v>1445</v>
      </c>
      <c r="G62" s="9" t="s">
        <v>1458</v>
      </c>
      <c r="H62" s="9" t="s">
        <v>136</v>
      </c>
      <c r="I62" s="9" t="s">
        <v>1411</v>
      </c>
      <c r="J62" s="9" t="s">
        <v>1403</v>
      </c>
      <c r="K62" s="8" t="s">
        <v>1478</v>
      </c>
      <c r="L62" s="11" t="s">
        <v>1474</v>
      </c>
      <c r="M62" s="11" t="s">
        <v>1475</v>
      </c>
      <c r="N62" s="11" t="s">
        <v>1450</v>
      </c>
      <c r="O62" s="11" t="s">
        <v>1405</v>
      </c>
      <c r="P62" s="11" t="s">
        <v>1395</v>
      </c>
      <c r="Q62" s="11" t="s">
        <v>1456</v>
      </c>
      <c r="R62" s="11">
        <v>2</v>
      </c>
      <c r="S62" s="11" t="s">
        <v>1453</v>
      </c>
      <c r="T62" s="11" t="s">
        <v>1454</v>
      </c>
      <c r="U62" s="11" t="s">
        <v>1406</v>
      </c>
      <c r="V62" s="11">
        <v>16</v>
      </c>
      <c r="W62" s="11" t="b">
        <v>1</v>
      </c>
      <c r="X62" s="11">
        <v>240808</v>
      </c>
      <c r="Y62" s="11" t="s">
        <v>1405</v>
      </c>
      <c r="Z62" s="11">
        <v>0</v>
      </c>
      <c r="AA62" s="11">
        <v>0</v>
      </c>
      <c r="AB62" s="11" t="s">
        <v>1405</v>
      </c>
      <c r="AC62" s="11" t="s">
        <v>1405</v>
      </c>
      <c r="AD62" s="11">
        <v>0</v>
      </c>
      <c r="AE62" s="11" t="s">
        <v>1405</v>
      </c>
      <c r="AF62" s="11" t="s">
        <v>1405</v>
      </c>
    </row>
    <row r="63" spans="1:32" x14ac:dyDescent="0.2">
      <c r="A63" s="3" t="s">
        <v>1952</v>
      </c>
      <c r="B63" s="6" t="s">
        <v>1443</v>
      </c>
      <c r="C63" s="6">
        <v>62</v>
      </c>
      <c r="D63" s="7">
        <v>32</v>
      </c>
      <c r="E63" s="6" t="s">
        <v>1444</v>
      </c>
      <c r="F63" s="6" t="s">
        <v>1445</v>
      </c>
      <c r="G63" s="6" t="s">
        <v>1446</v>
      </c>
      <c r="H63" s="6" t="s">
        <v>72</v>
      </c>
      <c r="I63" s="6" t="s">
        <v>1415</v>
      </c>
      <c r="J63" s="6" t="s">
        <v>1403</v>
      </c>
      <c r="K63" s="8" t="s">
        <v>1479</v>
      </c>
      <c r="L63" s="6" t="s">
        <v>1474</v>
      </c>
      <c r="M63" s="6" t="s">
        <v>1475</v>
      </c>
      <c r="N63" s="6" t="s">
        <v>1450</v>
      </c>
      <c r="O63" s="6" t="s">
        <v>1405</v>
      </c>
      <c r="P63" s="6" t="s">
        <v>1395</v>
      </c>
      <c r="Q63" s="6" t="s">
        <v>1461</v>
      </c>
      <c r="R63" s="6">
        <v>3</v>
      </c>
      <c r="S63" s="6" t="s">
        <v>1453</v>
      </c>
      <c r="T63" s="6" t="s">
        <v>1454</v>
      </c>
      <c r="U63" s="6" t="s">
        <v>1406</v>
      </c>
      <c r="V63" s="6">
        <v>16</v>
      </c>
      <c r="W63" s="6" t="b">
        <v>1</v>
      </c>
      <c r="X63" s="6">
        <v>240808</v>
      </c>
      <c r="Y63" s="6" t="s">
        <v>1405</v>
      </c>
      <c r="Z63" s="6">
        <v>0</v>
      </c>
      <c r="AA63" s="6">
        <v>0</v>
      </c>
      <c r="AB63" s="6" t="s">
        <v>1405</v>
      </c>
      <c r="AC63" s="6" t="s">
        <v>1405</v>
      </c>
      <c r="AD63" s="6">
        <v>0</v>
      </c>
      <c r="AE63" s="6" t="s">
        <v>1405</v>
      </c>
      <c r="AF63" s="6" t="s">
        <v>1405</v>
      </c>
    </row>
    <row r="64" spans="1:32" x14ac:dyDescent="0.2">
      <c r="A64" s="3" t="s">
        <v>1389</v>
      </c>
      <c r="B64" s="9" t="s">
        <v>1443</v>
      </c>
      <c r="C64" s="6">
        <v>63</v>
      </c>
      <c r="D64" s="9">
        <v>32</v>
      </c>
      <c r="E64" s="9" t="s">
        <v>1457</v>
      </c>
      <c r="F64" s="10" t="s">
        <v>1445</v>
      </c>
      <c r="G64" s="9" t="s">
        <v>1458</v>
      </c>
      <c r="H64" s="9" t="s">
        <v>137</v>
      </c>
      <c r="I64" s="9" t="s">
        <v>1411</v>
      </c>
      <c r="J64" s="9" t="s">
        <v>1403</v>
      </c>
      <c r="K64" s="8" t="s">
        <v>1480</v>
      </c>
      <c r="L64" s="11" t="s">
        <v>1474</v>
      </c>
      <c r="M64" s="11" t="s">
        <v>1475</v>
      </c>
      <c r="N64" s="11" t="s">
        <v>1450</v>
      </c>
      <c r="O64" s="11" t="s">
        <v>1405</v>
      </c>
      <c r="P64" s="11" t="s">
        <v>1395</v>
      </c>
      <c r="Q64" s="11" t="s">
        <v>1461</v>
      </c>
      <c r="R64" s="11">
        <v>3</v>
      </c>
      <c r="S64" s="11" t="s">
        <v>1453</v>
      </c>
      <c r="T64" s="11" t="s">
        <v>1454</v>
      </c>
      <c r="U64" s="11" t="s">
        <v>1406</v>
      </c>
      <c r="V64" s="11">
        <v>16</v>
      </c>
      <c r="W64" s="11" t="b">
        <v>1</v>
      </c>
      <c r="X64" s="11">
        <v>240808</v>
      </c>
      <c r="Y64" s="11" t="s">
        <v>1405</v>
      </c>
      <c r="Z64" s="11">
        <v>0</v>
      </c>
      <c r="AA64" s="11">
        <v>0</v>
      </c>
      <c r="AB64" s="11" t="s">
        <v>1405</v>
      </c>
      <c r="AC64" s="11" t="s">
        <v>1405</v>
      </c>
      <c r="AD64" s="11">
        <v>0</v>
      </c>
      <c r="AE64" s="11" t="s">
        <v>1405</v>
      </c>
      <c r="AF64" s="11" t="s">
        <v>1405</v>
      </c>
    </row>
    <row r="65" spans="1:32" x14ac:dyDescent="0.2">
      <c r="A65" s="3" t="s">
        <v>1953</v>
      </c>
      <c r="B65" s="6" t="s">
        <v>1443</v>
      </c>
      <c r="C65" s="6">
        <v>64</v>
      </c>
      <c r="D65" s="7">
        <v>33</v>
      </c>
      <c r="E65" s="6" t="s">
        <v>1444</v>
      </c>
      <c r="F65" s="6" t="s">
        <v>1445</v>
      </c>
      <c r="G65" s="6" t="s">
        <v>1446</v>
      </c>
      <c r="H65" s="6" t="s">
        <v>73</v>
      </c>
      <c r="I65" s="6" t="s">
        <v>1415</v>
      </c>
      <c r="J65" s="6" t="s">
        <v>1403</v>
      </c>
      <c r="K65" s="8" t="s">
        <v>1481</v>
      </c>
      <c r="L65" s="6" t="s">
        <v>1474</v>
      </c>
      <c r="M65" s="6" t="s">
        <v>1475</v>
      </c>
      <c r="N65" s="6" t="s">
        <v>1450</v>
      </c>
      <c r="O65" s="6" t="s">
        <v>1405</v>
      </c>
      <c r="P65" s="6" t="s">
        <v>1395</v>
      </c>
      <c r="Q65" s="6" t="s">
        <v>1471</v>
      </c>
      <c r="R65" s="6">
        <v>4</v>
      </c>
      <c r="S65" s="6" t="s">
        <v>1453</v>
      </c>
      <c r="T65" s="6" t="s">
        <v>1454</v>
      </c>
      <c r="U65" s="6" t="s">
        <v>1406</v>
      </c>
      <c r="V65" s="6">
        <v>16</v>
      </c>
      <c r="W65" s="6" t="b">
        <v>1</v>
      </c>
      <c r="X65" s="6">
        <v>240808</v>
      </c>
      <c r="Y65" s="6" t="s">
        <v>1405</v>
      </c>
      <c r="Z65" s="6">
        <v>0</v>
      </c>
      <c r="AA65" s="6">
        <v>0</v>
      </c>
      <c r="AB65" s="6" t="s">
        <v>1405</v>
      </c>
      <c r="AC65" s="6" t="s">
        <v>1405</v>
      </c>
      <c r="AD65" s="6">
        <v>0</v>
      </c>
      <c r="AE65" s="6" t="s">
        <v>1405</v>
      </c>
      <c r="AF65" s="6" t="s">
        <v>1405</v>
      </c>
    </row>
    <row r="66" spans="1:32" x14ac:dyDescent="0.2">
      <c r="A66" s="3" t="s">
        <v>1390</v>
      </c>
      <c r="B66" s="9" t="s">
        <v>1443</v>
      </c>
      <c r="C66" s="6">
        <v>65</v>
      </c>
      <c r="D66" s="9">
        <v>33</v>
      </c>
      <c r="E66" s="9" t="s">
        <v>1457</v>
      </c>
      <c r="F66" s="10" t="s">
        <v>1445</v>
      </c>
      <c r="G66" s="9" t="s">
        <v>1458</v>
      </c>
      <c r="H66" s="9" t="s">
        <v>138</v>
      </c>
      <c r="I66" s="9" t="s">
        <v>1411</v>
      </c>
      <c r="J66" s="9" t="s">
        <v>1403</v>
      </c>
      <c r="K66" s="8" t="s">
        <v>1482</v>
      </c>
      <c r="L66" s="11" t="s">
        <v>1474</v>
      </c>
      <c r="M66" s="11" t="s">
        <v>1475</v>
      </c>
      <c r="N66" s="11" t="s">
        <v>1450</v>
      </c>
      <c r="O66" s="11" t="s">
        <v>1405</v>
      </c>
      <c r="P66" s="11" t="s">
        <v>1395</v>
      </c>
      <c r="Q66" s="11" t="s">
        <v>1471</v>
      </c>
      <c r="R66" s="11">
        <v>4</v>
      </c>
      <c r="S66" s="11" t="s">
        <v>1453</v>
      </c>
      <c r="T66" s="11" t="s">
        <v>1454</v>
      </c>
      <c r="U66" s="11" t="s">
        <v>1406</v>
      </c>
      <c r="V66" s="11">
        <v>16</v>
      </c>
      <c r="W66" s="11" t="b">
        <v>1</v>
      </c>
      <c r="X66" s="11">
        <v>240808</v>
      </c>
      <c r="Y66" s="11" t="s">
        <v>1405</v>
      </c>
      <c r="Z66" s="11">
        <v>0</v>
      </c>
      <c r="AA66" s="11">
        <v>0</v>
      </c>
      <c r="AB66" s="11" t="s">
        <v>1405</v>
      </c>
      <c r="AC66" s="11" t="s">
        <v>1405</v>
      </c>
      <c r="AD66" s="11">
        <v>0</v>
      </c>
      <c r="AE66" s="11" t="s">
        <v>1405</v>
      </c>
      <c r="AF66" s="11" t="s">
        <v>1405</v>
      </c>
    </row>
    <row r="67" spans="1:32" x14ac:dyDescent="0.2">
      <c r="A67" s="3" t="s">
        <v>1954</v>
      </c>
      <c r="B67" s="6" t="s">
        <v>1443</v>
      </c>
      <c r="C67" s="6">
        <v>66</v>
      </c>
      <c r="D67" s="7">
        <v>34</v>
      </c>
      <c r="E67" s="6" t="s">
        <v>1444</v>
      </c>
      <c r="F67" s="6" t="s">
        <v>1445</v>
      </c>
      <c r="G67" s="6" t="s">
        <v>1446</v>
      </c>
      <c r="H67" s="6" t="s">
        <v>74</v>
      </c>
      <c r="I67" s="6" t="s">
        <v>1415</v>
      </c>
      <c r="J67" s="6" t="s">
        <v>1397</v>
      </c>
      <c r="K67" s="8" t="s">
        <v>1447</v>
      </c>
      <c r="L67" s="6" t="s">
        <v>1448</v>
      </c>
      <c r="M67" s="6" t="s">
        <v>1449</v>
      </c>
      <c r="N67" s="6" t="s">
        <v>1397</v>
      </c>
      <c r="O67" s="6" t="s">
        <v>1405</v>
      </c>
      <c r="P67" s="6" t="s">
        <v>1451</v>
      </c>
      <c r="Q67" s="6" t="s">
        <v>1452</v>
      </c>
      <c r="R67" s="6">
        <v>1</v>
      </c>
      <c r="S67" s="6" t="s">
        <v>1453</v>
      </c>
      <c r="T67" s="6" t="s">
        <v>1454</v>
      </c>
      <c r="U67" s="6" t="s">
        <v>1406</v>
      </c>
      <c r="V67" s="6">
        <v>16</v>
      </c>
      <c r="W67" s="6" t="b">
        <v>1</v>
      </c>
      <c r="X67" s="6">
        <v>240808</v>
      </c>
      <c r="Y67" s="6" t="s">
        <v>1405</v>
      </c>
      <c r="Z67" s="6">
        <v>0</v>
      </c>
      <c r="AA67" s="6">
        <v>0</v>
      </c>
      <c r="AB67" s="6" t="s">
        <v>1405</v>
      </c>
      <c r="AC67" s="6" t="s">
        <v>1405</v>
      </c>
      <c r="AD67" s="6">
        <v>0</v>
      </c>
      <c r="AE67" s="6" t="s">
        <v>1405</v>
      </c>
      <c r="AF67" s="6" t="s">
        <v>1405</v>
      </c>
    </row>
    <row r="68" spans="1:32" x14ac:dyDescent="0.2">
      <c r="A68" s="3" t="s">
        <v>1337</v>
      </c>
      <c r="B68" s="9" t="s">
        <v>1443</v>
      </c>
      <c r="C68" s="6">
        <v>67</v>
      </c>
      <c r="D68" s="9">
        <v>34</v>
      </c>
      <c r="E68" s="9" t="s">
        <v>1457</v>
      </c>
      <c r="F68" s="10" t="s">
        <v>1445</v>
      </c>
      <c r="G68" s="9" t="s">
        <v>1458</v>
      </c>
      <c r="H68" s="9" t="s">
        <v>74</v>
      </c>
      <c r="I68" s="9" t="s">
        <v>1410</v>
      </c>
      <c r="J68" s="9" t="s">
        <v>1397</v>
      </c>
      <c r="K68" s="8" t="s">
        <v>1483</v>
      </c>
      <c r="L68" s="11" t="s">
        <v>1448</v>
      </c>
      <c r="M68" s="11" t="s">
        <v>1449</v>
      </c>
      <c r="N68" s="11" t="s">
        <v>1397</v>
      </c>
      <c r="O68" s="11" t="s">
        <v>1405</v>
      </c>
      <c r="P68" s="11" t="s">
        <v>1451</v>
      </c>
      <c r="Q68" s="11" t="s">
        <v>1452</v>
      </c>
      <c r="R68" s="11">
        <v>1</v>
      </c>
      <c r="S68" s="11" t="s">
        <v>1453</v>
      </c>
      <c r="T68" s="11" t="s">
        <v>1454</v>
      </c>
      <c r="U68" s="11" t="s">
        <v>1406</v>
      </c>
      <c r="V68" s="11">
        <v>16</v>
      </c>
      <c r="W68" s="11" t="b">
        <v>1</v>
      </c>
      <c r="X68" s="11">
        <v>240808</v>
      </c>
      <c r="Y68" s="11" t="s">
        <v>1405</v>
      </c>
      <c r="Z68" s="11">
        <v>0</v>
      </c>
      <c r="AA68" s="11">
        <v>0</v>
      </c>
      <c r="AB68" s="11" t="s">
        <v>1405</v>
      </c>
      <c r="AC68" s="11" t="s">
        <v>1405</v>
      </c>
      <c r="AD68" s="11">
        <v>0</v>
      </c>
      <c r="AE68" s="11" t="s">
        <v>1405</v>
      </c>
      <c r="AF68" s="11" t="s">
        <v>1405</v>
      </c>
    </row>
    <row r="69" spans="1:32" x14ac:dyDescent="0.2">
      <c r="A69" s="3" t="s">
        <v>1955</v>
      </c>
      <c r="B69" s="6" t="s">
        <v>1443</v>
      </c>
      <c r="C69" s="6">
        <v>68</v>
      </c>
      <c r="D69" s="7">
        <v>35</v>
      </c>
      <c r="E69" s="6" t="s">
        <v>1444</v>
      </c>
      <c r="F69" s="6" t="s">
        <v>1445</v>
      </c>
      <c r="G69" s="6" t="s">
        <v>1446</v>
      </c>
      <c r="H69" s="6" t="s">
        <v>75</v>
      </c>
      <c r="I69" s="6" t="s">
        <v>1415</v>
      </c>
      <c r="J69" s="6" t="s">
        <v>1397</v>
      </c>
      <c r="K69" s="8" t="s">
        <v>1455</v>
      </c>
      <c r="L69" s="6" t="s">
        <v>1448</v>
      </c>
      <c r="M69" s="6" t="s">
        <v>1449</v>
      </c>
      <c r="N69" s="6" t="s">
        <v>1397</v>
      </c>
      <c r="O69" s="6" t="s">
        <v>1405</v>
      </c>
      <c r="P69" s="6" t="s">
        <v>1451</v>
      </c>
      <c r="Q69" s="6" t="s">
        <v>1456</v>
      </c>
      <c r="R69" s="6">
        <v>2</v>
      </c>
      <c r="S69" s="6" t="s">
        <v>1453</v>
      </c>
      <c r="T69" s="6" t="s">
        <v>1454</v>
      </c>
      <c r="U69" s="6" t="s">
        <v>1406</v>
      </c>
      <c r="V69" s="6">
        <v>16</v>
      </c>
      <c r="W69" s="6" t="b">
        <v>1</v>
      </c>
      <c r="X69" s="6">
        <v>240808</v>
      </c>
      <c r="Y69" s="6" t="s">
        <v>1405</v>
      </c>
      <c r="Z69" s="6">
        <v>0</v>
      </c>
      <c r="AA69" s="6">
        <v>0</v>
      </c>
      <c r="AB69" s="6" t="s">
        <v>1405</v>
      </c>
      <c r="AC69" s="6" t="s">
        <v>1405</v>
      </c>
      <c r="AD69" s="6">
        <v>0</v>
      </c>
      <c r="AE69" s="6" t="s">
        <v>1405</v>
      </c>
      <c r="AF69" s="6" t="s">
        <v>1405</v>
      </c>
    </row>
    <row r="70" spans="1:32" x14ac:dyDescent="0.2">
      <c r="A70" s="3" t="s">
        <v>1338</v>
      </c>
      <c r="B70" s="9" t="s">
        <v>1443</v>
      </c>
      <c r="C70" s="6">
        <v>69</v>
      </c>
      <c r="D70" s="9">
        <v>35</v>
      </c>
      <c r="E70" s="9" t="s">
        <v>1457</v>
      </c>
      <c r="F70" s="10" t="s">
        <v>1445</v>
      </c>
      <c r="G70" s="9" t="s">
        <v>1458</v>
      </c>
      <c r="H70" s="9" t="s">
        <v>75</v>
      </c>
      <c r="I70" s="9" t="s">
        <v>1410</v>
      </c>
      <c r="J70" s="9" t="s">
        <v>1397</v>
      </c>
      <c r="K70" s="8" t="s">
        <v>1459</v>
      </c>
      <c r="L70" s="11" t="s">
        <v>1448</v>
      </c>
      <c r="M70" s="11" t="s">
        <v>1449</v>
      </c>
      <c r="N70" s="11" t="s">
        <v>1397</v>
      </c>
      <c r="O70" s="11" t="s">
        <v>1405</v>
      </c>
      <c r="P70" s="11" t="s">
        <v>1451</v>
      </c>
      <c r="Q70" s="11" t="s">
        <v>1456</v>
      </c>
      <c r="R70" s="11">
        <v>2</v>
      </c>
      <c r="S70" s="11" t="s">
        <v>1453</v>
      </c>
      <c r="T70" s="11" t="s">
        <v>1454</v>
      </c>
      <c r="U70" s="11" t="s">
        <v>1406</v>
      </c>
      <c r="V70" s="11">
        <v>16</v>
      </c>
      <c r="W70" s="11" t="b">
        <v>1</v>
      </c>
      <c r="X70" s="11">
        <v>240808</v>
      </c>
      <c r="Y70" s="11" t="s">
        <v>1405</v>
      </c>
      <c r="Z70" s="11">
        <v>0</v>
      </c>
      <c r="AA70" s="11">
        <v>0</v>
      </c>
      <c r="AB70" s="11" t="s">
        <v>1405</v>
      </c>
      <c r="AC70" s="11" t="s">
        <v>1405</v>
      </c>
      <c r="AD70" s="11">
        <v>0</v>
      </c>
      <c r="AE70" s="11" t="s">
        <v>1405</v>
      </c>
      <c r="AF70" s="11" t="s">
        <v>1405</v>
      </c>
    </row>
    <row r="71" spans="1:32" x14ac:dyDescent="0.2">
      <c r="A71" s="3" t="s">
        <v>1956</v>
      </c>
      <c r="B71" s="6" t="s">
        <v>1443</v>
      </c>
      <c r="C71" s="6">
        <v>70</v>
      </c>
      <c r="D71" s="7">
        <v>36</v>
      </c>
      <c r="E71" s="6" t="s">
        <v>1444</v>
      </c>
      <c r="F71" s="6" t="s">
        <v>1445</v>
      </c>
      <c r="G71" s="6" t="s">
        <v>1446</v>
      </c>
      <c r="H71" s="6" t="s">
        <v>76</v>
      </c>
      <c r="I71" s="6" t="s">
        <v>1415</v>
      </c>
      <c r="J71" s="6" t="s">
        <v>1397</v>
      </c>
      <c r="K71" s="8" t="s">
        <v>1460</v>
      </c>
      <c r="L71" s="6" t="s">
        <v>1448</v>
      </c>
      <c r="M71" s="6" t="s">
        <v>1449</v>
      </c>
      <c r="N71" s="6" t="s">
        <v>1397</v>
      </c>
      <c r="O71" s="6" t="s">
        <v>1405</v>
      </c>
      <c r="P71" s="6" t="s">
        <v>1451</v>
      </c>
      <c r="Q71" s="6" t="s">
        <v>1461</v>
      </c>
      <c r="R71" s="6">
        <v>3</v>
      </c>
      <c r="S71" s="6" t="s">
        <v>1453</v>
      </c>
      <c r="T71" s="6" t="s">
        <v>1454</v>
      </c>
      <c r="U71" s="6" t="s">
        <v>1406</v>
      </c>
      <c r="V71" s="6">
        <v>16</v>
      </c>
      <c r="W71" s="6" t="b">
        <v>1</v>
      </c>
      <c r="X71" s="6">
        <v>240808</v>
      </c>
      <c r="Y71" s="6" t="s">
        <v>1405</v>
      </c>
      <c r="Z71" s="6">
        <v>0</v>
      </c>
      <c r="AA71" s="6">
        <v>0</v>
      </c>
      <c r="AB71" s="6" t="s">
        <v>1405</v>
      </c>
      <c r="AC71" s="6" t="s">
        <v>1405</v>
      </c>
      <c r="AD71" s="6">
        <v>0</v>
      </c>
      <c r="AE71" s="6" t="s">
        <v>1405</v>
      </c>
      <c r="AF71" s="6" t="s">
        <v>1405</v>
      </c>
    </row>
    <row r="72" spans="1:32" x14ac:dyDescent="0.2">
      <c r="A72" s="3" t="s">
        <v>1339</v>
      </c>
      <c r="B72" s="9" t="s">
        <v>1443</v>
      </c>
      <c r="C72" s="6">
        <v>71</v>
      </c>
      <c r="D72" s="9">
        <v>36</v>
      </c>
      <c r="E72" s="9" t="s">
        <v>1457</v>
      </c>
      <c r="F72" s="10" t="s">
        <v>1445</v>
      </c>
      <c r="G72" s="9" t="s">
        <v>1458</v>
      </c>
      <c r="H72" s="9" t="s">
        <v>76</v>
      </c>
      <c r="I72" s="9" t="s">
        <v>1410</v>
      </c>
      <c r="J72" s="9" t="s">
        <v>1397</v>
      </c>
      <c r="K72" s="8" t="s">
        <v>1462</v>
      </c>
      <c r="L72" s="11" t="s">
        <v>1448</v>
      </c>
      <c r="M72" s="11" t="s">
        <v>1449</v>
      </c>
      <c r="N72" s="11" t="s">
        <v>1397</v>
      </c>
      <c r="O72" s="11" t="s">
        <v>1405</v>
      </c>
      <c r="P72" s="11" t="s">
        <v>1451</v>
      </c>
      <c r="Q72" s="11" t="s">
        <v>1461</v>
      </c>
      <c r="R72" s="11">
        <v>3</v>
      </c>
      <c r="S72" s="11" t="s">
        <v>1453</v>
      </c>
      <c r="T72" s="11" t="s">
        <v>1454</v>
      </c>
      <c r="U72" s="11" t="s">
        <v>1406</v>
      </c>
      <c r="V72" s="11">
        <v>16</v>
      </c>
      <c r="W72" s="11" t="b">
        <v>1</v>
      </c>
      <c r="X72" s="11">
        <v>240808</v>
      </c>
      <c r="Y72" s="11" t="s">
        <v>1405</v>
      </c>
      <c r="Z72" s="11">
        <v>0</v>
      </c>
      <c r="AA72" s="11">
        <v>0</v>
      </c>
      <c r="AB72" s="11" t="s">
        <v>1405</v>
      </c>
      <c r="AC72" s="11" t="s">
        <v>1405</v>
      </c>
      <c r="AD72" s="11">
        <v>0</v>
      </c>
      <c r="AE72" s="11" t="s">
        <v>1405</v>
      </c>
      <c r="AF72" s="11" t="s">
        <v>1405</v>
      </c>
    </row>
    <row r="73" spans="1:32" x14ac:dyDescent="0.2">
      <c r="A73" s="3" t="s">
        <v>1957</v>
      </c>
      <c r="B73" s="6" t="s">
        <v>1443</v>
      </c>
      <c r="C73" s="6">
        <v>72</v>
      </c>
      <c r="D73" s="7">
        <v>37</v>
      </c>
      <c r="E73" s="6" t="s">
        <v>1444</v>
      </c>
      <c r="F73" s="6" t="s">
        <v>1445</v>
      </c>
      <c r="G73" s="6" t="s">
        <v>1446</v>
      </c>
      <c r="H73" s="6" t="s">
        <v>77</v>
      </c>
      <c r="I73" s="6" t="s">
        <v>1415</v>
      </c>
      <c r="J73" s="6" t="s">
        <v>1397</v>
      </c>
      <c r="K73" s="8" t="s">
        <v>1463</v>
      </c>
      <c r="L73" s="6" t="s">
        <v>1394</v>
      </c>
      <c r="M73" s="6" t="s">
        <v>1464</v>
      </c>
      <c r="N73" s="6" t="s">
        <v>1397</v>
      </c>
      <c r="O73" s="6" t="s">
        <v>1405</v>
      </c>
      <c r="P73" s="6" t="s">
        <v>1395</v>
      </c>
      <c r="Q73" s="6" t="s">
        <v>1452</v>
      </c>
      <c r="R73" s="6">
        <v>1</v>
      </c>
      <c r="S73" s="6" t="s">
        <v>1453</v>
      </c>
      <c r="T73" s="6" t="s">
        <v>1454</v>
      </c>
      <c r="U73" s="6" t="s">
        <v>1406</v>
      </c>
      <c r="V73" s="6">
        <v>16</v>
      </c>
      <c r="W73" s="6" t="b">
        <v>1</v>
      </c>
      <c r="X73" s="6">
        <v>240808</v>
      </c>
      <c r="Y73" s="6" t="s">
        <v>1405</v>
      </c>
      <c r="Z73" s="6">
        <v>0</v>
      </c>
      <c r="AA73" s="6">
        <v>0</v>
      </c>
      <c r="AB73" s="6" t="s">
        <v>1405</v>
      </c>
      <c r="AC73" s="6" t="s">
        <v>1405</v>
      </c>
      <c r="AD73" s="6">
        <v>0</v>
      </c>
      <c r="AE73" s="6" t="s">
        <v>1405</v>
      </c>
      <c r="AF73" s="6" t="s">
        <v>1405</v>
      </c>
    </row>
    <row r="74" spans="1:32" x14ac:dyDescent="0.2">
      <c r="A74" s="3" t="s">
        <v>1340</v>
      </c>
      <c r="B74" s="9" t="s">
        <v>1443</v>
      </c>
      <c r="C74" s="6">
        <v>73</v>
      </c>
      <c r="D74" s="9">
        <v>37</v>
      </c>
      <c r="E74" s="9" t="s">
        <v>1457</v>
      </c>
      <c r="F74" s="10" t="s">
        <v>1445</v>
      </c>
      <c r="G74" s="9" t="s">
        <v>1458</v>
      </c>
      <c r="H74" s="9" t="s">
        <v>77</v>
      </c>
      <c r="I74" s="9" t="s">
        <v>1410</v>
      </c>
      <c r="J74" s="9" t="s">
        <v>1397</v>
      </c>
      <c r="K74" s="8" t="s">
        <v>1465</v>
      </c>
      <c r="L74" s="11" t="s">
        <v>1394</v>
      </c>
      <c r="M74" s="11" t="s">
        <v>1464</v>
      </c>
      <c r="N74" s="11" t="s">
        <v>1397</v>
      </c>
      <c r="O74" s="11" t="s">
        <v>1405</v>
      </c>
      <c r="P74" s="11" t="s">
        <v>1395</v>
      </c>
      <c r="Q74" s="11" t="s">
        <v>1452</v>
      </c>
      <c r="R74" s="11">
        <v>1</v>
      </c>
      <c r="S74" s="11" t="s">
        <v>1453</v>
      </c>
      <c r="T74" s="11" t="s">
        <v>1454</v>
      </c>
      <c r="U74" s="11" t="s">
        <v>1406</v>
      </c>
      <c r="V74" s="11">
        <v>16</v>
      </c>
      <c r="W74" s="11" t="b">
        <v>1</v>
      </c>
      <c r="X74" s="11">
        <v>240808</v>
      </c>
      <c r="Y74" s="11" t="s">
        <v>1405</v>
      </c>
      <c r="Z74" s="11">
        <v>0</v>
      </c>
      <c r="AA74" s="11">
        <v>0</v>
      </c>
      <c r="AB74" s="11" t="s">
        <v>1405</v>
      </c>
      <c r="AC74" s="11" t="s">
        <v>1405</v>
      </c>
      <c r="AD74" s="11">
        <v>0</v>
      </c>
      <c r="AE74" s="11" t="s">
        <v>1405</v>
      </c>
      <c r="AF74" s="11" t="s">
        <v>1405</v>
      </c>
    </row>
    <row r="75" spans="1:32" x14ac:dyDescent="0.2">
      <c r="A75" s="3" t="s">
        <v>1958</v>
      </c>
      <c r="B75" s="6" t="s">
        <v>1443</v>
      </c>
      <c r="C75" s="6">
        <v>74</v>
      </c>
      <c r="D75" s="7">
        <v>38</v>
      </c>
      <c r="E75" s="6" t="s">
        <v>1444</v>
      </c>
      <c r="F75" s="6" t="s">
        <v>1445</v>
      </c>
      <c r="G75" s="6" t="s">
        <v>1446</v>
      </c>
      <c r="H75" s="6" t="s">
        <v>79</v>
      </c>
      <c r="I75" s="6" t="s">
        <v>1415</v>
      </c>
      <c r="J75" s="6" t="s">
        <v>1397</v>
      </c>
      <c r="K75" s="8" t="s">
        <v>1466</v>
      </c>
      <c r="L75" s="6" t="s">
        <v>1394</v>
      </c>
      <c r="M75" s="6" t="s">
        <v>1464</v>
      </c>
      <c r="N75" s="6" t="s">
        <v>1397</v>
      </c>
      <c r="O75" s="6" t="s">
        <v>1405</v>
      </c>
      <c r="P75" s="6" t="s">
        <v>1395</v>
      </c>
      <c r="Q75" s="6" t="s">
        <v>1456</v>
      </c>
      <c r="R75" s="6">
        <v>2</v>
      </c>
      <c r="S75" s="6" t="s">
        <v>1453</v>
      </c>
      <c r="T75" s="6" t="s">
        <v>1454</v>
      </c>
      <c r="U75" s="6" t="s">
        <v>1406</v>
      </c>
      <c r="V75" s="6">
        <v>16</v>
      </c>
      <c r="W75" s="6" t="b">
        <v>1</v>
      </c>
      <c r="X75" s="6">
        <v>240808</v>
      </c>
      <c r="Y75" s="6" t="s">
        <v>1405</v>
      </c>
      <c r="Z75" s="6">
        <v>0</v>
      </c>
      <c r="AA75" s="6">
        <v>0</v>
      </c>
      <c r="AB75" s="6" t="s">
        <v>1405</v>
      </c>
      <c r="AC75" s="6" t="s">
        <v>1405</v>
      </c>
      <c r="AD75" s="6">
        <v>0</v>
      </c>
      <c r="AE75" s="6" t="s">
        <v>1405</v>
      </c>
      <c r="AF75" s="6" t="s">
        <v>1405</v>
      </c>
    </row>
    <row r="76" spans="1:32" x14ac:dyDescent="0.2">
      <c r="A76" s="3" t="s">
        <v>1341</v>
      </c>
      <c r="B76" s="9" t="s">
        <v>1443</v>
      </c>
      <c r="C76" s="6">
        <v>75</v>
      </c>
      <c r="D76" s="9">
        <v>38</v>
      </c>
      <c r="E76" s="9" t="s">
        <v>1457</v>
      </c>
      <c r="F76" s="10" t="s">
        <v>1445</v>
      </c>
      <c r="G76" s="9" t="s">
        <v>1458</v>
      </c>
      <c r="H76" s="9" t="s">
        <v>79</v>
      </c>
      <c r="I76" s="9" t="s">
        <v>1410</v>
      </c>
      <c r="J76" s="9" t="s">
        <v>1397</v>
      </c>
      <c r="K76" s="8" t="s">
        <v>1467</v>
      </c>
      <c r="L76" s="11" t="s">
        <v>1394</v>
      </c>
      <c r="M76" s="11" t="s">
        <v>1464</v>
      </c>
      <c r="N76" s="11" t="s">
        <v>1397</v>
      </c>
      <c r="O76" s="11" t="s">
        <v>1405</v>
      </c>
      <c r="P76" s="11" t="s">
        <v>1395</v>
      </c>
      <c r="Q76" s="11" t="s">
        <v>1456</v>
      </c>
      <c r="R76" s="11">
        <v>2</v>
      </c>
      <c r="S76" s="11" t="s">
        <v>1453</v>
      </c>
      <c r="T76" s="11" t="s">
        <v>1454</v>
      </c>
      <c r="U76" s="11" t="s">
        <v>1406</v>
      </c>
      <c r="V76" s="11">
        <v>16</v>
      </c>
      <c r="W76" s="11" t="b">
        <v>1</v>
      </c>
      <c r="X76" s="11">
        <v>240808</v>
      </c>
      <c r="Y76" s="11" t="s">
        <v>1405</v>
      </c>
      <c r="Z76" s="11">
        <v>0</v>
      </c>
      <c r="AA76" s="11">
        <v>0</v>
      </c>
      <c r="AB76" s="11" t="s">
        <v>1405</v>
      </c>
      <c r="AC76" s="11" t="s">
        <v>1405</v>
      </c>
      <c r="AD76" s="11">
        <v>0</v>
      </c>
      <c r="AE76" s="11" t="s">
        <v>1405</v>
      </c>
      <c r="AF76" s="11" t="s">
        <v>1405</v>
      </c>
    </row>
    <row r="77" spans="1:32" x14ac:dyDescent="0.2">
      <c r="A77" s="3" t="s">
        <v>1959</v>
      </c>
      <c r="B77" s="6" t="s">
        <v>1443</v>
      </c>
      <c r="C77" s="6">
        <v>76</v>
      </c>
      <c r="D77" s="7">
        <v>39</v>
      </c>
      <c r="E77" s="6" t="s">
        <v>1444</v>
      </c>
      <c r="F77" s="6" t="s">
        <v>1445</v>
      </c>
      <c r="G77" s="6" t="s">
        <v>1446</v>
      </c>
      <c r="H77" s="6" t="s">
        <v>80</v>
      </c>
      <c r="I77" s="6" t="s">
        <v>1415</v>
      </c>
      <c r="J77" s="6" t="s">
        <v>1397</v>
      </c>
      <c r="K77" s="8" t="s">
        <v>1468</v>
      </c>
      <c r="L77" s="6" t="s">
        <v>1394</v>
      </c>
      <c r="M77" s="6" t="s">
        <v>1464</v>
      </c>
      <c r="N77" s="6" t="s">
        <v>1397</v>
      </c>
      <c r="O77" s="6" t="s">
        <v>1405</v>
      </c>
      <c r="P77" s="6" t="s">
        <v>1395</v>
      </c>
      <c r="Q77" s="6" t="s">
        <v>1461</v>
      </c>
      <c r="R77" s="6">
        <v>3</v>
      </c>
      <c r="S77" s="6" t="s">
        <v>1453</v>
      </c>
      <c r="T77" s="6" t="s">
        <v>1454</v>
      </c>
      <c r="U77" s="6" t="s">
        <v>1406</v>
      </c>
      <c r="V77" s="6">
        <v>16</v>
      </c>
      <c r="W77" s="6" t="b">
        <v>1</v>
      </c>
      <c r="X77" s="6">
        <v>240808</v>
      </c>
      <c r="Y77" s="6" t="s">
        <v>1405</v>
      </c>
      <c r="Z77" s="6">
        <v>0</v>
      </c>
      <c r="AA77" s="6">
        <v>0</v>
      </c>
      <c r="AB77" s="6" t="s">
        <v>1405</v>
      </c>
      <c r="AC77" s="6" t="s">
        <v>1405</v>
      </c>
      <c r="AD77" s="6">
        <v>0</v>
      </c>
      <c r="AE77" s="6" t="s">
        <v>1405</v>
      </c>
      <c r="AF77" s="6" t="s">
        <v>1405</v>
      </c>
    </row>
    <row r="78" spans="1:32" x14ac:dyDescent="0.2">
      <c r="A78" s="3" t="s">
        <v>1342</v>
      </c>
      <c r="B78" s="9" t="s">
        <v>1443</v>
      </c>
      <c r="C78" s="6">
        <v>77</v>
      </c>
      <c r="D78" s="9">
        <v>39</v>
      </c>
      <c r="E78" s="9" t="s">
        <v>1457</v>
      </c>
      <c r="F78" s="10" t="s">
        <v>1445</v>
      </c>
      <c r="G78" s="9" t="s">
        <v>1458</v>
      </c>
      <c r="H78" s="9" t="s">
        <v>80</v>
      </c>
      <c r="I78" s="9" t="s">
        <v>1410</v>
      </c>
      <c r="J78" s="9" t="s">
        <v>1397</v>
      </c>
      <c r="K78" s="8" t="s">
        <v>1469</v>
      </c>
      <c r="L78" s="11" t="s">
        <v>1394</v>
      </c>
      <c r="M78" s="11" t="s">
        <v>1464</v>
      </c>
      <c r="N78" s="11" t="s">
        <v>1397</v>
      </c>
      <c r="O78" s="11" t="s">
        <v>1405</v>
      </c>
      <c r="P78" s="11" t="s">
        <v>1395</v>
      </c>
      <c r="Q78" s="11" t="s">
        <v>1461</v>
      </c>
      <c r="R78" s="11">
        <v>3</v>
      </c>
      <c r="S78" s="11" t="s">
        <v>1453</v>
      </c>
      <c r="T78" s="11" t="s">
        <v>1454</v>
      </c>
      <c r="U78" s="11" t="s">
        <v>1406</v>
      </c>
      <c r="V78" s="11">
        <v>16</v>
      </c>
      <c r="W78" s="11" t="b">
        <v>1</v>
      </c>
      <c r="X78" s="11">
        <v>240808</v>
      </c>
      <c r="Y78" s="11" t="s">
        <v>1405</v>
      </c>
      <c r="Z78" s="11">
        <v>0</v>
      </c>
      <c r="AA78" s="11">
        <v>0</v>
      </c>
      <c r="AB78" s="11" t="s">
        <v>1405</v>
      </c>
      <c r="AC78" s="11" t="s">
        <v>1405</v>
      </c>
      <c r="AD78" s="11">
        <v>0</v>
      </c>
      <c r="AE78" s="11" t="s">
        <v>1405</v>
      </c>
      <c r="AF78" s="11" t="s">
        <v>1405</v>
      </c>
    </row>
    <row r="79" spans="1:32" x14ac:dyDescent="0.2">
      <c r="A79" s="3" t="s">
        <v>1960</v>
      </c>
      <c r="B79" s="6" t="s">
        <v>1443</v>
      </c>
      <c r="C79" s="6">
        <v>78</v>
      </c>
      <c r="D79" s="7">
        <v>40</v>
      </c>
      <c r="E79" s="6" t="s">
        <v>1444</v>
      </c>
      <c r="F79" s="6" t="s">
        <v>1445</v>
      </c>
      <c r="G79" s="6" t="s">
        <v>1446</v>
      </c>
      <c r="H79" s="6" t="s">
        <v>81</v>
      </c>
      <c r="I79" s="6" t="s">
        <v>1415</v>
      </c>
      <c r="J79" s="6" t="s">
        <v>1397</v>
      </c>
      <c r="K79" s="8" t="s">
        <v>1470</v>
      </c>
      <c r="L79" s="6" t="s">
        <v>1394</v>
      </c>
      <c r="M79" s="6" t="s">
        <v>1464</v>
      </c>
      <c r="N79" s="6" t="s">
        <v>1397</v>
      </c>
      <c r="O79" s="6" t="s">
        <v>1405</v>
      </c>
      <c r="P79" s="6" t="s">
        <v>1395</v>
      </c>
      <c r="Q79" s="6" t="s">
        <v>1471</v>
      </c>
      <c r="R79" s="6">
        <v>4</v>
      </c>
      <c r="S79" s="6" t="s">
        <v>1453</v>
      </c>
      <c r="T79" s="6" t="s">
        <v>1454</v>
      </c>
      <c r="U79" s="6" t="s">
        <v>1406</v>
      </c>
      <c r="V79" s="6">
        <v>16</v>
      </c>
      <c r="W79" s="6" t="b">
        <v>1</v>
      </c>
      <c r="X79" s="6">
        <v>240808</v>
      </c>
      <c r="Y79" s="6" t="s">
        <v>1405</v>
      </c>
      <c r="Z79" s="6">
        <v>0</v>
      </c>
      <c r="AA79" s="6">
        <v>0</v>
      </c>
      <c r="AB79" s="6" t="s">
        <v>1405</v>
      </c>
      <c r="AC79" s="6" t="s">
        <v>1405</v>
      </c>
      <c r="AD79" s="6">
        <v>0</v>
      </c>
      <c r="AE79" s="6" t="s">
        <v>1405</v>
      </c>
      <c r="AF79" s="6" t="s">
        <v>1405</v>
      </c>
    </row>
    <row r="80" spans="1:32" x14ac:dyDescent="0.2">
      <c r="A80" s="3" t="s">
        <v>1343</v>
      </c>
      <c r="B80" s="9" t="s">
        <v>1443</v>
      </c>
      <c r="C80" s="6">
        <v>79</v>
      </c>
      <c r="D80" s="9">
        <v>40</v>
      </c>
      <c r="E80" s="9" t="s">
        <v>1457</v>
      </c>
      <c r="F80" s="10" t="s">
        <v>1445</v>
      </c>
      <c r="G80" s="9" t="s">
        <v>1458</v>
      </c>
      <c r="H80" s="9" t="s">
        <v>81</v>
      </c>
      <c r="I80" s="9" t="s">
        <v>1410</v>
      </c>
      <c r="J80" s="9" t="s">
        <v>1397</v>
      </c>
      <c r="K80" s="8" t="s">
        <v>1472</v>
      </c>
      <c r="L80" s="11" t="s">
        <v>1394</v>
      </c>
      <c r="M80" s="11" t="s">
        <v>1464</v>
      </c>
      <c r="N80" s="11" t="s">
        <v>1397</v>
      </c>
      <c r="O80" s="11" t="s">
        <v>1405</v>
      </c>
      <c r="P80" s="11" t="s">
        <v>1395</v>
      </c>
      <c r="Q80" s="11" t="s">
        <v>1471</v>
      </c>
      <c r="R80" s="11">
        <v>4</v>
      </c>
      <c r="S80" s="11" t="s">
        <v>1453</v>
      </c>
      <c r="T80" s="11" t="s">
        <v>1454</v>
      </c>
      <c r="U80" s="11" t="s">
        <v>1406</v>
      </c>
      <c r="V80" s="11">
        <v>16</v>
      </c>
      <c r="W80" s="11" t="b">
        <v>1</v>
      </c>
      <c r="X80" s="11">
        <v>240808</v>
      </c>
      <c r="Y80" s="11" t="s">
        <v>1405</v>
      </c>
      <c r="Z80" s="11">
        <v>0</v>
      </c>
      <c r="AA80" s="11">
        <v>0</v>
      </c>
      <c r="AB80" s="11" t="s">
        <v>1405</v>
      </c>
      <c r="AC80" s="11" t="s">
        <v>1405</v>
      </c>
      <c r="AD80" s="11">
        <v>0</v>
      </c>
      <c r="AE80" s="11" t="s">
        <v>1405</v>
      </c>
      <c r="AF80" s="11" t="s">
        <v>1405</v>
      </c>
    </row>
    <row r="81" spans="1:32" x14ac:dyDescent="0.2">
      <c r="A81" s="3" t="s">
        <v>1961</v>
      </c>
      <c r="B81" s="6" t="s">
        <v>1443</v>
      </c>
      <c r="C81" s="6">
        <v>80</v>
      </c>
      <c r="D81" s="7">
        <v>41</v>
      </c>
      <c r="E81" s="6" t="s">
        <v>1444</v>
      </c>
      <c r="F81" s="6" t="s">
        <v>1445</v>
      </c>
      <c r="G81" s="6" t="s">
        <v>1446</v>
      </c>
      <c r="H81" s="6" t="s">
        <v>82</v>
      </c>
      <c r="I81" s="6" t="s">
        <v>1415</v>
      </c>
      <c r="J81" s="6" t="s">
        <v>1397</v>
      </c>
      <c r="K81" s="8" t="s">
        <v>1484</v>
      </c>
      <c r="L81" s="6" t="s">
        <v>1474</v>
      </c>
      <c r="M81" s="6" t="s">
        <v>1475</v>
      </c>
      <c r="N81" s="6" t="s">
        <v>1397</v>
      </c>
      <c r="O81" s="6" t="s">
        <v>1405</v>
      </c>
      <c r="P81" s="6" t="s">
        <v>1395</v>
      </c>
      <c r="Q81" s="6" t="s">
        <v>1452</v>
      </c>
      <c r="R81" s="6">
        <v>1</v>
      </c>
      <c r="S81" s="6" t="s">
        <v>1453</v>
      </c>
      <c r="T81" s="6" t="s">
        <v>1454</v>
      </c>
      <c r="U81" s="6" t="s">
        <v>1406</v>
      </c>
      <c r="V81" s="6">
        <v>16</v>
      </c>
      <c r="W81" s="6" t="b">
        <v>1</v>
      </c>
      <c r="X81" s="6">
        <v>240808</v>
      </c>
      <c r="Y81" s="6" t="s">
        <v>1405</v>
      </c>
      <c r="Z81" s="6">
        <v>0</v>
      </c>
      <c r="AA81" s="6">
        <v>0</v>
      </c>
      <c r="AB81" s="6" t="s">
        <v>1405</v>
      </c>
      <c r="AC81" s="6" t="s">
        <v>1405</v>
      </c>
      <c r="AD81" s="6">
        <v>0</v>
      </c>
      <c r="AE81" s="6" t="s">
        <v>1405</v>
      </c>
      <c r="AF81" s="6" t="s">
        <v>1405</v>
      </c>
    </row>
    <row r="82" spans="1:32" x14ac:dyDescent="0.2">
      <c r="A82" s="3" t="s">
        <v>1344</v>
      </c>
      <c r="B82" s="9" t="s">
        <v>1443</v>
      </c>
      <c r="C82" s="6">
        <v>81</v>
      </c>
      <c r="D82" s="9">
        <v>41</v>
      </c>
      <c r="E82" s="9" t="s">
        <v>1457</v>
      </c>
      <c r="F82" s="10" t="s">
        <v>1445</v>
      </c>
      <c r="G82" s="9" t="s">
        <v>1458</v>
      </c>
      <c r="H82" s="9" t="s">
        <v>82</v>
      </c>
      <c r="I82" s="9" t="s">
        <v>1410</v>
      </c>
      <c r="J82" s="9" t="s">
        <v>1397</v>
      </c>
      <c r="K82" s="8" t="s">
        <v>1476</v>
      </c>
      <c r="L82" s="11" t="s">
        <v>1474</v>
      </c>
      <c r="M82" s="11" t="s">
        <v>1475</v>
      </c>
      <c r="N82" s="11" t="s">
        <v>1397</v>
      </c>
      <c r="O82" s="11" t="s">
        <v>1405</v>
      </c>
      <c r="P82" s="11" t="s">
        <v>1395</v>
      </c>
      <c r="Q82" s="11" t="s">
        <v>1452</v>
      </c>
      <c r="R82" s="11">
        <v>1</v>
      </c>
      <c r="S82" s="11" t="s">
        <v>1453</v>
      </c>
      <c r="T82" s="11" t="s">
        <v>1454</v>
      </c>
      <c r="U82" s="11" t="s">
        <v>1406</v>
      </c>
      <c r="V82" s="11">
        <v>16</v>
      </c>
      <c r="W82" s="11" t="b">
        <v>1</v>
      </c>
      <c r="X82" s="11">
        <v>240808</v>
      </c>
      <c r="Y82" s="11" t="s">
        <v>1405</v>
      </c>
      <c r="Z82" s="11">
        <v>0</v>
      </c>
      <c r="AA82" s="11">
        <v>0</v>
      </c>
      <c r="AB82" s="11" t="s">
        <v>1405</v>
      </c>
      <c r="AC82" s="11" t="s">
        <v>1405</v>
      </c>
      <c r="AD82" s="11">
        <v>0</v>
      </c>
      <c r="AE82" s="11" t="s">
        <v>1405</v>
      </c>
      <c r="AF82" s="11" t="s">
        <v>1405</v>
      </c>
    </row>
    <row r="83" spans="1:32" x14ac:dyDescent="0.2">
      <c r="A83" s="3" t="s">
        <v>1962</v>
      </c>
      <c r="B83" s="6" t="s">
        <v>1443</v>
      </c>
      <c r="C83" s="6">
        <v>82</v>
      </c>
      <c r="D83" s="7">
        <v>42</v>
      </c>
      <c r="E83" s="6" t="s">
        <v>1444</v>
      </c>
      <c r="F83" s="6" t="s">
        <v>1445</v>
      </c>
      <c r="G83" s="6" t="s">
        <v>1446</v>
      </c>
      <c r="H83" s="6" t="s">
        <v>83</v>
      </c>
      <c r="I83" s="6" t="s">
        <v>1415</v>
      </c>
      <c r="J83" s="6" t="s">
        <v>1397</v>
      </c>
      <c r="K83" s="8" t="s">
        <v>1477</v>
      </c>
      <c r="L83" s="6" t="s">
        <v>1474</v>
      </c>
      <c r="M83" s="6" t="s">
        <v>1475</v>
      </c>
      <c r="N83" s="6" t="s">
        <v>1397</v>
      </c>
      <c r="O83" s="6" t="s">
        <v>1405</v>
      </c>
      <c r="P83" s="6" t="s">
        <v>1395</v>
      </c>
      <c r="Q83" s="6" t="s">
        <v>1456</v>
      </c>
      <c r="R83" s="6">
        <v>2</v>
      </c>
      <c r="S83" s="6" t="s">
        <v>1453</v>
      </c>
      <c r="T83" s="6" t="s">
        <v>1454</v>
      </c>
      <c r="U83" s="6" t="s">
        <v>1406</v>
      </c>
      <c r="V83" s="6">
        <v>16</v>
      </c>
      <c r="W83" s="6" t="b">
        <v>1</v>
      </c>
      <c r="X83" s="6">
        <v>240808</v>
      </c>
      <c r="Y83" s="6" t="s">
        <v>1405</v>
      </c>
      <c r="Z83" s="6">
        <v>0</v>
      </c>
      <c r="AA83" s="6">
        <v>0</v>
      </c>
      <c r="AB83" s="6" t="s">
        <v>1405</v>
      </c>
      <c r="AC83" s="6" t="s">
        <v>1405</v>
      </c>
      <c r="AD83" s="6">
        <v>0</v>
      </c>
      <c r="AE83" s="6" t="s">
        <v>1405</v>
      </c>
      <c r="AF83" s="6" t="s">
        <v>1405</v>
      </c>
    </row>
    <row r="84" spans="1:32" x14ac:dyDescent="0.2">
      <c r="A84" s="3" t="s">
        <v>1345</v>
      </c>
      <c r="B84" s="9" t="s">
        <v>1443</v>
      </c>
      <c r="C84" s="6">
        <v>83</v>
      </c>
      <c r="D84" s="9">
        <v>42</v>
      </c>
      <c r="E84" s="9" t="s">
        <v>1457</v>
      </c>
      <c r="F84" s="10" t="s">
        <v>1445</v>
      </c>
      <c r="G84" s="9" t="s">
        <v>1458</v>
      </c>
      <c r="H84" s="9" t="s">
        <v>83</v>
      </c>
      <c r="I84" s="9" t="s">
        <v>1410</v>
      </c>
      <c r="J84" s="9" t="s">
        <v>1397</v>
      </c>
      <c r="K84" s="8" t="s">
        <v>1478</v>
      </c>
      <c r="L84" s="11" t="s">
        <v>1474</v>
      </c>
      <c r="M84" s="11" t="s">
        <v>1475</v>
      </c>
      <c r="N84" s="11" t="s">
        <v>1397</v>
      </c>
      <c r="O84" s="11" t="s">
        <v>1405</v>
      </c>
      <c r="P84" s="11" t="s">
        <v>1395</v>
      </c>
      <c r="Q84" s="11" t="s">
        <v>1456</v>
      </c>
      <c r="R84" s="11">
        <v>2</v>
      </c>
      <c r="S84" s="11" t="s">
        <v>1453</v>
      </c>
      <c r="T84" s="11" t="s">
        <v>1454</v>
      </c>
      <c r="U84" s="11" t="s">
        <v>1406</v>
      </c>
      <c r="V84" s="11">
        <v>16</v>
      </c>
      <c r="W84" s="11" t="b">
        <v>1</v>
      </c>
      <c r="X84" s="11">
        <v>240808</v>
      </c>
      <c r="Y84" s="11" t="s">
        <v>1405</v>
      </c>
      <c r="Z84" s="11">
        <v>0</v>
      </c>
      <c r="AA84" s="11">
        <v>0</v>
      </c>
      <c r="AB84" s="11" t="s">
        <v>1405</v>
      </c>
      <c r="AC84" s="11" t="s">
        <v>1405</v>
      </c>
      <c r="AD84" s="11">
        <v>0</v>
      </c>
      <c r="AE84" s="11" t="s">
        <v>1405</v>
      </c>
      <c r="AF84" s="11" t="s">
        <v>1405</v>
      </c>
    </row>
    <row r="85" spans="1:32" x14ac:dyDescent="0.2">
      <c r="A85" s="3" t="s">
        <v>1963</v>
      </c>
      <c r="B85" s="6" t="s">
        <v>1443</v>
      </c>
      <c r="C85" s="6">
        <v>84</v>
      </c>
      <c r="D85" s="7">
        <v>43</v>
      </c>
      <c r="E85" s="6" t="s">
        <v>1444</v>
      </c>
      <c r="F85" s="6" t="s">
        <v>1445</v>
      </c>
      <c r="G85" s="6" t="s">
        <v>1446</v>
      </c>
      <c r="H85" s="6" t="s">
        <v>85</v>
      </c>
      <c r="I85" s="6" t="s">
        <v>1415</v>
      </c>
      <c r="J85" s="6" t="s">
        <v>1397</v>
      </c>
      <c r="K85" s="8" t="s">
        <v>1481</v>
      </c>
      <c r="L85" s="6" t="s">
        <v>1474</v>
      </c>
      <c r="M85" s="6" t="s">
        <v>1475</v>
      </c>
      <c r="N85" s="6" t="s">
        <v>1397</v>
      </c>
      <c r="O85" s="6" t="s">
        <v>1405</v>
      </c>
      <c r="P85" s="6" t="s">
        <v>1395</v>
      </c>
      <c r="Q85" s="6" t="s">
        <v>1471</v>
      </c>
      <c r="R85" s="6">
        <v>4</v>
      </c>
      <c r="S85" s="6" t="s">
        <v>1453</v>
      </c>
      <c r="T85" s="6" t="s">
        <v>1454</v>
      </c>
      <c r="U85" s="6" t="s">
        <v>1406</v>
      </c>
      <c r="V85" s="6">
        <v>16</v>
      </c>
      <c r="W85" s="6" t="b">
        <v>1</v>
      </c>
      <c r="X85" s="6">
        <v>240808</v>
      </c>
      <c r="Y85" s="6" t="s">
        <v>1405</v>
      </c>
      <c r="Z85" s="6">
        <v>0</v>
      </c>
      <c r="AA85" s="6">
        <v>0</v>
      </c>
      <c r="AB85" s="6" t="s">
        <v>1405</v>
      </c>
      <c r="AC85" s="6" t="s">
        <v>1405</v>
      </c>
      <c r="AD85" s="6">
        <v>0</v>
      </c>
      <c r="AE85" s="6" t="s">
        <v>1405</v>
      </c>
      <c r="AF85" s="6" t="s">
        <v>1405</v>
      </c>
    </row>
    <row r="86" spans="1:32" x14ac:dyDescent="0.2">
      <c r="A86" s="3" t="s">
        <v>1347</v>
      </c>
      <c r="B86" s="9" t="s">
        <v>1443</v>
      </c>
      <c r="C86" s="6">
        <v>85</v>
      </c>
      <c r="D86" s="9">
        <v>43</v>
      </c>
      <c r="E86" s="9" t="s">
        <v>1457</v>
      </c>
      <c r="F86" s="10" t="s">
        <v>1445</v>
      </c>
      <c r="G86" s="9" t="s">
        <v>1458</v>
      </c>
      <c r="H86" s="9" t="s">
        <v>85</v>
      </c>
      <c r="I86" s="9" t="s">
        <v>1410</v>
      </c>
      <c r="J86" s="9" t="s">
        <v>1397</v>
      </c>
      <c r="K86" s="8" t="s">
        <v>1482</v>
      </c>
      <c r="L86" s="11" t="s">
        <v>1474</v>
      </c>
      <c r="M86" s="11" t="s">
        <v>1475</v>
      </c>
      <c r="N86" s="11" t="s">
        <v>1397</v>
      </c>
      <c r="O86" s="11" t="s">
        <v>1405</v>
      </c>
      <c r="P86" s="11" t="s">
        <v>1395</v>
      </c>
      <c r="Q86" s="11" t="s">
        <v>1471</v>
      </c>
      <c r="R86" s="11">
        <v>4</v>
      </c>
      <c r="S86" s="11" t="s">
        <v>1453</v>
      </c>
      <c r="T86" s="11" t="s">
        <v>1454</v>
      </c>
      <c r="U86" s="11" t="s">
        <v>1406</v>
      </c>
      <c r="V86" s="11">
        <v>16</v>
      </c>
      <c r="W86" s="11" t="b">
        <v>1</v>
      </c>
      <c r="X86" s="11">
        <v>240808</v>
      </c>
      <c r="Y86" s="11" t="s">
        <v>1405</v>
      </c>
      <c r="Z86" s="11">
        <v>0</v>
      </c>
      <c r="AA86" s="11">
        <v>0</v>
      </c>
      <c r="AB86" s="11" t="s">
        <v>1405</v>
      </c>
      <c r="AC86" s="11" t="s">
        <v>1405</v>
      </c>
      <c r="AD86" s="11">
        <v>0</v>
      </c>
      <c r="AE86" s="11" t="s">
        <v>1405</v>
      </c>
      <c r="AF86" s="11" t="s">
        <v>1405</v>
      </c>
    </row>
    <row r="87" spans="1:32" x14ac:dyDescent="0.2">
      <c r="A87" s="3" t="s">
        <v>1964</v>
      </c>
      <c r="B87" s="6" t="s">
        <v>1443</v>
      </c>
      <c r="C87" s="6">
        <v>86</v>
      </c>
      <c r="D87" s="7">
        <v>44</v>
      </c>
      <c r="E87" s="6" t="s">
        <v>1444</v>
      </c>
      <c r="F87" s="6" t="s">
        <v>1445</v>
      </c>
      <c r="G87" s="6" t="s">
        <v>1446</v>
      </c>
      <c r="H87" s="6" t="s">
        <v>86</v>
      </c>
      <c r="I87" s="6" t="s">
        <v>1415</v>
      </c>
      <c r="J87" s="6" t="s">
        <v>1407</v>
      </c>
      <c r="K87" s="8" t="s">
        <v>1447</v>
      </c>
      <c r="L87" s="6" t="s">
        <v>1448</v>
      </c>
      <c r="M87" s="6" t="s">
        <v>1449</v>
      </c>
      <c r="N87" s="6" t="s">
        <v>1407</v>
      </c>
      <c r="O87" s="6" t="s">
        <v>1405</v>
      </c>
      <c r="P87" s="6" t="s">
        <v>1451</v>
      </c>
      <c r="Q87" s="6" t="s">
        <v>1452</v>
      </c>
      <c r="R87" s="6">
        <v>1</v>
      </c>
      <c r="S87" s="6" t="s">
        <v>1453</v>
      </c>
      <c r="T87" s="6" t="s">
        <v>1454</v>
      </c>
      <c r="U87" s="6" t="s">
        <v>1406</v>
      </c>
      <c r="V87" s="6">
        <v>16</v>
      </c>
      <c r="W87" s="6" t="b">
        <v>1</v>
      </c>
      <c r="X87" s="6">
        <v>240808</v>
      </c>
      <c r="Y87" s="6" t="s">
        <v>1405</v>
      </c>
      <c r="Z87" s="6">
        <v>0</v>
      </c>
      <c r="AA87" s="6">
        <v>0</v>
      </c>
      <c r="AB87" s="6" t="s">
        <v>1405</v>
      </c>
      <c r="AC87" s="6" t="s">
        <v>1405</v>
      </c>
      <c r="AD87" s="6">
        <v>0</v>
      </c>
      <c r="AE87" s="6" t="s">
        <v>1405</v>
      </c>
      <c r="AF87" s="6" t="s">
        <v>1405</v>
      </c>
    </row>
    <row r="88" spans="1:32" x14ac:dyDescent="0.2">
      <c r="A88" s="3" t="s">
        <v>1348</v>
      </c>
      <c r="B88" s="9" t="s">
        <v>1443</v>
      </c>
      <c r="C88" s="6">
        <v>87</v>
      </c>
      <c r="D88" s="9">
        <v>44</v>
      </c>
      <c r="E88" s="9" t="s">
        <v>1457</v>
      </c>
      <c r="F88" s="10" t="s">
        <v>1445</v>
      </c>
      <c r="G88" s="9" t="s">
        <v>1458</v>
      </c>
      <c r="H88" s="9" t="s">
        <v>86</v>
      </c>
      <c r="I88" s="9" t="s">
        <v>1410</v>
      </c>
      <c r="J88" s="9" t="s">
        <v>1407</v>
      </c>
      <c r="K88" s="8" t="s">
        <v>1483</v>
      </c>
      <c r="L88" s="11" t="s">
        <v>1448</v>
      </c>
      <c r="M88" s="11" t="s">
        <v>1449</v>
      </c>
      <c r="N88" s="11" t="s">
        <v>1407</v>
      </c>
      <c r="O88" s="11" t="s">
        <v>1405</v>
      </c>
      <c r="P88" s="11" t="s">
        <v>1451</v>
      </c>
      <c r="Q88" s="11" t="s">
        <v>1452</v>
      </c>
      <c r="R88" s="11">
        <v>1</v>
      </c>
      <c r="S88" s="11" t="s">
        <v>1453</v>
      </c>
      <c r="T88" s="11" t="s">
        <v>1454</v>
      </c>
      <c r="U88" s="11" t="s">
        <v>1406</v>
      </c>
      <c r="V88" s="11">
        <v>16</v>
      </c>
      <c r="W88" s="11" t="b">
        <v>1</v>
      </c>
      <c r="X88" s="11">
        <v>240808</v>
      </c>
      <c r="Y88" s="11" t="s">
        <v>1405</v>
      </c>
      <c r="Z88" s="11">
        <v>0</v>
      </c>
      <c r="AA88" s="11">
        <v>0</v>
      </c>
      <c r="AB88" s="11" t="s">
        <v>1405</v>
      </c>
      <c r="AC88" s="11" t="s">
        <v>1405</v>
      </c>
      <c r="AD88" s="11">
        <v>0</v>
      </c>
      <c r="AE88" s="11" t="s">
        <v>1405</v>
      </c>
      <c r="AF88" s="11" t="s">
        <v>1405</v>
      </c>
    </row>
    <row r="89" spans="1:32" x14ac:dyDescent="0.2">
      <c r="A89" s="3" t="s">
        <v>1965</v>
      </c>
      <c r="B89" s="6" t="s">
        <v>1443</v>
      </c>
      <c r="C89" s="6">
        <v>88</v>
      </c>
      <c r="D89" s="7">
        <v>45</v>
      </c>
      <c r="E89" s="6" t="s">
        <v>1444</v>
      </c>
      <c r="F89" s="6" t="s">
        <v>1445</v>
      </c>
      <c r="G89" s="6" t="s">
        <v>1446</v>
      </c>
      <c r="H89" s="6" t="s">
        <v>87</v>
      </c>
      <c r="I89" s="6" t="s">
        <v>1415</v>
      </c>
      <c r="J89" s="6" t="s">
        <v>1407</v>
      </c>
      <c r="K89" s="8" t="s">
        <v>1455</v>
      </c>
      <c r="L89" s="6" t="s">
        <v>1448</v>
      </c>
      <c r="M89" s="6" t="s">
        <v>1449</v>
      </c>
      <c r="N89" s="6" t="s">
        <v>1407</v>
      </c>
      <c r="O89" s="6" t="s">
        <v>1405</v>
      </c>
      <c r="P89" s="6" t="s">
        <v>1451</v>
      </c>
      <c r="Q89" s="6" t="s">
        <v>1456</v>
      </c>
      <c r="R89" s="6">
        <v>2</v>
      </c>
      <c r="S89" s="6" t="s">
        <v>1453</v>
      </c>
      <c r="T89" s="6" t="s">
        <v>1454</v>
      </c>
      <c r="U89" s="6" t="s">
        <v>1406</v>
      </c>
      <c r="V89" s="6">
        <v>16</v>
      </c>
      <c r="W89" s="6" t="b">
        <v>1</v>
      </c>
      <c r="X89" s="6">
        <v>240808</v>
      </c>
      <c r="Y89" s="6" t="s">
        <v>1405</v>
      </c>
      <c r="Z89" s="6">
        <v>0</v>
      </c>
      <c r="AA89" s="6">
        <v>0</v>
      </c>
      <c r="AB89" s="6" t="s">
        <v>1405</v>
      </c>
      <c r="AC89" s="6" t="s">
        <v>1405</v>
      </c>
      <c r="AD89" s="6">
        <v>0</v>
      </c>
      <c r="AE89" s="6" t="s">
        <v>1405</v>
      </c>
      <c r="AF89" s="6" t="s">
        <v>1405</v>
      </c>
    </row>
    <row r="90" spans="1:32" x14ac:dyDescent="0.2">
      <c r="A90" s="3" t="s">
        <v>1349</v>
      </c>
      <c r="B90" s="9" t="s">
        <v>1443</v>
      </c>
      <c r="C90" s="6">
        <v>89</v>
      </c>
      <c r="D90" s="9">
        <v>45</v>
      </c>
      <c r="E90" s="9" t="s">
        <v>1457</v>
      </c>
      <c r="F90" s="10" t="s">
        <v>1445</v>
      </c>
      <c r="G90" s="9" t="s">
        <v>1458</v>
      </c>
      <c r="H90" s="9" t="s">
        <v>87</v>
      </c>
      <c r="I90" s="9" t="s">
        <v>1410</v>
      </c>
      <c r="J90" s="9" t="s">
        <v>1407</v>
      </c>
      <c r="K90" s="8" t="s">
        <v>1459</v>
      </c>
      <c r="L90" s="11" t="s">
        <v>1448</v>
      </c>
      <c r="M90" s="11" t="s">
        <v>1449</v>
      </c>
      <c r="N90" s="11" t="s">
        <v>1407</v>
      </c>
      <c r="O90" s="11" t="s">
        <v>1405</v>
      </c>
      <c r="P90" s="11" t="s">
        <v>1451</v>
      </c>
      <c r="Q90" s="11" t="s">
        <v>1456</v>
      </c>
      <c r="R90" s="11">
        <v>2</v>
      </c>
      <c r="S90" s="11" t="s">
        <v>1453</v>
      </c>
      <c r="T90" s="11" t="s">
        <v>1454</v>
      </c>
      <c r="U90" s="11" t="s">
        <v>1406</v>
      </c>
      <c r="V90" s="11">
        <v>16</v>
      </c>
      <c r="W90" s="11" t="b">
        <v>1</v>
      </c>
      <c r="X90" s="11">
        <v>240808</v>
      </c>
      <c r="Y90" s="11" t="s">
        <v>1405</v>
      </c>
      <c r="Z90" s="11">
        <v>0</v>
      </c>
      <c r="AA90" s="11">
        <v>0</v>
      </c>
      <c r="AB90" s="11" t="s">
        <v>1405</v>
      </c>
      <c r="AC90" s="11" t="s">
        <v>1405</v>
      </c>
      <c r="AD90" s="11">
        <v>0</v>
      </c>
      <c r="AE90" s="11" t="s">
        <v>1405</v>
      </c>
      <c r="AF90" s="11" t="s">
        <v>1405</v>
      </c>
    </row>
    <row r="91" spans="1:32" x14ac:dyDescent="0.2">
      <c r="A91" s="3" t="s">
        <v>1966</v>
      </c>
      <c r="B91" s="6" t="s">
        <v>1443</v>
      </c>
      <c r="C91" s="6">
        <v>90</v>
      </c>
      <c r="D91" s="7">
        <v>46</v>
      </c>
      <c r="E91" s="6" t="s">
        <v>1444</v>
      </c>
      <c r="F91" s="6" t="s">
        <v>1445</v>
      </c>
      <c r="G91" s="6" t="s">
        <v>1446</v>
      </c>
      <c r="H91" s="6" t="s">
        <v>88</v>
      </c>
      <c r="I91" s="6" t="s">
        <v>1415</v>
      </c>
      <c r="J91" s="6" t="s">
        <v>1407</v>
      </c>
      <c r="K91" s="8" t="s">
        <v>1460</v>
      </c>
      <c r="L91" s="6" t="s">
        <v>1448</v>
      </c>
      <c r="M91" s="6" t="s">
        <v>1449</v>
      </c>
      <c r="N91" s="6" t="s">
        <v>1407</v>
      </c>
      <c r="O91" s="6" t="s">
        <v>1405</v>
      </c>
      <c r="P91" s="6" t="s">
        <v>1451</v>
      </c>
      <c r="Q91" s="6" t="s">
        <v>1461</v>
      </c>
      <c r="R91" s="6">
        <v>3</v>
      </c>
      <c r="S91" s="6" t="s">
        <v>1453</v>
      </c>
      <c r="T91" s="6" t="s">
        <v>1454</v>
      </c>
      <c r="U91" s="6" t="s">
        <v>1406</v>
      </c>
      <c r="V91" s="6">
        <v>16</v>
      </c>
      <c r="W91" s="6" t="b">
        <v>1</v>
      </c>
      <c r="X91" s="6">
        <v>240808</v>
      </c>
      <c r="Y91" s="6" t="s">
        <v>1405</v>
      </c>
      <c r="Z91" s="6">
        <v>0</v>
      </c>
      <c r="AA91" s="6">
        <v>0</v>
      </c>
      <c r="AB91" s="6" t="s">
        <v>1405</v>
      </c>
      <c r="AC91" s="6" t="s">
        <v>1405</v>
      </c>
      <c r="AD91" s="6">
        <v>0</v>
      </c>
      <c r="AE91" s="6" t="s">
        <v>1405</v>
      </c>
      <c r="AF91" s="6" t="s">
        <v>1405</v>
      </c>
    </row>
    <row r="92" spans="1:32" x14ac:dyDescent="0.2">
      <c r="A92" s="3" t="s">
        <v>1350</v>
      </c>
      <c r="B92" s="9" t="s">
        <v>1443</v>
      </c>
      <c r="C92" s="6">
        <v>91</v>
      </c>
      <c r="D92" s="9">
        <v>46</v>
      </c>
      <c r="E92" s="9" t="s">
        <v>1457</v>
      </c>
      <c r="F92" s="10" t="s">
        <v>1445</v>
      </c>
      <c r="G92" s="9" t="s">
        <v>1458</v>
      </c>
      <c r="H92" s="9" t="s">
        <v>88</v>
      </c>
      <c r="I92" s="9" t="s">
        <v>1410</v>
      </c>
      <c r="J92" s="9" t="s">
        <v>1407</v>
      </c>
      <c r="K92" s="8" t="s">
        <v>1462</v>
      </c>
      <c r="L92" s="11" t="s">
        <v>1448</v>
      </c>
      <c r="M92" s="11" t="s">
        <v>1449</v>
      </c>
      <c r="N92" s="11" t="s">
        <v>1407</v>
      </c>
      <c r="O92" s="11" t="s">
        <v>1405</v>
      </c>
      <c r="P92" s="11" t="s">
        <v>1451</v>
      </c>
      <c r="Q92" s="11" t="s">
        <v>1461</v>
      </c>
      <c r="R92" s="11">
        <v>3</v>
      </c>
      <c r="S92" s="11" t="s">
        <v>1453</v>
      </c>
      <c r="T92" s="11" t="s">
        <v>1454</v>
      </c>
      <c r="U92" s="11" t="s">
        <v>1406</v>
      </c>
      <c r="V92" s="11">
        <v>16</v>
      </c>
      <c r="W92" s="11" t="b">
        <v>1</v>
      </c>
      <c r="X92" s="11">
        <v>240808</v>
      </c>
      <c r="Y92" s="11" t="s">
        <v>1405</v>
      </c>
      <c r="Z92" s="11">
        <v>0</v>
      </c>
      <c r="AA92" s="11">
        <v>0</v>
      </c>
      <c r="AB92" s="11" t="s">
        <v>1405</v>
      </c>
      <c r="AC92" s="11" t="s">
        <v>1405</v>
      </c>
      <c r="AD92" s="11">
        <v>0</v>
      </c>
      <c r="AE92" s="11" t="s">
        <v>1405</v>
      </c>
      <c r="AF92" s="11" t="s">
        <v>1405</v>
      </c>
    </row>
    <row r="93" spans="1:32" x14ac:dyDescent="0.2">
      <c r="A93" s="3" t="s">
        <v>1967</v>
      </c>
      <c r="B93" s="6" t="s">
        <v>1443</v>
      </c>
      <c r="C93" s="6">
        <v>92</v>
      </c>
      <c r="D93" s="7">
        <v>47</v>
      </c>
      <c r="E93" s="6" t="s">
        <v>1444</v>
      </c>
      <c r="F93" s="6" t="s">
        <v>1445</v>
      </c>
      <c r="G93" s="6" t="s">
        <v>1446</v>
      </c>
      <c r="H93" s="6" t="s">
        <v>89</v>
      </c>
      <c r="I93" s="6" t="s">
        <v>1415</v>
      </c>
      <c r="J93" s="6" t="s">
        <v>1407</v>
      </c>
      <c r="K93" s="8" t="s">
        <v>1463</v>
      </c>
      <c r="L93" s="6" t="s">
        <v>1394</v>
      </c>
      <c r="M93" s="6" t="s">
        <v>1464</v>
      </c>
      <c r="N93" s="6" t="s">
        <v>1407</v>
      </c>
      <c r="O93" s="6" t="s">
        <v>1405</v>
      </c>
      <c r="P93" s="6" t="s">
        <v>1395</v>
      </c>
      <c r="Q93" s="6" t="s">
        <v>1452</v>
      </c>
      <c r="R93" s="6">
        <v>1</v>
      </c>
      <c r="S93" s="6" t="s">
        <v>1453</v>
      </c>
      <c r="T93" s="6" t="s">
        <v>1454</v>
      </c>
      <c r="U93" s="6" t="s">
        <v>1406</v>
      </c>
      <c r="V93" s="6">
        <v>16</v>
      </c>
      <c r="W93" s="6" t="b">
        <v>1</v>
      </c>
      <c r="X93" s="6">
        <v>240808</v>
      </c>
      <c r="Y93" s="6" t="s">
        <v>1405</v>
      </c>
      <c r="Z93" s="6">
        <v>0</v>
      </c>
      <c r="AA93" s="6">
        <v>0</v>
      </c>
      <c r="AB93" s="6" t="s">
        <v>1405</v>
      </c>
      <c r="AC93" s="6" t="s">
        <v>1405</v>
      </c>
      <c r="AD93" s="6">
        <v>0</v>
      </c>
      <c r="AE93" s="6" t="s">
        <v>1405</v>
      </c>
      <c r="AF93" s="6" t="s">
        <v>1405</v>
      </c>
    </row>
    <row r="94" spans="1:32" x14ac:dyDescent="0.2">
      <c r="A94" s="3" t="s">
        <v>1351</v>
      </c>
      <c r="B94" s="9" t="s">
        <v>1443</v>
      </c>
      <c r="C94" s="6">
        <v>93</v>
      </c>
      <c r="D94" s="9">
        <v>47</v>
      </c>
      <c r="E94" s="9" t="s">
        <v>1457</v>
      </c>
      <c r="F94" s="10" t="s">
        <v>1445</v>
      </c>
      <c r="G94" s="9" t="s">
        <v>1458</v>
      </c>
      <c r="H94" s="9" t="s">
        <v>89</v>
      </c>
      <c r="I94" s="9" t="s">
        <v>1410</v>
      </c>
      <c r="J94" s="9" t="s">
        <v>1407</v>
      </c>
      <c r="K94" s="8" t="s">
        <v>1465</v>
      </c>
      <c r="L94" s="11" t="s">
        <v>1394</v>
      </c>
      <c r="M94" s="11" t="s">
        <v>1464</v>
      </c>
      <c r="N94" s="11" t="s">
        <v>1407</v>
      </c>
      <c r="O94" s="11" t="s">
        <v>1405</v>
      </c>
      <c r="P94" s="11" t="s">
        <v>1395</v>
      </c>
      <c r="Q94" s="11" t="s">
        <v>1452</v>
      </c>
      <c r="R94" s="11">
        <v>1</v>
      </c>
      <c r="S94" s="11" t="s">
        <v>1453</v>
      </c>
      <c r="T94" s="11" t="s">
        <v>1454</v>
      </c>
      <c r="U94" s="11" t="s">
        <v>1406</v>
      </c>
      <c r="V94" s="11">
        <v>16</v>
      </c>
      <c r="W94" s="11" t="b">
        <v>1</v>
      </c>
      <c r="X94" s="11">
        <v>240808</v>
      </c>
      <c r="Y94" s="11" t="s">
        <v>1405</v>
      </c>
      <c r="Z94" s="11">
        <v>0</v>
      </c>
      <c r="AA94" s="11">
        <v>0</v>
      </c>
      <c r="AB94" s="11" t="s">
        <v>1405</v>
      </c>
      <c r="AC94" s="11" t="s">
        <v>1405</v>
      </c>
      <c r="AD94" s="11">
        <v>0</v>
      </c>
      <c r="AE94" s="11" t="s">
        <v>1405</v>
      </c>
      <c r="AF94" s="11" t="s">
        <v>1405</v>
      </c>
    </row>
    <row r="95" spans="1:32" x14ac:dyDescent="0.2">
      <c r="A95" s="3" t="s">
        <v>1968</v>
      </c>
      <c r="B95" s="6" t="s">
        <v>1443</v>
      </c>
      <c r="C95" s="6">
        <v>94</v>
      </c>
      <c r="D95" s="7">
        <v>48</v>
      </c>
      <c r="E95" s="6" t="s">
        <v>1444</v>
      </c>
      <c r="F95" s="6" t="s">
        <v>1445</v>
      </c>
      <c r="G95" s="6" t="s">
        <v>1446</v>
      </c>
      <c r="H95" s="6" t="s">
        <v>90</v>
      </c>
      <c r="I95" s="6" t="s">
        <v>1415</v>
      </c>
      <c r="J95" s="6" t="s">
        <v>1407</v>
      </c>
      <c r="K95" s="8" t="s">
        <v>1466</v>
      </c>
      <c r="L95" s="6" t="s">
        <v>1394</v>
      </c>
      <c r="M95" s="6" t="s">
        <v>1464</v>
      </c>
      <c r="N95" s="6" t="s">
        <v>1407</v>
      </c>
      <c r="O95" s="6" t="s">
        <v>1405</v>
      </c>
      <c r="P95" s="6" t="s">
        <v>1395</v>
      </c>
      <c r="Q95" s="6" t="s">
        <v>1456</v>
      </c>
      <c r="R95" s="6">
        <v>2</v>
      </c>
      <c r="S95" s="6" t="s">
        <v>1453</v>
      </c>
      <c r="T95" s="6" t="s">
        <v>1454</v>
      </c>
      <c r="U95" s="6" t="s">
        <v>1406</v>
      </c>
      <c r="V95" s="6">
        <v>16</v>
      </c>
      <c r="W95" s="6" t="b">
        <v>1</v>
      </c>
      <c r="X95" s="6">
        <v>240808</v>
      </c>
      <c r="Y95" s="6" t="s">
        <v>1405</v>
      </c>
      <c r="Z95" s="6">
        <v>0</v>
      </c>
      <c r="AA95" s="6">
        <v>0</v>
      </c>
      <c r="AB95" s="6" t="s">
        <v>1405</v>
      </c>
      <c r="AC95" s="6" t="s">
        <v>1405</v>
      </c>
      <c r="AD95" s="6">
        <v>0</v>
      </c>
      <c r="AE95" s="6" t="s">
        <v>1405</v>
      </c>
      <c r="AF95" s="6" t="s">
        <v>1405</v>
      </c>
    </row>
    <row r="96" spans="1:32" x14ac:dyDescent="0.2">
      <c r="A96" s="3" t="s">
        <v>1352</v>
      </c>
      <c r="B96" s="9" t="s">
        <v>1443</v>
      </c>
      <c r="C96" s="6">
        <v>95</v>
      </c>
      <c r="D96" s="9">
        <v>48</v>
      </c>
      <c r="E96" s="9" t="s">
        <v>1457</v>
      </c>
      <c r="F96" s="10" t="s">
        <v>1445</v>
      </c>
      <c r="G96" s="9" t="s">
        <v>1458</v>
      </c>
      <c r="H96" s="9" t="s">
        <v>90</v>
      </c>
      <c r="I96" s="9" t="s">
        <v>1410</v>
      </c>
      <c r="J96" s="9" t="s">
        <v>1407</v>
      </c>
      <c r="K96" s="8" t="s">
        <v>1467</v>
      </c>
      <c r="L96" s="11" t="s">
        <v>1394</v>
      </c>
      <c r="M96" s="11" t="s">
        <v>1464</v>
      </c>
      <c r="N96" s="11" t="s">
        <v>1407</v>
      </c>
      <c r="O96" s="11" t="s">
        <v>1405</v>
      </c>
      <c r="P96" s="11" t="s">
        <v>1395</v>
      </c>
      <c r="Q96" s="11" t="s">
        <v>1456</v>
      </c>
      <c r="R96" s="11">
        <v>2</v>
      </c>
      <c r="S96" s="11" t="s">
        <v>1453</v>
      </c>
      <c r="T96" s="11" t="s">
        <v>1454</v>
      </c>
      <c r="U96" s="11" t="s">
        <v>1406</v>
      </c>
      <c r="V96" s="11">
        <v>16</v>
      </c>
      <c r="W96" s="11" t="b">
        <v>1</v>
      </c>
      <c r="X96" s="11">
        <v>240808</v>
      </c>
      <c r="Y96" s="11" t="s">
        <v>1405</v>
      </c>
      <c r="Z96" s="11">
        <v>0</v>
      </c>
      <c r="AA96" s="11">
        <v>0</v>
      </c>
      <c r="AB96" s="11" t="s">
        <v>1405</v>
      </c>
      <c r="AC96" s="11" t="s">
        <v>1405</v>
      </c>
      <c r="AD96" s="11">
        <v>0</v>
      </c>
      <c r="AE96" s="11" t="s">
        <v>1405</v>
      </c>
      <c r="AF96" s="11" t="s">
        <v>1405</v>
      </c>
    </row>
    <row r="97" spans="1:32" x14ac:dyDescent="0.2">
      <c r="A97" s="3" t="s">
        <v>1969</v>
      </c>
      <c r="B97" s="6" t="s">
        <v>1443</v>
      </c>
      <c r="C97" s="6">
        <v>96</v>
      </c>
      <c r="D97" s="7">
        <v>49</v>
      </c>
      <c r="E97" s="6" t="s">
        <v>1444</v>
      </c>
      <c r="F97" s="6" t="s">
        <v>1445</v>
      </c>
      <c r="G97" s="6" t="s">
        <v>1446</v>
      </c>
      <c r="H97" s="6" t="s">
        <v>92</v>
      </c>
      <c r="I97" s="6" t="s">
        <v>1415</v>
      </c>
      <c r="J97" s="6" t="s">
        <v>1407</v>
      </c>
      <c r="K97" s="8" t="s">
        <v>1468</v>
      </c>
      <c r="L97" s="6" t="s">
        <v>1394</v>
      </c>
      <c r="M97" s="6" t="s">
        <v>1464</v>
      </c>
      <c r="N97" s="6" t="s">
        <v>1407</v>
      </c>
      <c r="O97" s="6" t="s">
        <v>1405</v>
      </c>
      <c r="P97" s="6" t="s">
        <v>1395</v>
      </c>
      <c r="Q97" s="6" t="s">
        <v>1461</v>
      </c>
      <c r="R97" s="6">
        <v>3</v>
      </c>
      <c r="S97" s="6" t="s">
        <v>1453</v>
      </c>
      <c r="T97" s="6" t="s">
        <v>1454</v>
      </c>
      <c r="U97" s="6" t="s">
        <v>1406</v>
      </c>
      <c r="V97" s="6">
        <v>16</v>
      </c>
      <c r="W97" s="6" t="b">
        <v>1</v>
      </c>
      <c r="X97" s="6">
        <v>240808</v>
      </c>
      <c r="Y97" s="6" t="s">
        <v>1405</v>
      </c>
      <c r="Z97" s="6">
        <v>0</v>
      </c>
      <c r="AA97" s="6">
        <v>0</v>
      </c>
      <c r="AB97" s="6" t="s">
        <v>1405</v>
      </c>
      <c r="AC97" s="6" t="s">
        <v>1405</v>
      </c>
      <c r="AD97" s="6">
        <v>0</v>
      </c>
      <c r="AE97" s="6" t="s">
        <v>1405</v>
      </c>
      <c r="AF97" s="6" t="s">
        <v>1405</v>
      </c>
    </row>
    <row r="98" spans="1:32" x14ac:dyDescent="0.2">
      <c r="A98" s="3" t="s">
        <v>1353</v>
      </c>
      <c r="B98" s="9" t="s">
        <v>1443</v>
      </c>
      <c r="C98" s="6">
        <v>97</v>
      </c>
      <c r="D98" s="9">
        <v>49</v>
      </c>
      <c r="E98" s="9" t="s">
        <v>1457</v>
      </c>
      <c r="F98" s="10" t="s">
        <v>1445</v>
      </c>
      <c r="G98" s="9" t="s">
        <v>1458</v>
      </c>
      <c r="H98" s="9" t="s">
        <v>92</v>
      </c>
      <c r="I98" s="9" t="s">
        <v>1410</v>
      </c>
      <c r="J98" s="9" t="s">
        <v>1407</v>
      </c>
      <c r="K98" s="8" t="s">
        <v>1469</v>
      </c>
      <c r="L98" s="11" t="s">
        <v>1394</v>
      </c>
      <c r="M98" s="11" t="s">
        <v>1464</v>
      </c>
      <c r="N98" s="11" t="s">
        <v>1407</v>
      </c>
      <c r="O98" s="11" t="s">
        <v>1405</v>
      </c>
      <c r="P98" s="11" t="s">
        <v>1395</v>
      </c>
      <c r="Q98" s="11" t="s">
        <v>1461</v>
      </c>
      <c r="R98" s="11">
        <v>3</v>
      </c>
      <c r="S98" s="11" t="s">
        <v>1453</v>
      </c>
      <c r="T98" s="11" t="s">
        <v>1454</v>
      </c>
      <c r="U98" s="11" t="s">
        <v>1406</v>
      </c>
      <c r="V98" s="11">
        <v>16</v>
      </c>
      <c r="W98" s="11" t="b">
        <v>1</v>
      </c>
      <c r="X98" s="11">
        <v>240808</v>
      </c>
      <c r="Y98" s="11" t="s">
        <v>1405</v>
      </c>
      <c r="Z98" s="11">
        <v>0</v>
      </c>
      <c r="AA98" s="11">
        <v>0</v>
      </c>
      <c r="AB98" s="11" t="s">
        <v>1405</v>
      </c>
      <c r="AC98" s="11" t="s">
        <v>1405</v>
      </c>
      <c r="AD98" s="11">
        <v>0</v>
      </c>
      <c r="AE98" s="11" t="s">
        <v>1405</v>
      </c>
      <c r="AF98" s="11" t="s">
        <v>1405</v>
      </c>
    </row>
    <row r="99" spans="1:32" x14ac:dyDescent="0.2">
      <c r="A99" s="3" t="s">
        <v>1970</v>
      </c>
      <c r="B99" s="6" t="s">
        <v>1443</v>
      </c>
      <c r="C99" s="6">
        <v>98</v>
      </c>
      <c r="D99" s="7">
        <v>50</v>
      </c>
      <c r="E99" s="6" t="s">
        <v>1444</v>
      </c>
      <c r="F99" s="6" t="s">
        <v>1445</v>
      </c>
      <c r="G99" s="6" t="s">
        <v>1446</v>
      </c>
      <c r="H99" s="6" t="s">
        <v>93</v>
      </c>
      <c r="I99" s="6" t="s">
        <v>1415</v>
      </c>
      <c r="J99" s="6" t="s">
        <v>1407</v>
      </c>
      <c r="K99" s="8" t="s">
        <v>1470</v>
      </c>
      <c r="L99" s="6" t="s">
        <v>1394</v>
      </c>
      <c r="M99" s="6" t="s">
        <v>1464</v>
      </c>
      <c r="N99" s="6" t="s">
        <v>1407</v>
      </c>
      <c r="O99" s="6" t="s">
        <v>1405</v>
      </c>
      <c r="P99" s="6" t="s">
        <v>1395</v>
      </c>
      <c r="Q99" s="6" t="s">
        <v>1471</v>
      </c>
      <c r="R99" s="6">
        <v>4</v>
      </c>
      <c r="S99" s="6" t="s">
        <v>1453</v>
      </c>
      <c r="T99" s="6" t="s">
        <v>1454</v>
      </c>
      <c r="U99" s="6" t="s">
        <v>1406</v>
      </c>
      <c r="V99" s="6">
        <v>16</v>
      </c>
      <c r="W99" s="6" t="b">
        <v>1</v>
      </c>
      <c r="X99" s="6">
        <v>240808</v>
      </c>
      <c r="Y99" s="6" t="s">
        <v>1405</v>
      </c>
      <c r="Z99" s="6">
        <v>0</v>
      </c>
      <c r="AA99" s="6">
        <v>0</v>
      </c>
      <c r="AB99" s="6" t="s">
        <v>1405</v>
      </c>
      <c r="AC99" s="6" t="s">
        <v>1405</v>
      </c>
      <c r="AD99" s="6">
        <v>0</v>
      </c>
      <c r="AE99" s="6" t="s">
        <v>1405</v>
      </c>
      <c r="AF99" s="6" t="s">
        <v>1405</v>
      </c>
    </row>
    <row r="100" spans="1:32" x14ac:dyDescent="0.2">
      <c r="A100" s="3" t="s">
        <v>1354</v>
      </c>
      <c r="B100" s="9" t="s">
        <v>1443</v>
      </c>
      <c r="C100" s="6">
        <v>99</v>
      </c>
      <c r="D100" s="9">
        <v>50</v>
      </c>
      <c r="E100" s="9" t="s">
        <v>1457</v>
      </c>
      <c r="F100" s="10" t="s">
        <v>1445</v>
      </c>
      <c r="G100" s="9" t="s">
        <v>1458</v>
      </c>
      <c r="H100" s="9" t="s">
        <v>93</v>
      </c>
      <c r="I100" s="9" t="s">
        <v>1410</v>
      </c>
      <c r="J100" s="9" t="s">
        <v>1407</v>
      </c>
      <c r="K100" s="8" t="s">
        <v>1472</v>
      </c>
      <c r="L100" s="11" t="s">
        <v>1394</v>
      </c>
      <c r="M100" s="11" t="s">
        <v>1464</v>
      </c>
      <c r="N100" s="11" t="s">
        <v>1407</v>
      </c>
      <c r="O100" s="11" t="s">
        <v>1405</v>
      </c>
      <c r="P100" s="11" t="s">
        <v>1395</v>
      </c>
      <c r="Q100" s="11" t="s">
        <v>1471</v>
      </c>
      <c r="R100" s="11">
        <v>4</v>
      </c>
      <c r="S100" s="11" t="s">
        <v>1453</v>
      </c>
      <c r="T100" s="11" t="s">
        <v>1454</v>
      </c>
      <c r="U100" s="11" t="s">
        <v>1406</v>
      </c>
      <c r="V100" s="11">
        <v>16</v>
      </c>
      <c r="W100" s="11" t="b">
        <v>1</v>
      </c>
      <c r="X100" s="11">
        <v>240808</v>
      </c>
      <c r="Y100" s="11" t="s">
        <v>1405</v>
      </c>
      <c r="Z100" s="11">
        <v>0</v>
      </c>
      <c r="AA100" s="11">
        <v>0</v>
      </c>
      <c r="AB100" s="11" t="s">
        <v>1405</v>
      </c>
      <c r="AC100" s="11" t="s">
        <v>1405</v>
      </c>
      <c r="AD100" s="11">
        <v>0</v>
      </c>
      <c r="AE100" s="11" t="s">
        <v>1405</v>
      </c>
      <c r="AF100" s="11" t="s">
        <v>1405</v>
      </c>
    </row>
    <row r="101" spans="1:32" x14ac:dyDescent="0.2">
      <c r="A101" s="3" t="s">
        <v>1971</v>
      </c>
      <c r="B101" s="6" t="s">
        <v>1443</v>
      </c>
      <c r="C101" s="6">
        <v>100</v>
      </c>
      <c r="D101" s="7">
        <v>51</v>
      </c>
      <c r="E101" s="6" t="s">
        <v>1444</v>
      </c>
      <c r="F101" s="6" t="s">
        <v>1445</v>
      </c>
      <c r="G101" s="6" t="s">
        <v>1446</v>
      </c>
      <c r="H101" s="6" t="s">
        <v>94</v>
      </c>
      <c r="I101" s="6" t="s">
        <v>1415</v>
      </c>
      <c r="J101" s="6" t="s">
        <v>1407</v>
      </c>
      <c r="K101" s="8" t="s">
        <v>1484</v>
      </c>
      <c r="L101" s="6" t="s">
        <v>1474</v>
      </c>
      <c r="M101" s="6" t="s">
        <v>1475</v>
      </c>
      <c r="N101" s="6" t="s">
        <v>1407</v>
      </c>
      <c r="O101" s="6" t="s">
        <v>1405</v>
      </c>
      <c r="P101" s="6" t="s">
        <v>1395</v>
      </c>
      <c r="Q101" s="6" t="s">
        <v>1452</v>
      </c>
      <c r="R101" s="6">
        <v>1</v>
      </c>
      <c r="S101" s="6" t="s">
        <v>1453</v>
      </c>
      <c r="T101" s="6" t="s">
        <v>1454</v>
      </c>
      <c r="U101" s="6" t="s">
        <v>1406</v>
      </c>
      <c r="V101" s="6">
        <v>16</v>
      </c>
      <c r="W101" s="6" t="b">
        <v>1</v>
      </c>
      <c r="X101" s="6">
        <v>240808</v>
      </c>
      <c r="Y101" s="6" t="s">
        <v>1405</v>
      </c>
      <c r="Z101" s="6">
        <v>0</v>
      </c>
      <c r="AA101" s="6">
        <v>0</v>
      </c>
      <c r="AB101" s="6" t="s">
        <v>1405</v>
      </c>
      <c r="AC101" s="6" t="s">
        <v>1405</v>
      </c>
      <c r="AD101" s="6">
        <v>0</v>
      </c>
      <c r="AE101" s="6" t="s">
        <v>1405</v>
      </c>
      <c r="AF101" s="6" t="s">
        <v>1405</v>
      </c>
    </row>
    <row r="102" spans="1:32" x14ac:dyDescent="0.2">
      <c r="A102" s="3" t="s">
        <v>1355</v>
      </c>
      <c r="B102" s="9" t="s">
        <v>1443</v>
      </c>
      <c r="C102" s="6">
        <v>101</v>
      </c>
      <c r="D102" s="9">
        <v>51</v>
      </c>
      <c r="E102" s="9" t="s">
        <v>1457</v>
      </c>
      <c r="F102" s="10" t="s">
        <v>1445</v>
      </c>
      <c r="G102" s="9" t="s">
        <v>1458</v>
      </c>
      <c r="H102" s="9" t="s">
        <v>94</v>
      </c>
      <c r="I102" s="9" t="s">
        <v>1410</v>
      </c>
      <c r="J102" s="9" t="s">
        <v>1407</v>
      </c>
      <c r="K102" s="8" t="s">
        <v>1476</v>
      </c>
      <c r="L102" s="11" t="s">
        <v>1474</v>
      </c>
      <c r="M102" s="11" t="s">
        <v>1475</v>
      </c>
      <c r="N102" s="11" t="s">
        <v>1407</v>
      </c>
      <c r="O102" s="11" t="s">
        <v>1405</v>
      </c>
      <c r="P102" s="11" t="s">
        <v>1395</v>
      </c>
      <c r="Q102" s="11" t="s">
        <v>1452</v>
      </c>
      <c r="R102" s="11">
        <v>1</v>
      </c>
      <c r="S102" s="11" t="s">
        <v>1453</v>
      </c>
      <c r="T102" s="11" t="s">
        <v>1454</v>
      </c>
      <c r="U102" s="11" t="s">
        <v>1406</v>
      </c>
      <c r="V102" s="11">
        <v>16</v>
      </c>
      <c r="W102" s="11" t="b">
        <v>1</v>
      </c>
      <c r="X102" s="11">
        <v>240808</v>
      </c>
      <c r="Y102" s="11" t="s">
        <v>1405</v>
      </c>
      <c r="Z102" s="11">
        <v>0</v>
      </c>
      <c r="AA102" s="11">
        <v>0</v>
      </c>
      <c r="AB102" s="11" t="s">
        <v>1405</v>
      </c>
      <c r="AC102" s="11" t="s">
        <v>1405</v>
      </c>
      <c r="AD102" s="11">
        <v>0</v>
      </c>
      <c r="AE102" s="11" t="s">
        <v>1405</v>
      </c>
      <c r="AF102" s="11" t="s">
        <v>1405</v>
      </c>
    </row>
    <row r="103" spans="1:32" x14ac:dyDescent="0.2">
      <c r="A103" s="3" t="s">
        <v>1972</v>
      </c>
      <c r="B103" s="6" t="s">
        <v>1443</v>
      </c>
      <c r="C103" s="6">
        <v>102</v>
      </c>
      <c r="D103" s="7">
        <v>52</v>
      </c>
      <c r="E103" s="6" t="s">
        <v>1444</v>
      </c>
      <c r="F103" s="6" t="s">
        <v>1445</v>
      </c>
      <c r="G103" s="6" t="s">
        <v>1446</v>
      </c>
      <c r="H103" s="6" t="s">
        <v>95</v>
      </c>
      <c r="I103" s="6" t="s">
        <v>1415</v>
      </c>
      <c r="J103" s="6" t="s">
        <v>1407</v>
      </c>
      <c r="K103" s="8" t="s">
        <v>1477</v>
      </c>
      <c r="L103" s="6" t="s">
        <v>1474</v>
      </c>
      <c r="M103" s="6" t="s">
        <v>1475</v>
      </c>
      <c r="N103" s="6" t="s">
        <v>1407</v>
      </c>
      <c r="O103" s="6" t="s">
        <v>1405</v>
      </c>
      <c r="P103" s="6" t="s">
        <v>1395</v>
      </c>
      <c r="Q103" s="6" t="s">
        <v>1456</v>
      </c>
      <c r="R103" s="6">
        <v>2</v>
      </c>
      <c r="S103" s="6" t="s">
        <v>1453</v>
      </c>
      <c r="T103" s="6" t="s">
        <v>1454</v>
      </c>
      <c r="U103" s="6" t="s">
        <v>1406</v>
      </c>
      <c r="V103" s="6">
        <v>16</v>
      </c>
      <c r="W103" s="6" t="b">
        <v>1</v>
      </c>
      <c r="X103" s="6">
        <v>240808</v>
      </c>
      <c r="Y103" s="6" t="s">
        <v>1405</v>
      </c>
      <c r="Z103" s="6">
        <v>0</v>
      </c>
      <c r="AA103" s="6">
        <v>0</v>
      </c>
      <c r="AB103" s="6" t="s">
        <v>1405</v>
      </c>
      <c r="AC103" s="6" t="s">
        <v>1405</v>
      </c>
      <c r="AD103" s="6">
        <v>0</v>
      </c>
      <c r="AE103" s="6" t="s">
        <v>1405</v>
      </c>
      <c r="AF103" s="6" t="s">
        <v>1405</v>
      </c>
    </row>
    <row r="104" spans="1:32" x14ac:dyDescent="0.2">
      <c r="A104" s="3" t="s">
        <v>1356</v>
      </c>
      <c r="B104" s="9" t="s">
        <v>1443</v>
      </c>
      <c r="C104" s="6">
        <v>103</v>
      </c>
      <c r="D104" s="9">
        <v>52</v>
      </c>
      <c r="E104" s="9" t="s">
        <v>1457</v>
      </c>
      <c r="F104" s="10" t="s">
        <v>1445</v>
      </c>
      <c r="G104" s="9" t="s">
        <v>1458</v>
      </c>
      <c r="H104" s="9" t="s">
        <v>95</v>
      </c>
      <c r="I104" s="9" t="s">
        <v>1410</v>
      </c>
      <c r="J104" s="9" t="s">
        <v>1407</v>
      </c>
      <c r="K104" s="8" t="s">
        <v>1478</v>
      </c>
      <c r="L104" s="11" t="s">
        <v>1474</v>
      </c>
      <c r="M104" s="11" t="s">
        <v>1475</v>
      </c>
      <c r="N104" s="11" t="s">
        <v>1407</v>
      </c>
      <c r="O104" s="11" t="s">
        <v>1405</v>
      </c>
      <c r="P104" s="11" t="s">
        <v>1395</v>
      </c>
      <c r="Q104" s="11" t="s">
        <v>1456</v>
      </c>
      <c r="R104" s="11">
        <v>2</v>
      </c>
      <c r="S104" s="11" t="s">
        <v>1453</v>
      </c>
      <c r="T104" s="11" t="s">
        <v>1454</v>
      </c>
      <c r="U104" s="11" t="s">
        <v>1406</v>
      </c>
      <c r="V104" s="11">
        <v>16</v>
      </c>
      <c r="W104" s="11" t="b">
        <v>1</v>
      </c>
      <c r="X104" s="11">
        <v>240808</v>
      </c>
      <c r="Y104" s="11" t="s">
        <v>1405</v>
      </c>
      <c r="Z104" s="11">
        <v>0</v>
      </c>
      <c r="AA104" s="11">
        <v>0</v>
      </c>
      <c r="AB104" s="11" t="s">
        <v>1405</v>
      </c>
      <c r="AC104" s="11" t="s">
        <v>1405</v>
      </c>
      <c r="AD104" s="11">
        <v>0</v>
      </c>
      <c r="AE104" s="11" t="s">
        <v>1405</v>
      </c>
      <c r="AF104" s="11" t="s">
        <v>1405</v>
      </c>
    </row>
    <row r="105" spans="1:32" x14ac:dyDescent="0.2">
      <c r="A105" s="3" t="s">
        <v>1973</v>
      </c>
      <c r="B105" s="6" t="s">
        <v>1443</v>
      </c>
      <c r="C105" s="6">
        <v>104</v>
      </c>
      <c r="D105" s="7">
        <v>53</v>
      </c>
      <c r="E105" s="6" t="s">
        <v>1444</v>
      </c>
      <c r="F105" s="6" t="s">
        <v>1445</v>
      </c>
      <c r="G105" s="6" t="s">
        <v>1446</v>
      </c>
      <c r="H105" s="6" t="s">
        <v>96</v>
      </c>
      <c r="I105" s="6" t="s">
        <v>1415</v>
      </c>
      <c r="J105" s="6" t="s">
        <v>1407</v>
      </c>
      <c r="K105" s="8" t="s">
        <v>1479</v>
      </c>
      <c r="L105" s="6" t="s">
        <v>1474</v>
      </c>
      <c r="M105" s="6" t="s">
        <v>1475</v>
      </c>
      <c r="N105" s="6" t="s">
        <v>1407</v>
      </c>
      <c r="O105" s="6" t="s">
        <v>1405</v>
      </c>
      <c r="P105" s="6" t="s">
        <v>1395</v>
      </c>
      <c r="Q105" s="6" t="s">
        <v>1461</v>
      </c>
      <c r="R105" s="6">
        <v>3</v>
      </c>
      <c r="S105" s="6" t="s">
        <v>1453</v>
      </c>
      <c r="T105" s="6" t="s">
        <v>1454</v>
      </c>
      <c r="U105" s="6" t="s">
        <v>1406</v>
      </c>
      <c r="V105" s="6">
        <v>16</v>
      </c>
      <c r="W105" s="6" t="b">
        <v>1</v>
      </c>
      <c r="X105" s="6">
        <v>240808</v>
      </c>
      <c r="Y105" s="6" t="s">
        <v>1405</v>
      </c>
      <c r="Z105" s="6">
        <v>0</v>
      </c>
      <c r="AA105" s="6">
        <v>0</v>
      </c>
      <c r="AB105" s="6" t="s">
        <v>1405</v>
      </c>
      <c r="AC105" s="6" t="s">
        <v>1405</v>
      </c>
      <c r="AD105" s="6">
        <v>0</v>
      </c>
      <c r="AE105" s="6" t="s">
        <v>1405</v>
      </c>
      <c r="AF105" s="6" t="s">
        <v>1405</v>
      </c>
    </row>
    <row r="106" spans="1:32" x14ac:dyDescent="0.2">
      <c r="A106" s="3" t="s">
        <v>1357</v>
      </c>
      <c r="B106" s="9" t="s">
        <v>1443</v>
      </c>
      <c r="C106" s="6">
        <v>105</v>
      </c>
      <c r="D106" s="9">
        <v>53</v>
      </c>
      <c r="E106" s="9" t="s">
        <v>1457</v>
      </c>
      <c r="F106" s="10" t="s">
        <v>1445</v>
      </c>
      <c r="G106" s="9" t="s">
        <v>1458</v>
      </c>
      <c r="H106" s="9" t="s">
        <v>96</v>
      </c>
      <c r="I106" s="9" t="s">
        <v>1410</v>
      </c>
      <c r="J106" s="9" t="s">
        <v>1407</v>
      </c>
      <c r="K106" s="8" t="s">
        <v>1480</v>
      </c>
      <c r="L106" s="11" t="s">
        <v>1474</v>
      </c>
      <c r="M106" s="11" t="s">
        <v>1475</v>
      </c>
      <c r="N106" s="11" t="s">
        <v>1407</v>
      </c>
      <c r="O106" s="11" t="s">
        <v>1405</v>
      </c>
      <c r="P106" s="11" t="s">
        <v>1395</v>
      </c>
      <c r="Q106" s="11" t="s">
        <v>1461</v>
      </c>
      <c r="R106" s="11">
        <v>3</v>
      </c>
      <c r="S106" s="11" t="s">
        <v>1453</v>
      </c>
      <c r="T106" s="11" t="s">
        <v>1454</v>
      </c>
      <c r="U106" s="11" t="s">
        <v>1406</v>
      </c>
      <c r="V106" s="11">
        <v>16</v>
      </c>
      <c r="W106" s="11" t="b">
        <v>1</v>
      </c>
      <c r="X106" s="11">
        <v>240808</v>
      </c>
      <c r="Y106" s="11" t="s">
        <v>1405</v>
      </c>
      <c r="Z106" s="11">
        <v>0</v>
      </c>
      <c r="AA106" s="11">
        <v>0</v>
      </c>
      <c r="AB106" s="11" t="s">
        <v>1405</v>
      </c>
      <c r="AC106" s="11" t="s">
        <v>1405</v>
      </c>
      <c r="AD106" s="11">
        <v>0</v>
      </c>
      <c r="AE106" s="11" t="s">
        <v>1405</v>
      </c>
      <c r="AF106" s="11" t="s">
        <v>1405</v>
      </c>
    </row>
    <row r="107" spans="1:32" x14ac:dyDescent="0.2">
      <c r="A107" s="3" t="s">
        <v>1974</v>
      </c>
      <c r="B107" s="6" t="s">
        <v>1443</v>
      </c>
      <c r="C107" s="6">
        <v>106</v>
      </c>
      <c r="D107" s="7">
        <v>54</v>
      </c>
      <c r="E107" s="6" t="s">
        <v>1444</v>
      </c>
      <c r="F107" s="6" t="s">
        <v>1445</v>
      </c>
      <c r="G107" s="6" t="s">
        <v>1446</v>
      </c>
      <c r="H107" s="6" t="s">
        <v>97</v>
      </c>
      <c r="I107" s="6" t="s">
        <v>1415</v>
      </c>
      <c r="J107" s="6" t="s">
        <v>1407</v>
      </c>
      <c r="K107" s="8" t="s">
        <v>1481</v>
      </c>
      <c r="L107" s="6" t="s">
        <v>1474</v>
      </c>
      <c r="M107" s="6" t="s">
        <v>1475</v>
      </c>
      <c r="N107" s="6" t="s">
        <v>1407</v>
      </c>
      <c r="O107" s="6" t="s">
        <v>1405</v>
      </c>
      <c r="P107" s="6" t="s">
        <v>1395</v>
      </c>
      <c r="Q107" s="6" t="s">
        <v>1471</v>
      </c>
      <c r="R107" s="6">
        <v>4</v>
      </c>
      <c r="S107" s="6" t="s">
        <v>1453</v>
      </c>
      <c r="T107" s="6" t="s">
        <v>1454</v>
      </c>
      <c r="U107" s="6" t="s">
        <v>1406</v>
      </c>
      <c r="V107" s="6">
        <v>16</v>
      </c>
      <c r="W107" s="6" t="b">
        <v>1</v>
      </c>
      <c r="X107" s="6">
        <v>240808</v>
      </c>
      <c r="Y107" s="6" t="s">
        <v>1405</v>
      </c>
      <c r="Z107" s="6">
        <v>0</v>
      </c>
      <c r="AA107" s="6">
        <v>0</v>
      </c>
      <c r="AB107" s="6" t="s">
        <v>1405</v>
      </c>
      <c r="AC107" s="6" t="s">
        <v>1405</v>
      </c>
      <c r="AD107" s="6">
        <v>0</v>
      </c>
      <c r="AE107" s="6" t="s">
        <v>1405</v>
      </c>
      <c r="AF107" s="6" t="s">
        <v>1405</v>
      </c>
    </row>
    <row r="108" spans="1:32" x14ac:dyDescent="0.2">
      <c r="A108" s="3" t="s">
        <v>1358</v>
      </c>
      <c r="B108" s="9" t="s">
        <v>1443</v>
      </c>
      <c r="C108" s="6">
        <v>107</v>
      </c>
      <c r="D108" s="9">
        <v>54</v>
      </c>
      <c r="E108" s="9" t="s">
        <v>1457</v>
      </c>
      <c r="F108" s="10" t="s">
        <v>1445</v>
      </c>
      <c r="G108" s="9" t="s">
        <v>1458</v>
      </c>
      <c r="H108" s="9" t="s">
        <v>97</v>
      </c>
      <c r="I108" s="9" t="s">
        <v>1410</v>
      </c>
      <c r="J108" s="9" t="s">
        <v>1407</v>
      </c>
      <c r="K108" s="8" t="s">
        <v>1482</v>
      </c>
      <c r="L108" s="11" t="s">
        <v>1474</v>
      </c>
      <c r="M108" s="11" t="s">
        <v>1475</v>
      </c>
      <c r="N108" s="11" t="s">
        <v>1407</v>
      </c>
      <c r="O108" s="11" t="s">
        <v>1405</v>
      </c>
      <c r="P108" s="11" t="s">
        <v>1395</v>
      </c>
      <c r="Q108" s="11" t="s">
        <v>1471</v>
      </c>
      <c r="R108" s="11">
        <v>4</v>
      </c>
      <c r="S108" s="11" t="s">
        <v>1453</v>
      </c>
      <c r="T108" s="11" t="s">
        <v>1454</v>
      </c>
      <c r="U108" s="11" t="s">
        <v>1406</v>
      </c>
      <c r="V108" s="11">
        <v>16</v>
      </c>
      <c r="W108" s="11" t="b">
        <v>1</v>
      </c>
      <c r="X108" s="11">
        <v>240808</v>
      </c>
      <c r="Y108" s="11" t="s">
        <v>1405</v>
      </c>
      <c r="Z108" s="11">
        <v>0</v>
      </c>
      <c r="AA108" s="11">
        <v>0</v>
      </c>
      <c r="AB108" s="11" t="s">
        <v>1405</v>
      </c>
      <c r="AC108" s="11" t="s">
        <v>1405</v>
      </c>
      <c r="AD108" s="11">
        <v>0</v>
      </c>
      <c r="AE108" s="11" t="s">
        <v>1405</v>
      </c>
      <c r="AF108" s="11" t="s">
        <v>1405</v>
      </c>
    </row>
    <row r="109" spans="1:32" x14ac:dyDescent="0.2">
      <c r="A109" s="3" t="s">
        <v>1975</v>
      </c>
      <c r="B109" s="6" t="s">
        <v>1443</v>
      </c>
      <c r="C109" s="6">
        <v>108</v>
      </c>
      <c r="D109" s="7">
        <v>55</v>
      </c>
      <c r="E109" s="6" t="s">
        <v>1444</v>
      </c>
      <c r="F109" s="6" t="s">
        <v>1445</v>
      </c>
      <c r="G109" s="6" t="s">
        <v>1446</v>
      </c>
      <c r="H109" s="6" t="s">
        <v>108</v>
      </c>
      <c r="I109" s="6" t="s">
        <v>1415</v>
      </c>
      <c r="J109" s="6" t="s">
        <v>1485</v>
      </c>
      <c r="K109" s="8" t="s">
        <v>1405</v>
      </c>
      <c r="L109" s="6" t="s">
        <v>1404</v>
      </c>
      <c r="M109" s="6" t="s">
        <v>1486</v>
      </c>
      <c r="N109" s="6" t="s">
        <v>1405</v>
      </c>
      <c r="O109" s="6" t="s">
        <v>1405</v>
      </c>
      <c r="P109" s="6" t="s">
        <v>1405</v>
      </c>
      <c r="Q109" s="6" t="s">
        <v>1405</v>
      </c>
      <c r="R109" s="6">
        <v>0</v>
      </c>
      <c r="S109" s="6" t="s">
        <v>1405</v>
      </c>
      <c r="T109" s="6"/>
      <c r="U109" s="6" t="s">
        <v>1405</v>
      </c>
      <c r="V109" s="6">
        <v>0</v>
      </c>
      <c r="W109" s="6" t="b">
        <v>0</v>
      </c>
      <c r="X109" s="6">
        <v>0</v>
      </c>
      <c r="Y109" s="6" t="s">
        <v>1405</v>
      </c>
      <c r="Z109" s="6">
        <v>0</v>
      </c>
      <c r="AA109" s="6">
        <v>0</v>
      </c>
      <c r="AB109" s="6" t="s">
        <v>1405</v>
      </c>
      <c r="AC109" s="6" t="s">
        <v>1405</v>
      </c>
      <c r="AD109" s="6">
        <v>0</v>
      </c>
      <c r="AE109" s="6" t="s">
        <v>1405</v>
      </c>
      <c r="AF109" s="6" t="s">
        <v>1405</v>
      </c>
    </row>
    <row r="110" spans="1:32" x14ac:dyDescent="0.2">
      <c r="A110" s="3" t="s">
        <v>1391</v>
      </c>
      <c r="B110" s="9" t="s">
        <v>1443</v>
      </c>
      <c r="C110" s="6">
        <v>109</v>
      </c>
      <c r="D110" s="9">
        <v>55</v>
      </c>
      <c r="E110" s="9" t="s">
        <v>1457</v>
      </c>
      <c r="F110" s="10" t="s">
        <v>1445</v>
      </c>
      <c r="G110" s="9" t="s">
        <v>1458</v>
      </c>
      <c r="H110" s="9" t="s">
        <v>139</v>
      </c>
      <c r="I110" s="9" t="s">
        <v>1411</v>
      </c>
      <c r="J110" s="9" t="s">
        <v>1485</v>
      </c>
      <c r="K110" s="8" t="s">
        <v>1405</v>
      </c>
      <c r="L110" s="11" t="s">
        <v>1404</v>
      </c>
      <c r="M110" s="11" t="s">
        <v>1486</v>
      </c>
      <c r="N110" s="11" t="s">
        <v>1405</v>
      </c>
      <c r="O110" s="11" t="s">
        <v>1405</v>
      </c>
      <c r="P110" s="11" t="s">
        <v>1405</v>
      </c>
      <c r="Q110" s="11" t="s">
        <v>1405</v>
      </c>
      <c r="R110" s="11">
        <v>0</v>
      </c>
      <c r="S110" s="11" t="s">
        <v>1405</v>
      </c>
      <c r="T110" s="11"/>
      <c r="U110" s="11" t="s">
        <v>1405</v>
      </c>
      <c r="V110" s="11">
        <v>0</v>
      </c>
      <c r="W110" s="11" t="b">
        <v>0</v>
      </c>
      <c r="X110" s="11">
        <v>0</v>
      </c>
      <c r="Y110" s="11" t="s">
        <v>1405</v>
      </c>
      <c r="Z110" s="11">
        <v>0</v>
      </c>
      <c r="AA110" s="11">
        <v>0</v>
      </c>
      <c r="AB110" s="11" t="s">
        <v>1405</v>
      </c>
      <c r="AC110" s="11" t="s">
        <v>1405</v>
      </c>
      <c r="AD110" s="11">
        <v>0</v>
      </c>
      <c r="AE110" s="11" t="s">
        <v>1405</v>
      </c>
      <c r="AF110" s="11" t="s">
        <v>1405</v>
      </c>
    </row>
    <row r="111" spans="1:32" x14ac:dyDescent="0.2">
      <c r="A111" s="3" t="s">
        <v>1976</v>
      </c>
      <c r="B111" s="6" t="s">
        <v>1443</v>
      </c>
      <c r="C111" s="6">
        <v>110</v>
      </c>
      <c r="D111" s="7">
        <v>56</v>
      </c>
      <c r="E111" s="6" t="s">
        <v>1444</v>
      </c>
      <c r="F111" s="6" t="s">
        <v>1445</v>
      </c>
      <c r="G111" s="6" t="s">
        <v>1446</v>
      </c>
      <c r="H111" s="6" t="s">
        <v>109</v>
      </c>
      <c r="I111" s="6" t="s">
        <v>1415</v>
      </c>
      <c r="J111" s="6" t="s">
        <v>1485</v>
      </c>
      <c r="K111" s="8" t="s">
        <v>1405</v>
      </c>
      <c r="L111" s="6" t="s">
        <v>1404</v>
      </c>
      <c r="M111" s="6" t="s">
        <v>1486</v>
      </c>
      <c r="N111" s="6" t="s">
        <v>1405</v>
      </c>
      <c r="O111" s="6" t="s">
        <v>1405</v>
      </c>
      <c r="P111" s="6" t="s">
        <v>1405</v>
      </c>
      <c r="Q111" s="6" t="s">
        <v>1405</v>
      </c>
      <c r="R111" s="6">
        <v>0</v>
      </c>
      <c r="S111" s="6" t="s">
        <v>1405</v>
      </c>
      <c r="T111" s="6"/>
      <c r="U111" s="6" t="s">
        <v>1405</v>
      </c>
      <c r="V111" s="6">
        <v>0</v>
      </c>
      <c r="W111" s="6" t="b">
        <v>0</v>
      </c>
      <c r="X111" s="6">
        <v>0</v>
      </c>
      <c r="Y111" s="6" t="s">
        <v>1405</v>
      </c>
      <c r="Z111" s="6">
        <v>0</v>
      </c>
      <c r="AA111" s="6">
        <v>0</v>
      </c>
      <c r="AB111" s="6" t="s">
        <v>1405</v>
      </c>
      <c r="AC111" s="6" t="s">
        <v>1405</v>
      </c>
      <c r="AD111" s="6">
        <v>0</v>
      </c>
      <c r="AE111" s="6" t="s">
        <v>1405</v>
      </c>
      <c r="AF111" s="6" t="s">
        <v>1405</v>
      </c>
    </row>
    <row r="112" spans="1:32" x14ac:dyDescent="0.2">
      <c r="A112" s="3" t="s">
        <v>1392</v>
      </c>
      <c r="B112" s="9" t="s">
        <v>1443</v>
      </c>
      <c r="C112" s="6">
        <v>111</v>
      </c>
      <c r="D112" s="9">
        <v>56</v>
      </c>
      <c r="E112" s="9" t="s">
        <v>1457</v>
      </c>
      <c r="F112" s="10" t="s">
        <v>1445</v>
      </c>
      <c r="G112" s="9" t="s">
        <v>1458</v>
      </c>
      <c r="H112" s="9" t="s">
        <v>140</v>
      </c>
      <c r="I112" s="9" t="s">
        <v>1411</v>
      </c>
      <c r="J112" s="9" t="s">
        <v>1485</v>
      </c>
      <c r="K112" s="8" t="s">
        <v>1405</v>
      </c>
      <c r="L112" s="11" t="s">
        <v>1404</v>
      </c>
      <c r="M112" s="11" t="s">
        <v>1486</v>
      </c>
      <c r="N112" s="11" t="s">
        <v>1405</v>
      </c>
      <c r="O112" s="11" t="s">
        <v>1405</v>
      </c>
      <c r="P112" s="11" t="s">
        <v>1405</v>
      </c>
      <c r="Q112" s="11" t="s">
        <v>1405</v>
      </c>
      <c r="R112" s="11">
        <v>0</v>
      </c>
      <c r="S112" s="11" t="s">
        <v>1405</v>
      </c>
      <c r="T112" s="11"/>
      <c r="U112" s="11" t="s">
        <v>1405</v>
      </c>
      <c r="V112" s="11">
        <v>0</v>
      </c>
      <c r="W112" s="11" t="b">
        <v>0</v>
      </c>
      <c r="X112" s="11">
        <v>0</v>
      </c>
      <c r="Y112" s="11" t="s">
        <v>1405</v>
      </c>
      <c r="Z112" s="11">
        <v>0</v>
      </c>
      <c r="AA112" s="11">
        <v>0</v>
      </c>
      <c r="AB112" s="11" t="s">
        <v>1405</v>
      </c>
      <c r="AC112" s="11" t="s">
        <v>1405</v>
      </c>
      <c r="AD112" s="11">
        <v>0</v>
      </c>
      <c r="AE112" s="11" t="s">
        <v>1405</v>
      </c>
      <c r="AF112" s="11" t="s">
        <v>1405</v>
      </c>
    </row>
    <row r="113" spans="1:32" x14ac:dyDescent="0.2">
      <c r="A113" s="3" t="s">
        <v>1977</v>
      </c>
      <c r="B113" s="6" t="s">
        <v>1443</v>
      </c>
      <c r="C113" s="6">
        <v>112</v>
      </c>
      <c r="D113" s="7">
        <v>57</v>
      </c>
      <c r="E113" s="6" t="s">
        <v>1444</v>
      </c>
      <c r="F113" s="6" t="s">
        <v>1445</v>
      </c>
      <c r="G113" s="6" t="s">
        <v>1446</v>
      </c>
      <c r="H113" s="6" t="s">
        <v>110</v>
      </c>
      <c r="I113" s="6" t="s">
        <v>1415</v>
      </c>
      <c r="J113" s="6" t="s">
        <v>1485</v>
      </c>
      <c r="K113" s="8" t="s">
        <v>1405</v>
      </c>
      <c r="L113" s="6" t="s">
        <v>1394</v>
      </c>
      <c r="M113" s="6" t="s">
        <v>1487</v>
      </c>
      <c r="N113" s="6" t="s">
        <v>1405</v>
      </c>
      <c r="O113" s="6" t="s">
        <v>1405</v>
      </c>
      <c r="P113" s="6" t="s">
        <v>1405</v>
      </c>
      <c r="Q113" s="6" t="s">
        <v>1405</v>
      </c>
      <c r="R113" s="6">
        <v>0</v>
      </c>
      <c r="S113" s="6" t="s">
        <v>1405</v>
      </c>
      <c r="T113" s="6"/>
      <c r="U113" s="6" t="s">
        <v>1405</v>
      </c>
      <c r="V113" s="6">
        <v>0</v>
      </c>
      <c r="W113" s="6" t="b">
        <v>0</v>
      </c>
      <c r="X113" s="6">
        <v>0</v>
      </c>
      <c r="Y113" s="6" t="s">
        <v>1405</v>
      </c>
      <c r="Z113" s="6">
        <v>0</v>
      </c>
      <c r="AA113" s="6">
        <v>0</v>
      </c>
      <c r="AB113" s="6" t="s">
        <v>1405</v>
      </c>
      <c r="AC113" s="6" t="s">
        <v>1405</v>
      </c>
      <c r="AD113" s="6">
        <v>0</v>
      </c>
      <c r="AE113" s="6" t="s">
        <v>1405</v>
      </c>
      <c r="AF113" s="6" t="s">
        <v>1405</v>
      </c>
    </row>
    <row r="114" spans="1:32" x14ac:dyDescent="0.2">
      <c r="A114" s="3" t="s">
        <v>1393</v>
      </c>
      <c r="B114" s="9" t="s">
        <v>1443</v>
      </c>
      <c r="C114" s="6">
        <v>113</v>
      </c>
      <c r="D114" s="9">
        <v>57</v>
      </c>
      <c r="E114" s="9" t="s">
        <v>1457</v>
      </c>
      <c r="F114" s="10" t="s">
        <v>1445</v>
      </c>
      <c r="G114" s="9" t="s">
        <v>1458</v>
      </c>
      <c r="H114" s="9" t="s">
        <v>141</v>
      </c>
      <c r="I114" s="9" t="s">
        <v>1411</v>
      </c>
      <c r="J114" s="9" t="s">
        <v>1485</v>
      </c>
      <c r="K114" s="8" t="s">
        <v>1405</v>
      </c>
      <c r="L114" s="11" t="s">
        <v>1394</v>
      </c>
      <c r="M114" s="11" t="s">
        <v>1487</v>
      </c>
      <c r="N114" s="11" t="s">
        <v>1405</v>
      </c>
      <c r="O114" s="11" t="s">
        <v>1405</v>
      </c>
      <c r="P114" s="11" t="s">
        <v>1405</v>
      </c>
      <c r="Q114" s="11" t="s">
        <v>1405</v>
      </c>
      <c r="R114" s="11">
        <v>0</v>
      </c>
      <c r="S114" s="11" t="s">
        <v>1405</v>
      </c>
      <c r="T114" s="11"/>
      <c r="U114" s="11" t="s">
        <v>1405</v>
      </c>
      <c r="V114" s="11">
        <v>0</v>
      </c>
      <c r="W114" s="11" t="b">
        <v>0</v>
      </c>
      <c r="X114" s="11">
        <v>0</v>
      </c>
      <c r="Y114" s="11" t="s">
        <v>1405</v>
      </c>
      <c r="Z114" s="11">
        <v>0</v>
      </c>
      <c r="AA114" s="11">
        <v>0</v>
      </c>
      <c r="AB114" s="11" t="s">
        <v>1405</v>
      </c>
      <c r="AC114" s="11" t="s">
        <v>1405</v>
      </c>
      <c r="AD114" s="11">
        <v>0</v>
      </c>
      <c r="AE114" s="11" t="s">
        <v>1405</v>
      </c>
      <c r="AF114" s="11" t="s">
        <v>1405</v>
      </c>
    </row>
    <row r="115" spans="1:32" x14ac:dyDescent="0.2">
      <c r="A115" s="3" t="s">
        <v>1978</v>
      </c>
      <c r="B115" s="6" t="s">
        <v>1443</v>
      </c>
      <c r="C115" s="6">
        <v>114</v>
      </c>
      <c r="D115" s="7">
        <v>58</v>
      </c>
      <c r="E115" s="6" t="s">
        <v>1444</v>
      </c>
      <c r="F115" s="6" t="s">
        <v>1445</v>
      </c>
      <c r="G115" s="6" t="s">
        <v>1446</v>
      </c>
      <c r="H115" s="6" t="s">
        <v>111</v>
      </c>
      <c r="I115" s="6" t="s">
        <v>1415</v>
      </c>
      <c r="J115" s="6" t="s">
        <v>1485</v>
      </c>
      <c r="K115" s="8" t="s">
        <v>1405</v>
      </c>
      <c r="L115" s="6" t="s">
        <v>1394</v>
      </c>
      <c r="M115" s="6" t="s">
        <v>1487</v>
      </c>
      <c r="N115" s="6" t="s">
        <v>1405</v>
      </c>
      <c r="O115" s="6" t="s">
        <v>1405</v>
      </c>
      <c r="P115" s="6" t="s">
        <v>1405</v>
      </c>
      <c r="Q115" s="6" t="s">
        <v>1405</v>
      </c>
      <c r="R115" s="6">
        <v>0</v>
      </c>
      <c r="S115" s="6" t="s">
        <v>1405</v>
      </c>
      <c r="T115" s="6"/>
      <c r="U115" s="6" t="s">
        <v>1405</v>
      </c>
      <c r="V115" s="6">
        <v>0</v>
      </c>
      <c r="W115" s="6" t="b">
        <v>0</v>
      </c>
      <c r="X115" s="6">
        <v>0</v>
      </c>
      <c r="Y115" s="6" t="s">
        <v>1405</v>
      </c>
      <c r="Z115" s="6">
        <v>0</v>
      </c>
      <c r="AA115" s="6">
        <v>0</v>
      </c>
      <c r="AB115" s="6" t="s">
        <v>1405</v>
      </c>
      <c r="AC115" s="6" t="s">
        <v>1405</v>
      </c>
      <c r="AD115" s="6">
        <v>0</v>
      </c>
      <c r="AE115" s="6" t="s">
        <v>1405</v>
      </c>
      <c r="AF115" s="6" t="s">
        <v>1405</v>
      </c>
    </row>
    <row r="116" spans="1:32" x14ac:dyDescent="0.2">
      <c r="A116" s="3" t="s">
        <v>1331</v>
      </c>
      <c r="B116" s="9" t="s">
        <v>1443</v>
      </c>
      <c r="C116" s="6">
        <v>115</v>
      </c>
      <c r="D116" s="9">
        <v>58</v>
      </c>
      <c r="E116" s="9" t="s">
        <v>1457</v>
      </c>
      <c r="F116" s="10" t="s">
        <v>1445</v>
      </c>
      <c r="G116" s="9" t="s">
        <v>1458</v>
      </c>
      <c r="H116" s="9" t="s">
        <v>22</v>
      </c>
      <c r="I116" s="9" t="s">
        <v>1409</v>
      </c>
      <c r="J116" s="9" t="s">
        <v>1485</v>
      </c>
      <c r="K116" s="8" t="s">
        <v>1405</v>
      </c>
      <c r="L116" s="11" t="s">
        <v>1394</v>
      </c>
      <c r="M116" s="11" t="s">
        <v>1487</v>
      </c>
      <c r="N116" s="11" t="s">
        <v>1405</v>
      </c>
      <c r="O116" s="11" t="s">
        <v>1405</v>
      </c>
      <c r="P116" s="11" t="s">
        <v>1405</v>
      </c>
      <c r="Q116" s="11" t="s">
        <v>1405</v>
      </c>
      <c r="R116" s="11">
        <v>0</v>
      </c>
      <c r="S116" s="11" t="s">
        <v>1405</v>
      </c>
      <c r="T116" s="11"/>
      <c r="U116" s="11" t="s">
        <v>1405</v>
      </c>
      <c r="V116" s="11">
        <v>0</v>
      </c>
      <c r="W116" s="11" t="b">
        <v>0</v>
      </c>
      <c r="X116" s="11">
        <v>0</v>
      </c>
      <c r="Y116" s="11" t="s">
        <v>1405</v>
      </c>
      <c r="Z116" s="11">
        <v>0</v>
      </c>
      <c r="AA116" s="11">
        <v>0</v>
      </c>
      <c r="AB116" s="11" t="s">
        <v>1405</v>
      </c>
      <c r="AC116" s="11" t="s">
        <v>1405</v>
      </c>
      <c r="AD116" s="11">
        <v>0</v>
      </c>
      <c r="AE116" s="11" t="s">
        <v>1405</v>
      </c>
      <c r="AF116" s="11" t="s">
        <v>1405</v>
      </c>
    </row>
    <row r="117" spans="1:32" x14ac:dyDescent="0.2">
      <c r="A117" s="3" t="s">
        <v>1979</v>
      </c>
      <c r="B117" s="6" t="s">
        <v>1443</v>
      </c>
      <c r="C117" s="6">
        <v>116</v>
      </c>
      <c r="D117" s="7">
        <v>59</v>
      </c>
      <c r="E117" s="6" t="s">
        <v>1444</v>
      </c>
      <c r="F117" s="6" t="s">
        <v>1445</v>
      </c>
      <c r="G117" s="6" t="s">
        <v>1446</v>
      </c>
      <c r="H117" s="6" t="s">
        <v>112</v>
      </c>
      <c r="I117" s="6" t="s">
        <v>1415</v>
      </c>
      <c r="J117" s="6" t="s">
        <v>1485</v>
      </c>
      <c r="K117" s="8" t="s">
        <v>1405</v>
      </c>
      <c r="L117" s="6" t="s">
        <v>1474</v>
      </c>
      <c r="M117" s="6" t="s">
        <v>1488</v>
      </c>
      <c r="N117" s="6" t="s">
        <v>1405</v>
      </c>
      <c r="O117" s="6" t="s">
        <v>1405</v>
      </c>
      <c r="P117" s="6" t="s">
        <v>1405</v>
      </c>
      <c r="Q117" s="6" t="s">
        <v>1405</v>
      </c>
      <c r="R117" s="6">
        <v>0</v>
      </c>
      <c r="S117" s="6" t="s">
        <v>1405</v>
      </c>
      <c r="T117" s="6"/>
      <c r="U117" s="6" t="s">
        <v>1405</v>
      </c>
      <c r="V117" s="6">
        <v>0</v>
      </c>
      <c r="W117" s="6" t="b">
        <v>0</v>
      </c>
      <c r="X117" s="6">
        <v>0</v>
      </c>
      <c r="Y117" s="6" t="s">
        <v>1405</v>
      </c>
      <c r="Z117" s="6">
        <v>0</v>
      </c>
      <c r="AA117" s="6">
        <v>0</v>
      </c>
      <c r="AB117" s="6" t="s">
        <v>1405</v>
      </c>
      <c r="AC117" s="6" t="s">
        <v>1405</v>
      </c>
      <c r="AD117" s="6">
        <v>0</v>
      </c>
      <c r="AE117" s="6" t="s">
        <v>1405</v>
      </c>
      <c r="AF117" s="6" t="s">
        <v>1405</v>
      </c>
    </row>
    <row r="118" spans="1:32" x14ac:dyDescent="0.2">
      <c r="A118" s="3" t="s">
        <v>1332</v>
      </c>
      <c r="B118" s="9" t="s">
        <v>1443</v>
      </c>
      <c r="C118" s="6">
        <v>117</v>
      </c>
      <c r="D118" s="9">
        <v>59</v>
      </c>
      <c r="E118" s="9" t="s">
        <v>1457</v>
      </c>
      <c r="F118" s="10" t="s">
        <v>1445</v>
      </c>
      <c r="G118" s="9" t="s">
        <v>1458</v>
      </c>
      <c r="H118" s="9" t="s">
        <v>30</v>
      </c>
      <c r="I118" s="9" t="s">
        <v>1409</v>
      </c>
      <c r="J118" s="9" t="s">
        <v>1485</v>
      </c>
      <c r="K118" s="8" t="s">
        <v>1405</v>
      </c>
      <c r="L118" s="11" t="s">
        <v>1474</v>
      </c>
      <c r="M118" s="11" t="s">
        <v>1488</v>
      </c>
      <c r="N118" s="11" t="s">
        <v>1405</v>
      </c>
      <c r="O118" s="11" t="s">
        <v>1405</v>
      </c>
      <c r="P118" s="11" t="s">
        <v>1405</v>
      </c>
      <c r="Q118" s="11" t="s">
        <v>1405</v>
      </c>
      <c r="R118" s="11">
        <v>0</v>
      </c>
      <c r="S118" s="11" t="s">
        <v>1405</v>
      </c>
      <c r="T118" s="11"/>
      <c r="U118" s="11" t="s">
        <v>1405</v>
      </c>
      <c r="V118" s="11">
        <v>0</v>
      </c>
      <c r="W118" s="11" t="b">
        <v>0</v>
      </c>
      <c r="X118" s="11">
        <v>0</v>
      </c>
      <c r="Y118" s="11" t="s">
        <v>1405</v>
      </c>
      <c r="Z118" s="11">
        <v>0</v>
      </c>
      <c r="AA118" s="11">
        <v>0</v>
      </c>
      <c r="AB118" s="11" t="s">
        <v>1405</v>
      </c>
      <c r="AC118" s="11" t="s">
        <v>1405</v>
      </c>
      <c r="AD118" s="11">
        <v>0</v>
      </c>
      <c r="AE118" s="11" t="s">
        <v>1405</v>
      </c>
      <c r="AF118" s="11" t="s">
        <v>1405</v>
      </c>
    </row>
    <row r="119" spans="1:32" x14ac:dyDescent="0.2">
      <c r="A119" s="3" t="s">
        <v>1980</v>
      </c>
      <c r="B119" s="6" t="s">
        <v>1443</v>
      </c>
      <c r="C119" s="6">
        <v>118</v>
      </c>
      <c r="D119" s="7">
        <v>60</v>
      </c>
      <c r="E119" s="6" t="s">
        <v>1444</v>
      </c>
      <c r="F119" s="6" t="s">
        <v>1445</v>
      </c>
      <c r="G119" s="6" t="s">
        <v>1446</v>
      </c>
      <c r="H119" s="6" t="s">
        <v>113</v>
      </c>
      <c r="I119" s="6" t="s">
        <v>1415</v>
      </c>
      <c r="J119" s="6" t="s">
        <v>1485</v>
      </c>
      <c r="K119" s="8" t="s">
        <v>1405</v>
      </c>
      <c r="L119" s="6" t="s">
        <v>1474</v>
      </c>
      <c r="M119" s="6" t="s">
        <v>1488</v>
      </c>
      <c r="N119" s="6" t="s">
        <v>1405</v>
      </c>
      <c r="O119" s="6" t="s">
        <v>1405</v>
      </c>
      <c r="P119" s="6" t="s">
        <v>1405</v>
      </c>
      <c r="Q119" s="6" t="s">
        <v>1405</v>
      </c>
      <c r="R119" s="6">
        <v>0</v>
      </c>
      <c r="S119" s="6" t="s">
        <v>1405</v>
      </c>
      <c r="T119" s="6"/>
      <c r="U119" s="6" t="s">
        <v>1405</v>
      </c>
      <c r="V119" s="6">
        <v>0</v>
      </c>
      <c r="W119" s="6" t="b">
        <v>0</v>
      </c>
      <c r="X119" s="6">
        <v>0</v>
      </c>
      <c r="Y119" s="6" t="s">
        <v>1405</v>
      </c>
      <c r="Z119" s="6">
        <v>0</v>
      </c>
      <c r="AA119" s="6">
        <v>0</v>
      </c>
      <c r="AB119" s="6" t="s">
        <v>1405</v>
      </c>
      <c r="AC119" s="6" t="s">
        <v>1405</v>
      </c>
      <c r="AD119" s="6">
        <v>0</v>
      </c>
      <c r="AE119" s="6" t="s">
        <v>1405</v>
      </c>
      <c r="AF119" s="6" t="s">
        <v>1405</v>
      </c>
    </row>
    <row r="120" spans="1:32" x14ac:dyDescent="0.2">
      <c r="A120" s="3" t="s">
        <v>1333</v>
      </c>
      <c r="B120" s="9" t="s">
        <v>1443</v>
      </c>
      <c r="C120" s="6">
        <v>119</v>
      </c>
      <c r="D120" s="9">
        <v>60</v>
      </c>
      <c r="E120" s="9" t="s">
        <v>1457</v>
      </c>
      <c r="F120" s="10" t="s">
        <v>1445</v>
      </c>
      <c r="G120" s="9" t="s">
        <v>1458</v>
      </c>
      <c r="H120" s="9" t="s">
        <v>32</v>
      </c>
      <c r="I120" s="9" t="s">
        <v>1409</v>
      </c>
      <c r="J120" s="9" t="s">
        <v>1485</v>
      </c>
      <c r="K120" s="8" t="s">
        <v>1405</v>
      </c>
      <c r="L120" s="11" t="s">
        <v>1474</v>
      </c>
      <c r="M120" s="11" t="s">
        <v>1488</v>
      </c>
      <c r="N120" s="11" t="s">
        <v>1405</v>
      </c>
      <c r="O120" s="11" t="s">
        <v>1405</v>
      </c>
      <c r="P120" s="11" t="s">
        <v>1405</v>
      </c>
      <c r="Q120" s="11" t="s">
        <v>1405</v>
      </c>
      <c r="R120" s="11">
        <v>0</v>
      </c>
      <c r="S120" s="11" t="s">
        <v>1405</v>
      </c>
      <c r="T120" s="11"/>
      <c r="U120" s="11" t="s">
        <v>1405</v>
      </c>
      <c r="V120" s="11">
        <v>0</v>
      </c>
      <c r="W120" s="11" t="b">
        <v>0</v>
      </c>
      <c r="X120" s="11">
        <v>0</v>
      </c>
      <c r="Y120" s="11" t="s">
        <v>1405</v>
      </c>
      <c r="Z120" s="11">
        <v>0</v>
      </c>
      <c r="AA120" s="11">
        <v>0</v>
      </c>
      <c r="AB120" s="11" t="s">
        <v>1405</v>
      </c>
      <c r="AC120" s="11" t="s">
        <v>1405</v>
      </c>
      <c r="AD120" s="11">
        <v>0</v>
      </c>
      <c r="AE120" s="11" t="s">
        <v>1405</v>
      </c>
      <c r="AF120" s="11" t="s">
        <v>1405</v>
      </c>
    </row>
    <row r="121" spans="1:32" x14ac:dyDescent="0.2">
      <c r="A121" s="3" t="s">
        <v>1981</v>
      </c>
      <c r="B121" s="6" t="s">
        <v>1443</v>
      </c>
      <c r="C121" s="6">
        <v>120</v>
      </c>
      <c r="D121" s="7">
        <v>61</v>
      </c>
      <c r="E121" s="6" t="s">
        <v>1444</v>
      </c>
      <c r="F121" s="6" t="s">
        <v>1445</v>
      </c>
      <c r="G121" s="6" t="s">
        <v>1446</v>
      </c>
      <c r="H121" s="6" t="s">
        <v>114</v>
      </c>
      <c r="I121" s="6" t="s">
        <v>1415</v>
      </c>
      <c r="J121" s="6" t="s">
        <v>1485</v>
      </c>
      <c r="K121" s="8" t="s">
        <v>1405</v>
      </c>
      <c r="L121" s="6" t="s">
        <v>1474</v>
      </c>
      <c r="M121" s="6" t="s">
        <v>1488</v>
      </c>
      <c r="N121" s="6" t="s">
        <v>1405</v>
      </c>
      <c r="O121" s="6" t="s">
        <v>1405</v>
      </c>
      <c r="P121" s="6" t="s">
        <v>1405</v>
      </c>
      <c r="Q121" s="6" t="s">
        <v>1405</v>
      </c>
      <c r="R121" s="6">
        <v>0</v>
      </c>
      <c r="S121" s="6" t="s">
        <v>1405</v>
      </c>
      <c r="T121" s="6"/>
      <c r="U121" s="6" t="s">
        <v>1405</v>
      </c>
      <c r="V121" s="6">
        <v>0</v>
      </c>
      <c r="W121" s="6" t="b">
        <v>0</v>
      </c>
      <c r="X121" s="6">
        <v>0</v>
      </c>
      <c r="Y121" s="6" t="s">
        <v>1405</v>
      </c>
      <c r="Z121" s="6">
        <v>0</v>
      </c>
      <c r="AA121" s="6">
        <v>0</v>
      </c>
      <c r="AB121" s="6" t="s">
        <v>1405</v>
      </c>
      <c r="AC121" s="6" t="s">
        <v>1405</v>
      </c>
      <c r="AD121" s="6">
        <v>0</v>
      </c>
      <c r="AE121" s="6" t="s">
        <v>1405</v>
      </c>
      <c r="AF121" s="6" t="s">
        <v>1405</v>
      </c>
    </row>
    <row r="122" spans="1:32" x14ac:dyDescent="0.2">
      <c r="A122" s="3" t="s">
        <v>1334</v>
      </c>
      <c r="B122" s="9" t="s">
        <v>1443</v>
      </c>
      <c r="C122" s="6">
        <v>121</v>
      </c>
      <c r="D122" s="9">
        <v>61</v>
      </c>
      <c r="E122" s="9" t="s">
        <v>1457</v>
      </c>
      <c r="F122" s="10" t="s">
        <v>1445</v>
      </c>
      <c r="G122" s="9" t="s">
        <v>1458</v>
      </c>
      <c r="H122" s="9" t="s">
        <v>34</v>
      </c>
      <c r="I122" s="9" t="s">
        <v>1409</v>
      </c>
      <c r="J122" s="9" t="s">
        <v>1485</v>
      </c>
      <c r="K122" s="8" t="s">
        <v>1405</v>
      </c>
      <c r="L122" s="11" t="s">
        <v>1474</v>
      </c>
      <c r="M122" s="11" t="s">
        <v>1488</v>
      </c>
      <c r="N122" s="11" t="s">
        <v>1405</v>
      </c>
      <c r="O122" s="11" t="s">
        <v>1405</v>
      </c>
      <c r="P122" s="11" t="s">
        <v>1405</v>
      </c>
      <c r="Q122" s="11" t="s">
        <v>1405</v>
      </c>
      <c r="R122" s="11">
        <v>0</v>
      </c>
      <c r="S122" s="11" t="s">
        <v>1405</v>
      </c>
      <c r="T122" s="11"/>
      <c r="U122" s="11" t="s">
        <v>1405</v>
      </c>
      <c r="V122" s="11">
        <v>0</v>
      </c>
      <c r="W122" s="11" t="b">
        <v>0</v>
      </c>
      <c r="X122" s="11">
        <v>0</v>
      </c>
      <c r="Y122" s="11" t="s">
        <v>1405</v>
      </c>
      <c r="Z122" s="11">
        <v>0</v>
      </c>
      <c r="AA122" s="11">
        <v>0</v>
      </c>
      <c r="AB122" s="11" t="s">
        <v>1405</v>
      </c>
      <c r="AC122" s="11" t="s">
        <v>1405</v>
      </c>
      <c r="AD122" s="11">
        <v>0</v>
      </c>
      <c r="AE122" s="11" t="s">
        <v>1405</v>
      </c>
      <c r="AF122" s="11" t="s">
        <v>1405</v>
      </c>
    </row>
    <row r="123" spans="1:32" x14ac:dyDescent="0.2">
      <c r="A123" s="3" t="s">
        <v>1982</v>
      </c>
      <c r="B123" s="6" t="s">
        <v>1443</v>
      </c>
      <c r="C123" s="6">
        <v>122</v>
      </c>
      <c r="D123" s="7">
        <v>62</v>
      </c>
      <c r="E123" s="6" t="s">
        <v>1444</v>
      </c>
      <c r="F123" s="6" t="s">
        <v>1445</v>
      </c>
      <c r="G123" s="6" t="s">
        <v>1446</v>
      </c>
      <c r="H123" s="6" t="s">
        <v>140</v>
      </c>
      <c r="I123" s="6" t="s">
        <v>1414</v>
      </c>
      <c r="J123" s="6" t="s">
        <v>1407</v>
      </c>
      <c r="K123" s="8" t="s">
        <v>1489</v>
      </c>
      <c r="L123" s="6" t="s">
        <v>1395</v>
      </c>
      <c r="M123" s="6" t="s">
        <v>1490</v>
      </c>
      <c r="N123" s="6" t="s">
        <v>1407</v>
      </c>
      <c r="O123" s="6" t="s">
        <v>1405</v>
      </c>
      <c r="P123" s="6" t="s">
        <v>1395</v>
      </c>
      <c r="Q123" s="6" t="s">
        <v>1491</v>
      </c>
      <c r="R123" s="6">
        <v>1</v>
      </c>
      <c r="S123" s="6" t="s">
        <v>1453</v>
      </c>
      <c r="T123" s="6" t="s">
        <v>1454</v>
      </c>
      <c r="U123" s="6" t="s">
        <v>1406</v>
      </c>
      <c r="V123" s="6">
        <v>16</v>
      </c>
      <c r="W123" s="6" t="b">
        <v>1</v>
      </c>
      <c r="X123" s="6">
        <v>240808</v>
      </c>
      <c r="Y123" s="6" t="s">
        <v>1405</v>
      </c>
      <c r="Z123" s="6">
        <v>0</v>
      </c>
      <c r="AA123" s="6">
        <v>0</v>
      </c>
      <c r="AB123" s="6" t="s">
        <v>1405</v>
      </c>
      <c r="AC123" s="6" t="s">
        <v>1405</v>
      </c>
      <c r="AD123" s="6">
        <v>0</v>
      </c>
      <c r="AE123" s="6" t="s">
        <v>1405</v>
      </c>
      <c r="AF123" s="6" t="s">
        <v>1405</v>
      </c>
    </row>
    <row r="124" spans="1:32" x14ac:dyDescent="0.2">
      <c r="A124" s="3" t="s">
        <v>1335</v>
      </c>
      <c r="B124" s="9" t="s">
        <v>1443</v>
      </c>
      <c r="C124" s="6">
        <v>123</v>
      </c>
      <c r="D124" s="9">
        <v>62</v>
      </c>
      <c r="E124" s="9" t="s">
        <v>1457</v>
      </c>
      <c r="F124" s="10" t="s">
        <v>1445</v>
      </c>
      <c r="G124" s="9" t="s">
        <v>1458</v>
      </c>
      <c r="H124" s="9" t="s">
        <v>72</v>
      </c>
      <c r="I124" s="9" t="s">
        <v>1410</v>
      </c>
      <c r="J124" s="9" t="s">
        <v>1407</v>
      </c>
      <c r="K124" s="8" t="s">
        <v>1492</v>
      </c>
      <c r="L124" s="11" t="s">
        <v>1395</v>
      </c>
      <c r="M124" s="11" t="s">
        <v>1490</v>
      </c>
      <c r="N124" s="11" t="s">
        <v>1407</v>
      </c>
      <c r="O124" s="11" t="s">
        <v>1405</v>
      </c>
      <c r="P124" s="11" t="s">
        <v>1395</v>
      </c>
      <c r="Q124" s="11" t="s">
        <v>1491</v>
      </c>
      <c r="R124" s="11">
        <v>1</v>
      </c>
      <c r="S124" s="11" t="s">
        <v>1453</v>
      </c>
      <c r="T124" s="11" t="s">
        <v>1454</v>
      </c>
      <c r="U124" s="11" t="s">
        <v>1406</v>
      </c>
      <c r="V124" s="11">
        <v>16</v>
      </c>
      <c r="W124" s="11" t="b">
        <v>1</v>
      </c>
      <c r="X124" s="11">
        <v>240808</v>
      </c>
      <c r="Y124" s="11" t="s">
        <v>1405</v>
      </c>
      <c r="Z124" s="11">
        <v>0</v>
      </c>
      <c r="AA124" s="11">
        <v>0</v>
      </c>
      <c r="AB124" s="11" t="s">
        <v>1405</v>
      </c>
      <c r="AC124" s="11" t="s">
        <v>1405</v>
      </c>
      <c r="AD124" s="11">
        <v>0</v>
      </c>
      <c r="AE124" s="11" t="s">
        <v>1405</v>
      </c>
      <c r="AF124" s="11" t="s">
        <v>1405</v>
      </c>
    </row>
    <row r="125" spans="1:32" x14ac:dyDescent="0.2">
      <c r="A125" s="3" t="s">
        <v>1983</v>
      </c>
      <c r="B125" s="6" t="s">
        <v>1443</v>
      </c>
      <c r="C125" s="6">
        <v>124</v>
      </c>
      <c r="D125" s="7">
        <v>63</v>
      </c>
      <c r="E125" s="6" t="s">
        <v>1444</v>
      </c>
      <c r="F125" s="6" t="s">
        <v>1445</v>
      </c>
      <c r="G125" s="6" t="s">
        <v>1446</v>
      </c>
      <c r="H125" s="6" t="s">
        <v>141</v>
      </c>
      <c r="I125" s="6" t="s">
        <v>1414</v>
      </c>
      <c r="J125" s="6" t="s">
        <v>1407</v>
      </c>
      <c r="K125" s="8" t="s">
        <v>1493</v>
      </c>
      <c r="L125" s="6" t="s">
        <v>1395</v>
      </c>
      <c r="M125" s="6" t="s">
        <v>1490</v>
      </c>
      <c r="N125" s="6" t="s">
        <v>1407</v>
      </c>
      <c r="O125" s="6" t="s">
        <v>1405</v>
      </c>
      <c r="P125" s="6" t="s">
        <v>1395</v>
      </c>
      <c r="Q125" s="6" t="s">
        <v>1491</v>
      </c>
      <c r="R125" s="6">
        <v>2</v>
      </c>
      <c r="S125" s="6" t="s">
        <v>1453</v>
      </c>
      <c r="T125" s="6" t="s">
        <v>1454</v>
      </c>
      <c r="U125" s="6" t="s">
        <v>1406</v>
      </c>
      <c r="V125" s="6">
        <v>16</v>
      </c>
      <c r="W125" s="6" t="b">
        <v>1</v>
      </c>
      <c r="X125" s="6">
        <v>240808</v>
      </c>
      <c r="Y125" s="6" t="s">
        <v>1405</v>
      </c>
      <c r="Z125" s="6">
        <v>0</v>
      </c>
      <c r="AA125" s="6">
        <v>0</v>
      </c>
      <c r="AB125" s="6" t="s">
        <v>1405</v>
      </c>
      <c r="AC125" s="6" t="s">
        <v>1405</v>
      </c>
      <c r="AD125" s="6">
        <v>0</v>
      </c>
      <c r="AE125" s="6" t="s">
        <v>1405</v>
      </c>
      <c r="AF125" s="6" t="s">
        <v>1405</v>
      </c>
    </row>
    <row r="126" spans="1:32" x14ac:dyDescent="0.2">
      <c r="A126" s="3" t="s">
        <v>1336</v>
      </c>
      <c r="B126" s="9" t="s">
        <v>1443</v>
      </c>
      <c r="C126" s="6">
        <v>125</v>
      </c>
      <c r="D126" s="9">
        <v>63</v>
      </c>
      <c r="E126" s="9" t="s">
        <v>1457</v>
      </c>
      <c r="F126" s="10" t="s">
        <v>1445</v>
      </c>
      <c r="G126" s="9" t="s">
        <v>1458</v>
      </c>
      <c r="H126" s="9" t="s">
        <v>73</v>
      </c>
      <c r="I126" s="9" t="s">
        <v>1410</v>
      </c>
      <c r="J126" s="9" t="s">
        <v>1407</v>
      </c>
      <c r="K126" s="8" t="s">
        <v>1494</v>
      </c>
      <c r="L126" s="11" t="s">
        <v>1395</v>
      </c>
      <c r="M126" s="11" t="s">
        <v>1490</v>
      </c>
      <c r="N126" s="11" t="s">
        <v>1407</v>
      </c>
      <c r="O126" s="11" t="s">
        <v>1405</v>
      </c>
      <c r="P126" s="11" t="s">
        <v>1395</v>
      </c>
      <c r="Q126" s="11" t="s">
        <v>1491</v>
      </c>
      <c r="R126" s="11">
        <v>2</v>
      </c>
      <c r="S126" s="11" t="s">
        <v>1453</v>
      </c>
      <c r="T126" s="11" t="s">
        <v>1454</v>
      </c>
      <c r="U126" s="11" t="s">
        <v>1406</v>
      </c>
      <c r="V126" s="11">
        <v>16</v>
      </c>
      <c r="W126" s="11" t="b">
        <v>1</v>
      </c>
      <c r="X126" s="11">
        <v>240808</v>
      </c>
      <c r="Y126" s="11" t="s">
        <v>1405</v>
      </c>
      <c r="Z126" s="11">
        <v>0</v>
      </c>
      <c r="AA126" s="11">
        <v>0</v>
      </c>
      <c r="AB126" s="11" t="s">
        <v>1405</v>
      </c>
      <c r="AC126" s="11" t="s">
        <v>1405</v>
      </c>
      <c r="AD126" s="11">
        <v>0</v>
      </c>
      <c r="AE126" s="11" t="s">
        <v>1405</v>
      </c>
      <c r="AF126" s="11" t="s">
        <v>1405</v>
      </c>
    </row>
    <row r="127" spans="1:32" x14ac:dyDescent="0.2">
      <c r="A127" s="3" t="s">
        <v>1984</v>
      </c>
      <c r="B127" s="6" t="s">
        <v>1443</v>
      </c>
      <c r="C127" s="6">
        <v>126</v>
      </c>
      <c r="D127" s="7">
        <v>64</v>
      </c>
      <c r="E127" s="6" t="s">
        <v>1444</v>
      </c>
      <c r="F127" s="6" t="s">
        <v>1445</v>
      </c>
      <c r="G127" s="6" t="s">
        <v>1446</v>
      </c>
      <c r="H127" s="6" t="s">
        <v>1495</v>
      </c>
      <c r="I127" s="6" t="s">
        <v>1415</v>
      </c>
      <c r="J127" s="6" t="s">
        <v>1397</v>
      </c>
      <c r="K127" s="8" t="s">
        <v>1479</v>
      </c>
      <c r="L127" s="6" t="s">
        <v>1474</v>
      </c>
      <c r="M127" s="6" t="s">
        <v>1475</v>
      </c>
      <c r="N127" s="6" t="s">
        <v>1397</v>
      </c>
      <c r="O127" s="6" t="s">
        <v>1405</v>
      </c>
      <c r="P127" s="6" t="s">
        <v>1395</v>
      </c>
      <c r="Q127" s="6" t="s">
        <v>1461</v>
      </c>
      <c r="R127" s="6">
        <v>3</v>
      </c>
      <c r="S127" s="6" t="s">
        <v>1453</v>
      </c>
      <c r="T127" s="6" t="s">
        <v>1454</v>
      </c>
      <c r="U127" s="6" t="s">
        <v>1406</v>
      </c>
      <c r="V127" s="6">
        <v>16</v>
      </c>
      <c r="W127" s="6" t="b">
        <v>1</v>
      </c>
      <c r="X127" s="6">
        <v>240808</v>
      </c>
      <c r="Y127" s="6" t="s">
        <v>1405</v>
      </c>
      <c r="Z127" s="6">
        <v>0</v>
      </c>
      <c r="AA127" s="6">
        <v>0</v>
      </c>
      <c r="AB127" s="6" t="s">
        <v>1405</v>
      </c>
      <c r="AC127" s="6" t="s">
        <v>1405</v>
      </c>
      <c r="AD127" s="6">
        <v>0</v>
      </c>
      <c r="AE127" s="6" t="s">
        <v>1405</v>
      </c>
      <c r="AF127" s="6" t="s">
        <v>1405</v>
      </c>
    </row>
    <row r="128" spans="1:32" x14ac:dyDescent="0.2">
      <c r="A128" s="3" t="s">
        <v>1346</v>
      </c>
      <c r="B128" s="9" t="s">
        <v>1443</v>
      </c>
      <c r="C128" s="6">
        <v>127</v>
      </c>
      <c r="D128" s="9">
        <v>64.5</v>
      </c>
      <c r="E128" s="9" t="s">
        <v>1457</v>
      </c>
      <c r="F128" s="10" t="s">
        <v>1445</v>
      </c>
      <c r="G128" s="9" t="s">
        <v>1458</v>
      </c>
      <c r="H128" s="9" t="s">
        <v>84</v>
      </c>
      <c r="I128" s="9" t="s">
        <v>1410</v>
      </c>
      <c r="J128" s="9" t="s">
        <v>1397</v>
      </c>
      <c r="K128" s="8" t="s">
        <v>1480</v>
      </c>
      <c r="L128" s="11" t="s">
        <v>1474</v>
      </c>
      <c r="M128" s="11" t="s">
        <v>1475</v>
      </c>
      <c r="N128" s="11" t="s">
        <v>1397</v>
      </c>
      <c r="O128" s="11" t="s">
        <v>1405</v>
      </c>
      <c r="P128" s="11" t="s">
        <v>1395</v>
      </c>
      <c r="Q128" s="11" t="s">
        <v>1461</v>
      </c>
      <c r="R128" s="11">
        <v>3</v>
      </c>
      <c r="S128" s="11" t="s">
        <v>1453</v>
      </c>
      <c r="T128" s="11" t="s">
        <v>1454</v>
      </c>
      <c r="U128" s="11" t="s">
        <v>1406</v>
      </c>
      <c r="V128" s="11">
        <v>16</v>
      </c>
      <c r="W128" s="11" t="b">
        <v>1</v>
      </c>
      <c r="X128" s="11">
        <v>240808</v>
      </c>
      <c r="Y128" s="11" t="s">
        <v>1405</v>
      </c>
      <c r="Z128" s="11">
        <v>0</v>
      </c>
      <c r="AA128" s="11">
        <v>0</v>
      </c>
      <c r="AB128" s="11" t="s">
        <v>1405</v>
      </c>
      <c r="AC128" s="11" t="s">
        <v>1405</v>
      </c>
      <c r="AD128" s="11">
        <v>0</v>
      </c>
      <c r="AE128" s="11" t="s">
        <v>1405</v>
      </c>
      <c r="AF128" s="11" t="s">
        <v>1405</v>
      </c>
    </row>
    <row r="129" spans="1:32" x14ac:dyDescent="0.2">
      <c r="A129" s="3" t="s">
        <v>1985</v>
      </c>
      <c r="B129" s="6" t="s">
        <v>1443</v>
      </c>
      <c r="C129" s="6">
        <v>128</v>
      </c>
      <c r="D129" s="7">
        <v>65</v>
      </c>
      <c r="E129" s="6" t="s">
        <v>1444</v>
      </c>
      <c r="F129" s="6" t="s">
        <v>1445</v>
      </c>
      <c r="G129" s="6" t="s">
        <v>1446</v>
      </c>
      <c r="H129" s="6" t="s">
        <v>1496</v>
      </c>
      <c r="I129" s="6" t="s">
        <v>1415</v>
      </c>
      <c r="J129" s="6" t="s">
        <v>1397</v>
      </c>
      <c r="K129" s="8" t="s">
        <v>1479</v>
      </c>
      <c r="L129" s="6" t="s">
        <v>1474</v>
      </c>
      <c r="M129" s="6" t="s">
        <v>1475</v>
      </c>
      <c r="N129" s="6" t="s">
        <v>1397</v>
      </c>
      <c r="O129" s="6" t="s">
        <v>1405</v>
      </c>
      <c r="P129" s="6" t="s">
        <v>1395</v>
      </c>
      <c r="Q129" s="6" t="s">
        <v>1461</v>
      </c>
      <c r="R129" s="6">
        <v>3</v>
      </c>
      <c r="S129" s="6" t="s">
        <v>1453</v>
      </c>
      <c r="T129" s="6" t="s">
        <v>1454</v>
      </c>
      <c r="U129" s="6" t="s">
        <v>1406</v>
      </c>
      <c r="V129" s="6">
        <v>16</v>
      </c>
      <c r="W129" s="6" t="b">
        <v>1</v>
      </c>
      <c r="X129" s="6">
        <v>240808</v>
      </c>
      <c r="Y129" s="6" t="s">
        <v>1405</v>
      </c>
      <c r="Z129" s="6">
        <v>0</v>
      </c>
      <c r="AA129" s="6">
        <v>0</v>
      </c>
      <c r="AB129" s="6" t="s">
        <v>1405</v>
      </c>
      <c r="AC129" s="6" t="s">
        <v>1405</v>
      </c>
      <c r="AD129" s="6">
        <v>0</v>
      </c>
      <c r="AE129" s="6" t="s">
        <v>1405</v>
      </c>
      <c r="AF129" s="6" t="s">
        <v>1405</v>
      </c>
    </row>
    <row r="130" spans="1:32" x14ac:dyDescent="0.2">
      <c r="A130" s="3" t="s">
        <v>1986</v>
      </c>
      <c r="B130" s="12" t="s">
        <v>1497</v>
      </c>
      <c r="C130" s="6">
        <v>129</v>
      </c>
      <c r="D130" s="12">
        <v>1</v>
      </c>
      <c r="E130" s="12" t="s">
        <v>1444</v>
      </c>
      <c r="F130" s="12" t="s">
        <v>1445</v>
      </c>
      <c r="G130" s="12" t="s">
        <v>1446</v>
      </c>
      <c r="H130" s="12" t="s">
        <v>22</v>
      </c>
      <c r="I130" s="12" t="s">
        <v>1412</v>
      </c>
      <c r="J130" s="12" t="s">
        <v>1401</v>
      </c>
      <c r="K130" s="8" t="s">
        <v>1498</v>
      </c>
      <c r="L130" s="13" t="s">
        <v>1499</v>
      </c>
      <c r="M130" s="13" t="s">
        <v>1500</v>
      </c>
      <c r="N130" s="13" t="s">
        <v>1450</v>
      </c>
      <c r="O130" s="13" t="s">
        <v>1501</v>
      </c>
      <c r="P130" s="13" t="s">
        <v>1451</v>
      </c>
      <c r="Q130" s="13" t="s">
        <v>1396</v>
      </c>
      <c r="R130" s="13">
        <v>1</v>
      </c>
      <c r="S130" s="13" t="s">
        <v>1453</v>
      </c>
      <c r="T130" s="13" t="s">
        <v>1454</v>
      </c>
      <c r="U130" s="13" t="s">
        <v>1406</v>
      </c>
      <c r="V130" s="13">
        <v>13</v>
      </c>
      <c r="W130" s="13" t="b">
        <v>1</v>
      </c>
      <c r="X130" s="13">
        <v>240806</v>
      </c>
      <c r="Y130" s="13" t="s">
        <v>1405</v>
      </c>
      <c r="Z130" s="13">
        <v>0</v>
      </c>
      <c r="AA130" s="13">
        <v>0</v>
      </c>
      <c r="AB130" s="13" t="s">
        <v>1405</v>
      </c>
      <c r="AC130" s="13" t="s">
        <v>1405</v>
      </c>
      <c r="AD130" s="13">
        <v>0</v>
      </c>
      <c r="AE130" s="13" t="s">
        <v>1405</v>
      </c>
      <c r="AF130" s="13" t="s">
        <v>1405</v>
      </c>
    </row>
    <row r="131" spans="1:32" x14ac:dyDescent="0.2">
      <c r="A131" s="3" t="s">
        <v>1987</v>
      </c>
      <c r="B131" s="14" t="s">
        <v>1497</v>
      </c>
      <c r="C131" s="6">
        <v>130</v>
      </c>
      <c r="D131" s="14">
        <v>1</v>
      </c>
      <c r="E131" s="14" t="s">
        <v>1457</v>
      </c>
      <c r="F131" s="15" t="s">
        <v>1445</v>
      </c>
      <c r="G131" s="14" t="s">
        <v>1458</v>
      </c>
      <c r="H131" s="14" t="s">
        <v>22</v>
      </c>
      <c r="I131" s="14" t="s">
        <v>1502</v>
      </c>
      <c r="J131" s="14" t="s">
        <v>1401</v>
      </c>
      <c r="K131" s="8" t="s">
        <v>1503</v>
      </c>
      <c r="L131" s="16" t="s">
        <v>1499</v>
      </c>
      <c r="M131" s="16" t="s">
        <v>1500</v>
      </c>
      <c r="N131" s="16" t="s">
        <v>1450</v>
      </c>
      <c r="O131" s="16" t="s">
        <v>1501</v>
      </c>
      <c r="P131" s="16" t="s">
        <v>1451</v>
      </c>
      <c r="Q131" s="16" t="s">
        <v>1396</v>
      </c>
      <c r="R131" s="16">
        <v>1</v>
      </c>
      <c r="S131" s="16" t="s">
        <v>1453</v>
      </c>
      <c r="T131" s="16" t="s">
        <v>1454</v>
      </c>
      <c r="U131" s="16" t="s">
        <v>1406</v>
      </c>
      <c r="V131" s="16">
        <v>13</v>
      </c>
      <c r="W131" s="16" t="b">
        <v>1</v>
      </c>
      <c r="X131" s="16">
        <v>240806</v>
      </c>
      <c r="Y131" s="16" t="s">
        <v>1405</v>
      </c>
      <c r="Z131" s="16">
        <v>0</v>
      </c>
      <c r="AA131" s="16">
        <v>0</v>
      </c>
      <c r="AB131" s="16" t="s">
        <v>1405</v>
      </c>
      <c r="AC131" s="16" t="s">
        <v>1405</v>
      </c>
      <c r="AD131" s="16">
        <v>0</v>
      </c>
      <c r="AE131" s="16" t="s">
        <v>1405</v>
      </c>
      <c r="AF131" s="16" t="s">
        <v>1405</v>
      </c>
    </row>
    <row r="132" spans="1:32" x14ac:dyDescent="0.2">
      <c r="A132" s="3" t="s">
        <v>1988</v>
      </c>
      <c r="B132" s="12" t="s">
        <v>1497</v>
      </c>
      <c r="C132" s="6">
        <v>131</v>
      </c>
      <c r="D132" s="12">
        <v>2</v>
      </c>
      <c r="E132" s="12" t="s">
        <v>1444</v>
      </c>
      <c r="F132" s="12" t="s">
        <v>1445</v>
      </c>
      <c r="G132" s="12" t="s">
        <v>1446</v>
      </c>
      <c r="H132" s="12" t="s">
        <v>30</v>
      </c>
      <c r="I132" s="12" t="s">
        <v>1412</v>
      </c>
      <c r="J132" s="12" t="s">
        <v>1401</v>
      </c>
      <c r="K132" s="8" t="s">
        <v>1504</v>
      </c>
      <c r="L132" s="13" t="s">
        <v>1499</v>
      </c>
      <c r="M132" s="13" t="s">
        <v>1500</v>
      </c>
      <c r="N132" s="13" t="s">
        <v>1450</v>
      </c>
      <c r="O132" s="13" t="s">
        <v>1501</v>
      </c>
      <c r="P132" s="13" t="s">
        <v>1451</v>
      </c>
      <c r="Q132" s="13" t="s">
        <v>1398</v>
      </c>
      <c r="R132" s="13">
        <v>2</v>
      </c>
      <c r="S132" s="13" t="s">
        <v>1453</v>
      </c>
      <c r="T132" s="13" t="s">
        <v>1454</v>
      </c>
      <c r="U132" s="13" t="s">
        <v>1406</v>
      </c>
      <c r="V132" s="13">
        <v>13</v>
      </c>
      <c r="W132" s="13" t="b">
        <v>1</v>
      </c>
      <c r="X132" s="13">
        <v>240806</v>
      </c>
      <c r="Y132" s="13" t="s">
        <v>1405</v>
      </c>
      <c r="Z132" s="13">
        <v>0</v>
      </c>
      <c r="AA132" s="13">
        <v>0</v>
      </c>
      <c r="AB132" s="13" t="s">
        <v>1405</v>
      </c>
      <c r="AC132" s="13" t="s">
        <v>1405</v>
      </c>
      <c r="AD132" s="13">
        <v>0</v>
      </c>
      <c r="AE132" s="13" t="s">
        <v>1405</v>
      </c>
      <c r="AF132" s="13" t="s">
        <v>1405</v>
      </c>
    </row>
    <row r="133" spans="1:32" x14ac:dyDescent="0.2">
      <c r="A133" s="3" t="s">
        <v>1989</v>
      </c>
      <c r="B133" s="14" t="s">
        <v>1497</v>
      </c>
      <c r="C133" s="6">
        <v>132</v>
      </c>
      <c r="D133" s="14">
        <v>2</v>
      </c>
      <c r="E133" s="14" t="s">
        <v>1457</v>
      </c>
      <c r="F133" s="15" t="s">
        <v>1445</v>
      </c>
      <c r="G133" s="14" t="s">
        <v>1458</v>
      </c>
      <c r="H133" s="14" t="s">
        <v>30</v>
      </c>
      <c r="I133" s="14" t="s">
        <v>1502</v>
      </c>
      <c r="J133" s="14" t="s">
        <v>1401</v>
      </c>
      <c r="K133" s="8" t="s">
        <v>1505</v>
      </c>
      <c r="L133" s="16" t="s">
        <v>1499</v>
      </c>
      <c r="M133" s="16" t="s">
        <v>1500</v>
      </c>
      <c r="N133" s="16" t="s">
        <v>1450</v>
      </c>
      <c r="O133" s="16" t="s">
        <v>1501</v>
      </c>
      <c r="P133" s="16" t="s">
        <v>1451</v>
      </c>
      <c r="Q133" s="16" t="s">
        <v>1398</v>
      </c>
      <c r="R133" s="16">
        <v>2</v>
      </c>
      <c r="S133" s="16" t="s">
        <v>1453</v>
      </c>
      <c r="T133" s="16" t="s">
        <v>1454</v>
      </c>
      <c r="U133" s="16" t="s">
        <v>1406</v>
      </c>
      <c r="V133" s="16">
        <v>13</v>
      </c>
      <c r="W133" s="16" t="b">
        <v>1</v>
      </c>
      <c r="X133" s="16">
        <v>240806</v>
      </c>
      <c r="Y133" s="16" t="s">
        <v>1405</v>
      </c>
      <c r="Z133" s="16">
        <v>0</v>
      </c>
      <c r="AA133" s="16">
        <v>0</v>
      </c>
      <c r="AB133" s="16" t="s">
        <v>1405</v>
      </c>
      <c r="AC133" s="16" t="s">
        <v>1405</v>
      </c>
      <c r="AD133" s="16">
        <v>0</v>
      </c>
      <c r="AE133" s="16" t="s">
        <v>1405</v>
      </c>
      <c r="AF133" s="16" t="s">
        <v>1405</v>
      </c>
    </row>
    <row r="134" spans="1:32" x14ac:dyDescent="0.2">
      <c r="A134" s="3" t="s">
        <v>1990</v>
      </c>
      <c r="B134" s="12" t="s">
        <v>1497</v>
      </c>
      <c r="C134" s="6">
        <v>133</v>
      </c>
      <c r="D134" s="12">
        <v>3</v>
      </c>
      <c r="E134" s="12" t="s">
        <v>1444</v>
      </c>
      <c r="F134" s="12" t="s">
        <v>1445</v>
      </c>
      <c r="G134" s="12" t="s">
        <v>1446</v>
      </c>
      <c r="H134" s="12" t="s">
        <v>32</v>
      </c>
      <c r="I134" s="12" t="s">
        <v>1412</v>
      </c>
      <c r="J134" s="12" t="s">
        <v>1401</v>
      </c>
      <c r="K134" s="8" t="s">
        <v>1506</v>
      </c>
      <c r="L134" s="13" t="s">
        <v>1499</v>
      </c>
      <c r="M134" s="13" t="s">
        <v>1500</v>
      </c>
      <c r="N134" s="13" t="s">
        <v>1450</v>
      </c>
      <c r="O134" s="13" t="s">
        <v>1501</v>
      </c>
      <c r="P134" s="13" t="s">
        <v>1451</v>
      </c>
      <c r="Q134" s="13" t="s">
        <v>1399</v>
      </c>
      <c r="R134" s="13">
        <v>3</v>
      </c>
      <c r="S134" s="13" t="s">
        <v>1453</v>
      </c>
      <c r="T134" s="13" t="s">
        <v>1454</v>
      </c>
      <c r="U134" s="13" t="s">
        <v>1406</v>
      </c>
      <c r="V134" s="13">
        <v>13</v>
      </c>
      <c r="W134" s="13" t="b">
        <v>1</v>
      </c>
      <c r="X134" s="13">
        <v>240806</v>
      </c>
      <c r="Y134" s="13" t="s">
        <v>1405</v>
      </c>
      <c r="Z134" s="13">
        <v>0</v>
      </c>
      <c r="AA134" s="13">
        <v>0</v>
      </c>
      <c r="AB134" s="13" t="s">
        <v>1405</v>
      </c>
      <c r="AC134" s="13" t="s">
        <v>1405</v>
      </c>
      <c r="AD134" s="13">
        <v>0</v>
      </c>
      <c r="AE134" s="13" t="s">
        <v>1405</v>
      </c>
      <c r="AF134" s="13" t="s">
        <v>1405</v>
      </c>
    </row>
    <row r="135" spans="1:32" x14ac:dyDescent="0.2">
      <c r="A135" s="3" t="s">
        <v>1991</v>
      </c>
      <c r="B135" s="14" t="s">
        <v>1497</v>
      </c>
      <c r="C135" s="6">
        <v>134</v>
      </c>
      <c r="D135" s="14">
        <v>3</v>
      </c>
      <c r="E135" s="14" t="s">
        <v>1457</v>
      </c>
      <c r="F135" s="15" t="s">
        <v>1445</v>
      </c>
      <c r="G135" s="14" t="s">
        <v>1458</v>
      </c>
      <c r="H135" s="14" t="s">
        <v>32</v>
      </c>
      <c r="I135" s="14" t="s">
        <v>1502</v>
      </c>
      <c r="J135" s="14" t="s">
        <v>1401</v>
      </c>
      <c r="K135" s="8" t="s">
        <v>1507</v>
      </c>
      <c r="L135" s="16" t="s">
        <v>1499</v>
      </c>
      <c r="M135" s="16" t="s">
        <v>1500</v>
      </c>
      <c r="N135" s="16" t="s">
        <v>1450</v>
      </c>
      <c r="O135" s="16" t="s">
        <v>1501</v>
      </c>
      <c r="P135" s="16" t="s">
        <v>1451</v>
      </c>
      <c r="Q135" s="16" t="s">
        <v>1399</v>
      </c>
      <c r="R135" s="16">
        <v>3</v>
      </c>
      <c r="S135" s="16" t="s">
        <v>1453</v>
      </c>
      <c r="T135" s="16" t="s">
        <v>1454</v>
      </c>
      <c r="U135" s="16" t="s">
        <v>1406</v>
      </c>
      <c r="V135" s="16">
        <v>13</v>
      </c>
      <c r="W135" s="16" t="b">
        <v>1</v>
      </c>
      <c r="X135" s="16">
        <v>240806</v>
      </c>
      <c r="Y135" s="16" t="s">
        <v>1405</v>
      </c>
      <c r="Z135" s="16">
        <v>0</v>
      </c>
      <c r="AA135" s="16">
        <v>0</v>
      </c>
      <c r="AB135" s="16" t="s">
        <v>1405</v>
      </c>
      <c r="AC135" s="16" t="s">
        <v>1405</v>
      </c>
      <c r="AD135" s="16">
        <v>0</v>
      </c>
      <c r="AE135" s="16" t="s">
        <v>1405</v>
      </c>
      <c r="AF135" s="16" t="s">
        <v>1405</v>
      </c>
    </row>
    <row r="136" spans="1:32" x14ac:dyDescent="0.2">
      <c r="A136" s="3" t="s">
        <v>1992</v>
      </c>
      <c r="B136" s="12" t="s">
        <v>1497</v>
      </c>
      <c r="C136" s="6">
        <v>135</v>
      </c>
      <c r="D136" s="12">
        <v>4</v>
      </c>
      <c r="E136" s="12" t="s">
        <v>1444</v>
      </c>
      <c r="F136" s="12" t="s">
        <v>1445</v>
      </c>
      <c r="G136" s="12" t="s">
        <v>1446</v>
      </c>
      <c r="H136" s="12" t="s">
        <v>34</v>
      </c>
      <c r="I136" s="12" t="s">
        <v>1412</v>
      </c>
      <c r="J136" s="12" t="s">
        <v>1401</v>
      </c>
      <c r="K136" s="8" t="s">
        <v>1508</v>
      </c>
      <c r="L136" s="13" t="s">
        <v>1499</v>
      </c>
      <c r="M136" s="13" t="s">
        <v>1500</v>
      </c>
      <c r="N136" s="13" t="s">
        <v>1450</v>
      </c>
      <c r="O136" s="13" t="s">
        <v>1501</v>
      </c>
      <c r="P136" s="13" t="s">
        <v>1451</v>
      </c>
      <c r="Q136" s="13" t="s">
        <v>1400</v>
      </c>
      <c r="R136" s="13">
        <v>4</v>
      </c>
      <c r="S136" s="13" t="s">
        <v>1453</v>
      </c>
      <c r="T136" s="13" t="s">
        <v>1454</v>
      </c>
      <c r="U136" s="13" t="s">
        <v>1406</v>
      </c>
      <c r="V136" s="13">
        <v>13</v>
      </c>
      <c r="W136" s="13" t="b">
        <v>1</v>
      </c>
      <c r="X136" s="13">
        <v>240806</v>
      </c>
      <c r="Y136" s="13" t="s">
        <v>1405</v>
      </c>
      <c r="Z136" s="13">
        <v>0</v>
      </c>
      <c r="AA136" s="13">
        <v>0</v>
      </c>
      <c r="AB136" s="13" t="s">
        <v>1405</v>
      </c>
      <c r="AC136" s="13" t="s">
        <v>1405</v>
      </c>
      <c r="AD136" s="13">
        <v>0</v>
      </c>
      <c r="AE136" s="13" t="s">
        <v>1405</v>
      </c>
      <c r="AF136" s="13" t="s">
        <v>1405</v>
      </c>
    </row>
    <row r="137" spans="1:32" x14ac:dyDescent="0.2">
      <c r="A137" s="3" t="s">
        <v>1993</v>
      </c>
      <c r="B137" s="14" t="s">
        <v>1497</v>
      </c>
      <c r="C137" s="6">
        <v>136</v>
      </c>
      <c r="D137" s="14">
        <v>4</v>
      </c>
      <c r="E137" s="14" t="s">
        <v>1457</v>
      </c>
      <c r="F137" s="15" t="s">
        <v>1445</v>
      </c>
      <c r="G137" s="14" t="s">
        <v>1458</v>
      </c>
      <c r="H137" s="14" t="s">
        <v>34</v>
      </c>
      <c r="I137" s="14" t="s">
        <v>1502</v>
      </c>
      <c r="J137" s="14" t="s">
        <v>1401</v>
      </c>
      <c r="K137" s="8" t="s">
        <v>1509</v>
      </c>
      <c r="L137" s="16" t="s">
        <v>1499</v>
      </c>
      <c r="M137" s="16" t="s">
        <v>1500</v>
      </c>
      <c r="N137" s="16" t="s">
        <v>1450</v>
      </c>
      <c r="O137" s="16" t="s">
        <v>1501</v>
      </c>
      <c r="P137" s="16" t="s">
        <v>1451</v>
      </c>
      <c r="Q137" s="16" t="s">
        <v>1400</v>
      </c>
      <c r="R137" s="16">
        <v>4</v>
      </c>
      <c r="S137" s="16" t="s">
        <v>1453</v>
      </c>
      <c r="T137" s="16" t="s">
        <v>1454</v>
      </c>
      <c r="U137" s="16" t="s">
        <v>1406</v>
      </c>
      <c r="V137" s="16">
        <v>13</v>
      </c>
      <c r="W137" s="16" t="b">
        <v>1</v>
      </c>
      <c r="X137" s="16">
        <v>240806</v>
      </c>
      <c r="Y137" s="16" t="s">
        <v>1405</v>
      </c>
      <c r="Z137" s="16">
        <v>0</v>
      </c>
      <c r="AA137" s="16">
        <v>0</v>
      </c>
      <c r="AB137" s="16" t="s">
        <v>1405</v>
      </c>
      <c r="AC137" s="16" t="s">
        <v>1405</v>
      </c>
      <c r="AD137" s="16">
        <v>0</v>
      </c>
      <c r="AE137" s="16" t="s">
        <v>1405</v>
      </c>
      <c r="AF137" s="16" t="s">
        <v>1405</v>
      </c>
    </row>
    <row r="138" spans="1:32" x14ac:dyDescent="0.2">
      <c r="A138" s="3" t="s">
        <v>1994</v>
      </c>
      <c r="B138" s="12" t="s">
        <v>1497</v>
      </c>
      <c r="C138" s="6">
        <v>137</v>
      </c>
      <c r="D138" s="12">
        <v>5</v>
      </c>
      <c r="E138" s="12" t="s">
        <v>1444</v>
      </c>
      <c r="F138" s="12" t="s">
        <v>1445</v>
      </c>
      <c r="G138" s="12" t="s">
        <v>1446</v>
      </c>
      <c r="H138" s="12" t="s">
        <v>36</v>
      </c>
      <c r="I138" s="12" t="s">
        <v>1412</v>
      </c>
      <c r="J138" s="12" t="s">
        <v>1401</v>
      </c>
      <c r="K138" s="8" t="s">
        <v>1510</v>
      </c>
      <c r="L138" s="13" t="s">
        <v>1511</v>
      </c>
      <c r="M138" s="13" t="s">
        <v>1512</v>
      </c>
      <c r="N138" s="13" t="s">
        <v>1450</v>
      </c>
      <c r="O138" s="13" t="s">
        <v>1501</v>
      </c>
      <c r="P138" s="13" t="s">
        <v>1451</v>
      </c>
      <c r="Q138" s="13" t="s">
        <v>1396</v>
      </c>
      <c r="R138" s="13">
        <v>1</v>
      </c>
      <c r="S138" s="13" t="s">
        <v>1453</v>
      </c>
      <c r="T138" s="13" t="s">
        <v>1454</v>
      </c>
      <c r="U138" s="13" t="s">
        <v>1406</v>
      </c>
      <c r="V138" s="13">
        <v>13</v>
      </c>
      <c r="W138" s="13" t="b">
        <v>1</v>
      </c>
      <c r="X138" s="13">
        <v>240806</v>
      </c>
      <c r="Y138" s="13" t="s">
        <v>1405</v>
      </c>
      <c r="Z138" s="13">
        <v>0</v>
      </c>
      <c r="AA138" s="13">
        <v>0</v>
      </c>
      <c r="AB138" s="13" t="s">
        <v>1405</v>
      </c>
      <c r="AC138" s="13" t="s">
        <v>1405</v>
      </c>
      <c r="AD138" s="13">
        <v>0</v>
      </c>
      <c r="AE138" s="13" t="s">
        <v>1405</v>
      </c>
      <c r="AF138" s="13" t="s">
        <v>1405</v>
      </c>
    </row>
    <row r="139" spans="1:32" x14ac:dyDescent="0.2">
      <c r="A139" s="3" t="s">
        <v>1995</v>
      </c>
      <c r="B139" s="14" t="s">
        <v>1497</v>
      </c>
      <c r="C139" s="6">
        <v>138</v>
      </c>
      <c r="D139" s="14">
        <v>5</v>
      </c>
      <c r="E139" s="14" t="s">
        <v>1457</v>
      </c>
      <c r="F139" s="15" t="s">
        <v>1445</v>
      </c>
      <c r="G139" s="14" t="s">
        <v>1458</v>
      </c>
      <c r="H139" s="14" t="s">
        <v>36</v>
      </c>
      <c r="I139" s="14" t="s">
        <v>1502</v>
      </c>
      <c r="J139" s="14" t="s">
        <v>1401</v>
      </c>
      <c r="K139" s="8" t="s">
        <v>1513</v>
      </c>
      <c r="L139" s="16" t="s">
        <v>1511</v>
      </c>
      <c r="M139" s="16" t="s">
        <v>1512</v>
      </c>
      <c r="N139" s="16" t="s">
        <v>1450</v>
      </c>
      <c r="O139" s="16" t="s">
        <v>1501</v>
      </c>
      <c r="P139" s="16" t="s">
        <v>1451</v>
      </c>
      <c r="Q139" s="16" t="s">
        <v>1396</v>
      </c>
      <c r="R139" s="16">
        <v>1</v>
      </c>
      <c r="S139" s="16" t="s">
        <v>1453</v>
      </c>
      <c r="T139" s="16" t="s">
        <v>1454</v>
      </c>
      <c r="U139" s="16" t="s">
        <v>1406</v>
      </c>
      <c r="V139" s="16">
        <v>13</v>
      </c>
      <c r="W139" s="16" t="b">
        <v>1</v>
      </c>
      <c r="X139" s="16">
        <v>240806</v>
      </c>
      <c r="Y139" s="16" t="s">
        <v>1405</v>
      </c>
      <c r="Z139" s="16">
        <v>0</v>
      </c>
      <c r="AA139" s="16">
        <v>0</v>
      </c>
      <c r="AB139" s="16" t="s">
        <v>1405</v>
      </c>
      <c r="AC139" s="16" t="s">
        <v>1405</v>
      </c>
      <c r="AD139" s="16">
        <v>0</v>
      </c>
      <c r="AE139" s="16" t="s">
        <v>1405</v>
      </c>
      <c r="AF139" s="16" t="s">
        <v>1405</v>
      </c>
    </row>
    <row r="140" spans="1:32" x14ac:dyDescent="0.2">
      <c r="A140" s="3" t="s">
        <v>1996</v>
      </c>
      <c r="B140" s="12" t="s">
        <v>1497</v>
      </c>
      <c r="C140" s="6">
        <v>139</v>
      </c>
      <c r="D140" s="12">
        <v>6</v>
      </c>
      <c r="E140" s="12" t="s">
        <v>1444</v>
      </c>
      <c r="F140" s="12" t="s">
        <v>1445</v>
      </c>
      <c r="G140" s="12" t="s">
        <v>1446</v>
      </c>
      <c r="H140" s="12" t="s">
        <v>38</v>
      </c>
      <c r="I140" s="12" t="s">
        <v>1412</v>
      </c>
      <c r="J140" s="12" t="s">
        <v>1401</v>
      </c>
      <c r="K140" s="8" t="s">
        <v>1514</v>
      </c>
      <c r="L140" s="13" t="s">
        <v>1511</v>
      </c>
      <c r="M140" s="13" t="s">
        <v>1512</v>
      </c>
      <c r="N140" s="13" t="s">
        <v>1450</v>
      </c>
      <c r="O140" s="13" t="s">
        <v>1501</v>
      </c>
      <c r="P140" s="13" t="s">
        <v>1451</v>
      </c>
      <c r="Q140" s="13" t="s">
        <v>1398</v>
      </c>
      <c r="R140" s="13">
        <v>2</v>
      </c>
      <c r="S140" s="13" t="s">
        <v>1453</v>
      </c>
      <c r="T140" s="13" t="s">
        <v>1454</v>
      </c>
      <c r="U140" s="13" t="s">
        <v>1406</v>
      </c>
      <c r="V140" s="13">
        <v>13</v>
      </c>
      <c r="W140" s="13" t="b">
        <v>1</v>
      </c>
      <c r="X140" s="13">
        <v>240806</v>
      </c>
      <c r="Y140" s="13" t="s">
        <v>1405</v>
      </c>
      <c r="Z140" s="13">
        <v>0</v>
      </c>
      <c r="AA140" s="13">
        <v>0</v>
      </c>
      <c r="AB140" s="13" t="s">
        <v>1405</v>
      </c>
      <c r="AC140" s="13" t="s">
        <v>1405</v>
      </c>
      <c r="AD140" s="13">
        <v>0</v>
      </c>
      <c r="AE140" s="13" t="s">
        <v>1405</v>
      </c>
      <c r="AF140" s="13" t="s">
        <v>1405</v>
      </c>
    </row>
    <row r="141" spans="1:32" x14ac:dyDescent="0.2">
      <c r="A141" s="3" t="s">
        <v>1997</v>
      </c>
      <c r="B141" s="14" t="s">
        <v>1497</v>
      </c>
      <c r="C141" s="6">
        <v>140</v>
      </c>
      <c r="D141" s="14">
        <v>6</v>
      </c>
      <c r="E141" s="14" t="s">
        <v>1457</v>
      </c>
      <c r="F141" s="15" t="s">
        <v>1445</v>
      </c>
      <c r="G141" s="14" t="s">
        <v>1458</v>
      </c>
      <c r="H141" s="14" t="s">
        <v>38</v>
      </c>
      <c r="I141" s="14" t="s">
        <v>1502</v>
      </c>
      <c r="J141" s="14" t="s">
        <v>1401</v>
      </c>
      <c r="K141" s="8" t="s">
        <v>1515</v>
      </c>
      <c r="L141" s="16" t="s">
        <v>1511</v>
      </c>
      <c r="M141" s="16" t="s">
        <v>1512</v>
      </c>
      <c r="N141" s="16" t="s">
        <v>1450</v>
      </c>
      <c r="O141" s="16" t="s">
        <v>1501</v>
      </c>
      <c r="P141" s="16" t="s">
        <v>1451</v>
      </c>
      <c r="Q141" s="16" t="s">
        <v>1398</v>
      </c>
      <c r="R141" s="16">
        <v>2</v>
      </c>
      <c r="S141" s="16" t="s">
        <v>1453</v>
      </c>
      <c r="T141" s="16" t="s">
        <v>1454</v>
      </c>
      <c r="U141" s="16" t="s">
        <v>1406</v>
      </c>
      <c r="V141" s="16">
        <v>13</v>
      </c>
      <c r="W141" s="16" t="b">
        <v>1</v>
      </c>
      <c r="X141" s="16">
        <v>240806</v>
      </c>
      <c r="Y141" s="16" t="s">
        <v>1405</v>
      </c>
      <c r="Z141" s="16">
        <v>0</v>
      </c>
      <c r="AA141" s="16">
        <v>0</v>
      </c>
      <c r="AB141" s="16" t="s">
        <v>1405</v>
      </c>
      <c r="AC141" s="16" t="s">
        <v>1405</v>
      </c>
      <c r="AD141" s="16">
        <v>0</v>
      </c>
      <c r="AE141" s="16" t="s">
        <v>1405</v>
      </c>
      <c r="AF141" s="16" t="s">
        <v>1405</v>
      </c>
    </row>
    <row r="142" spans="1:32" x14ac:dyDescent="0.2">
      <c r="A142" s="3" t="s">
        <v>1998</v>
      </c>
      <c r="B142" s="12" t="s">
        <v>1497</v>
      </c>
      <c r="C142" s="6">
        <v>141</v>
      </c>
      <c r="D142" s="12">
        <v>7</v>
      </c>
      <c r="E142" s="12" t="s">
        <v>1444</v>
      </c>
      <c r="F142" s="12" t="s">
        <v>1445</v>
      </c>
      <c r="G142" s="12" t="s">
        <v>1446</v>
      </c>
      <c r="H142" s="12" t="s">
        <v>40</v>
      </c>
      <c r="I142" s="12" t="s">
        <v>1412</v>
      </c>
      <c r="J142" s="12" t="s">
        <v>1401</v>
      </c>
      <c r="K142" s="8" t="s">
        <v>1516</v>
      </c>
      <c r="L142" s="13" t="s">
        <v>1511</v>
      </c>
      <c r="M142" s="13" t="s">
        <v>1512</v>
      </c>
      <c r="N142" s="13" t="s">
        <v>1450</v>
      </c>
      <c r="O142" s="13" t="s">
        <v>1501</v>
      </c>
      <c r="P142" s="13" t="s">
        <v>1451</v>
      </c>
      <c r="Q142" s="13" t="s">
        <v>1399</v>
      </c>
      <c r="R142" s="13">
        <v>3</v>
      </c>
      <c r="S142" s="13" t="s">
        <v>1453</v>
      </c>
      <c r="T142" s="13" t="s">
        <v>1454</v>
      </c>
      <c r="U142" s="13" t="s">
        <v>1406</v>
      </c>
      <c r="V142" s="13">
        <v>13</v>
      </c>
      <c r="W142" s="13" t="b">
        <v>1</v>
      </c>
      <c r="X142" s="13">
        <v>240806</v>
      </c>
      <c r="Y142" s="13" t="s">
        <v>1405</v>
      </c>
      <c r="Z142" s="13">
        <v>0</v>
      </c>
      <c r="AA142" s="13">
        <v>0</v>
      </c>
      <c r="AB142" s="13" t="s">
        <v>1405</v>
      </c>
      <c r="AC142" s="13" t="s">
        <v>1405</v>
      </c>
      <c r="AD142" s="13">
        <v>0</v>
      </c>
      <c r="AE142" s="13" t="s">
        <v>1405</v>
      </c>
      <c r="AF142" s="13" t="s">
        <v>1405</v>
      </c>
    </row>
    <row r="143" spans="1:32" x14ac:dyDescent="0.2">
      <c r="A143" s="3" t="s">
        <v>1999</v>
      </c>
      <c r="B143" s="14" t="s">
        <v>1497</v>
      </c>
      <c r="C143" s="6">
        <v>142</v>
      </c>
      <c r="D143" s="14">
        <v>7</v>
      </c>
      <c r="E143" s="14" t="s">
        <v>1457</v>
      </c>
      <c r="F143" s="15" t="s">
        <v>1445</v>
      </c>
      <c r="G143" s="14" t="s">
        <v>1458</v>
      </c>
      <c r="H143" s="14" t="s">
        <v>40</v>
      </c>
      <c r="I143" s="14" t="s">
        <v>1502</v>
      </c>
      <c r="J143" s="14" t="s">
        <v>1401</v>
      </c>
      <c r="K143" s="8" t="s">
        <v>1517</v>
      </c>
      <c r="L143" s="16" t="s">
        <v>1511</v>
      </c>
      <c r="M143" s="16" t="s">
        <v>1512</v>
      </c>
      <c r="N143" s="16" t="s">
        <v>1450</v>
      </c>
      <c r="O143" s="16" t="s">
        <v>1501</v>
      </c>
      <c r="P143" s="16" t="s">
        <v>1451</v>
      </c>
      <c r="Q143" s="16" t="s">
        <v>1399</v>
      </c>
      <c r="R143" s="16">
        <v>3</v>
      </c>
      <c r="S143" s="16" t="s">
        <v>1453</v>
      </c>
      <c r="T143" s="16" t="s">
        <v>1454</v>
      </c>
      <c r="U143" s="16" t="s">
        <v>1406</v>
      </c>
      <c r="V143" s="16">
        <v>13</v>
      </c>
      <c r="W143" s="16" t="b">
        <v>1</v>
      </c>
      <c r="X143" s="16">
        <v>240806</v>
      </c>
      <c r="Y143" s="16" t="s">
        <v>1405</v>
      </c>
      <c r="Z143" s="16">
        <v>0</v>
      </c>
      <c r="AA143" s="16">
        <v>0</v>
      </c>
      <c r="AB143" s="16" t="s">
        <v>1405</v>
      </c>
      <c r="AC143" s="16" t="s">
        <v>1405</v>
      </c>
      <c r="AD143" s="16">
        <v>0</v>
      </c>
      <c r="AE143" s="16" t="s">
        <v>1405</v>
      </c>
      <c r="AF143" s="16" t="s">
        <v>1405</v>
      </c>
    </row>
    <row r="144" spans="1:32" x14ac:dyDescent="0.2">
      <c r="A144" s="3" t="s">
        <v>2000</v>
      </c>
      <c r="B144" s="12" t="s">
        <v>1497</v>
      </c>
      <c r="C144" s="6">
        <v>143</v>
      </c>
      <c r="D144" s="12">
        <v>8</v>
      </c>
      <c r="E144" s="12" t="s">
        <v>1444</v>
      </c>
      <c r="F144" s="12" t="s">
        <v>1445</v>
      </c>
      <c r="G144" s="12" t="s">
        <v>1446</v>
      </c>
      <c r="H144" s="12" t="s">
        <v>42</v>
      </c>
      <c r="I144" s="12" t="s">
        <v>1412</v>
      </c>
      <c r="J144" s="12" t="s">
        <v>1401</v>
      </c>
      <c r="K144" s="8" t="s">
        <v>1518</v>
      </c>
      <c r="L144" s="13" t="s">
        <v>1511</v>
      </c>
      <c r="M144" s="13" t="s">
        <v>1512</v>
      </c>
      <c r="N144" s="13" t="s">
        <v>1450</v>
      </c>
      <c r="O144" s="13" t="s">
        <v>1501</v>
      </c>
      <c r="P144" s="13" t="s">
        <v>1451</v>
      </c>
      <c r="Q144" s="13" t="s">
        <v>1400</v>
      </c>
      <c r="R144" s="13">
        <v>4</v>
      </c>
      <c r="S144" s="13" t="s">
        <v>1453</v>
      </c>
      <c r="T144" s="13" t="s">
        <v>1454</v>
      </c>
      <c r="U144" s="13" t="s">
        <v>1406</v>
      </c>
      <c r="V144" s="13">
        <v>13</v>
      </c>
      <c r="W144" s="13" t="b">
        <v>1</v>
      </c>
      <c r="X144" s="13">
        <v>240806</v>
      </c>
      <c r="Y144" s="13" t="s">
        <v>1405</v>
      </c>
      <c r="Z144" s="13">
        <v>0</v>
      </c>
      <c r="AA144" s="13">
        <v>0</v>
      </c>
      <c r="AB144" s="13" t="s">
        <v>1405</v>
      </c>
      <c r="AC144" s="13" t="s">
        <v>1405</v>
      </c>
      <c r="AD144" s="13">
        <v>0</v>
      </c>
      <c r="AE144" s="13" t="s">
        <v>1405</v>
      </c>
      <c r="AF144" s="13" t="s">
        <v>1405</v>
      </c>
    </row>
    <row r="145" spans="1:32" x14ac:dyDescent="0.2">
      <c r="A145" s="3" t="s">
        <v>2001</v>
      </c>
      <c r="B145" s="14" t="s">
        <v>1497</v>
      </c>
      <c r="C145" s="6">
        <v>144</v>
      </c>
      <c r="D145" s="14">
        <v>8</v>
      </c>
      <c r="E145" s="14" t="s">
        <v>1457</v>
      </c>
      <c r="F145" s="15" t="s">
        <v>1445</v>
      </c>
      <c r="G145" s="14" t="s">
        <v>1458</v>
      </c>
      <c r="H145" s="14" t="s">
        <v>42</v>
      </c>
      <c r="I145" s="14" t="s">
        <v>1502</v>
      </c>
      <c r="J145" s="14" t="s">
        <v>1401</v>
      </c>
      <c r="K145" s="8" t="s">
        <v>1519</v>
      </c>
      <c r="L145" s="16" t="s">
        <v>1511</v>
      </c>
      <c r="M145" s="16" t="s">
        <v>1512</v>
      </c>
      <c r="N145" s="16" t="s">
        <v>1450</v>
      </c>
      <c r="O145" s="16" t="s">
        <v>1501</v>
      </c>
      <c r="P145" s="16" t="s">
        <v>1451</v>
      </c>
      <c r="Q145" s="16" t="s">
        <v>1400</v>
      </c>
      <c r="R145" s="16">
        <v>4</v>
      </c>
      <c r="S145" s="16" t="s">
        <v>1453</v>
      </c>
      <c r="T145" s="16" t="s">
        <v>1454</v>
      </c>
      <c r="U145" s="16" t="s">
        <v>1406</v>
      </c>
      <c r="V145" s="16">
        <v>13</v>
      </c>
      <c r="W145" s="16" t="b">
        <v>1</v>
      </c>
      <c r="X145" s="16">
        <v>240806</v>
      </c>
      <c r="Y145" s="16" t="s">
        <v>1405</v>
      </c>
      <c r="Z145" s="16">
        <v>0</v>
      </c>
      <c r="AA145" s="16">
        <v>0</v>
      </c>
      <c r="AB145" s="16" t="s">
        <v>1405</v>
      </c>
      <c r="AC145" s="16" t="s">
        <v>1405</v>
      </c>
      <c r="AD145" s="16">
        <v>0</v>
      </c>
      <c r="AE145" s="16" t="s">
        <v>1405</v>
      </c>
      <c r="AF145" s="16" t="s">
        <v>1405</v>
      </c>
    </row>
    <row r="146" spans="1:32" x14ac:dyDescent="0.2">
      <c r="A146" s="3" t="s">
        <v>2002</v>
      </c>
      <c r="B146" s="12" t="s">
        <v>1497</v>
      </c>
      <c r="C146" s="6">
        <v>145</v>
      </c>
      <c r="D146" s="12">
        <v>9</v>
      </c>
      <c r="E146" s="12" t="s">
        <v>1444</v>
      </c>
      <c r="F146" s="12" t="s">
        <v>1445</v>
      </c>
      <c r="G146" s="12" t="s">
        <v>1446</v>
      </c>
      <c r="H146" s="12" t="s">
        <v>44</v>
      </c>
      <c r="I146" s="12" t="s">
        <v>1412</v>
      </c>
      <c r="J146" s="12" t="s">
        <v>1401</v>
      </c>
      <c r="K146" s="8" t="s">
        <v>1520</v>
      </c>
      <c r="L146" s="13" t="s">
        <v>1521</v>
      </c>
      <c r="M146" s="13" t="s">
        <v>1522</v>
      </c>
      <c r="N146" s="13" t="s">
        <v>1450</v>
      </c>
      <c r="O146" s="13" t="s">
        <v>1501</v>
      </c>
      <c r="P146" s="13" t="s">
        <v>1451</v>
      </c>
      <c r="Q146" s="13" t="s">
        <v>1396</v>
      </c>
      <c r="R146" s="13">
        <v>1</v>
      </c>
      <c r="S146" s="13" t="s">
        <v>1453</v>
      </c>
      <c r="T146" s="13" t="s">
        <v>1454</v>
      </c>
      <c r="U146" s="13" t="s">
        <v>1406</v>
      </c>
      <c r="V146" s="13">
        <v>13</v>
      </c>
      <c r="W146" s="13" t="b">
        <v>1</v>
      </c>
      <c r="X146" s="13">
        <v>240806</v>
      </c>
      <c r="Y146" s="13" t="s">
        <v>1405</v>
      </c>
      <c r="Z146" s="13">
        <v>0</v>
      </c>
      <c r="AA146" s="13">
        <v>0</v>
      </c>
      <c r="AB146" s="13" t="s">
        <v>1405</v>
      </c>
      <c r="AC146" s="13" t="s">
        <v>1405</v>
      </c>
      <c r="AD146" s="13">
        <v>0</v>
      </c>
      <c r="AE146" s="13" t="s">
        <v>1405</v>
      </c>
      <c r="AF146" s="13" t="s">
        <v>1405</v>
      </c>
    </row>
    <row r="147" spans="1:32" x14ac:dyDescent="0.2">
      <c r="A147" s="3" t="s">
        <v>2003</v>
      </c>
      <c r="B147" s="14" t="s">
        <v>1497</v>
      </c>
      <c r="C147" s="6">
        <v>146</v>
      </c>
      <c r="D147" s="14">
        <v>9</v>
      </c>
      <c r="E147" s="14" t="s">
        <v>1457</v>
      </c>
      <c r="F147" s="15" t="s">
        <v>1445</v>
      </c>
      <c r="G147" s="14" t="s">
        <v>1458</v>
      </c>
      <c r="H147" s="14" t="s">
        <v>44</v>
      </c>
      <c r="I147" s="14" t="s">
        <v>1502</v>
      </c>
      <c r="J147" s="14" t="s">
        <v>1401</v>
      </c>
      <c r="K147" s="8" t="s">
        <v>1523</v>
      </c>
      <c r="L147" s="16" t="s">
        <v>1521</v>
      </c>
      <c r="M147" s="16" t="s">
        <v>1522</v>
      </c>
      <c r="N147" s="16" t="s">
        <v>1450</v>
      </c>
      <c r="O147" s="16" t="s">
        <v>1501</v>
      </c>
      <c r="P147" s="16" t="s">
        <v>1451</v>
      </c>
      <c r="Q147" s="16" t="s">
        <v>1396</v>
      </c>
      <c r="R147" s="16">
        <v>1</v>
      </c>
      <c r="S147" s="16" t="s">
        <v>1453</v>
      </c>
      <c r="T147" s="16" t="s">
        <v>1454</v>
      </c>
      <c r="U147" s="16" t="s">
        <v>1406</v>
      </c>
      <c r="V147" s="16">
        <v>13</v>
      </c>
      <c r="W147" s="16" t="b">
        <v>1</v>
      </c>
      <c r="X147" s="16">
        <v>240806</v>
      </c>
      <c r="Y147" s="16" t="s">
        <v>1405</v>
      </c>
      <c r="Z147" s="16">
        <v>0</v>
      </c>
      <c r="AA147" s="16">
        <v>0</v>
      </c>
      <c r="AB147" s="16" t="s">
        <v>1405</v>
      </c>
      <c r="AC147" s="16" t="s">
        <v>1405</v>
      </c>
      <c r="AD147" s="16">
        <v>0</v>
      </c>
      <c r="AE147" s="16" t="s">
        <v>1405</v>
      </c>
      <c r="AF147" s="16" t="s">
        <v>1405</v>
      </c>
    </row>
    <row r="148" spans="1:32" x14ac:dyDescent="0.2">
      <c r="A148" s="3" t="s">
        <v>2004</v>
      </c>
      <c r="B148" s="12" t="s">
        <v>1497</v>
      </c>
      <c r="C148" s="6">
        <v>147</v>
      </c>
      <c r="D148" s="12">
        <v>10</v>
      </c>
      <c r="E148" s="12" t="s">
        <v>1444</v>
      </c>
      <c r="F148" s="12" t="s">
        <v>1445</v>
      </c>
      <c r="G148" s="12" t="s">
        <v>1446</v>
      </c>
      <c r="H148" s="12" t="s">
        <v>46</v>
      </c>
      <c r="I148" s="12" t="s">
        <v>1412</v>
      </c>
      <c r="J148" s="12" t="s">
        <v>1401</v>
      </c>
      <c r="K148" s="8" t="s">
        <v>1524</v>
      </c>
      <c r="L148" s="13" t="s">
        <v>1521</v>
      </c>
      <c r="M148" s="13" t="s">
        <v>1522</v>
      </c>
      <c r="N148" s="13" t="s">
        <v>1450</v>
      </c>
      <c r="O148" s="13" t="s">
        <v>1501</v>
      </c>
      <c r="P148" s="13" t="s">
        <v>1451</v>
      </c>
      <c r="Q148" s="13" t="s">
        <v>1398</v>
      </c>
      <c r="R148" s="13">
        <v>2</v>
      </c>
      <c r="S148" s="13" t="s">
        <v>1453</v>
      </c>
      <c r="T148" s="13" t="s">
        <v>1454</v>
      </c>
      <c r="U148" s="13" t="s">
        <v>1406</v>
      </c>
      <c r="V148" s="13">
        <v>13</v>
      </c>
      <c r="W148" s="13" t="b">
        <v>1</v>
      </c>
      <c r="X148" s="13">
        <v>240806</v>
      </c>
      <c r="Y148" s="13" t="s">
        <v>1405</v>
      </c>
      <c r="Z148" s="13">
        <v>0</v>
      </c>
      <c r="AA148" s="13">
        <v>0</v>
      </c>
      <c r="AB148" s="13" t="s">
        <v>1405</v>
      </c>
      <c r="AC148" s="13" t="s">
        <v>1405</v>
      </c>
      <c r="AD148" s="13">
        <v>0</v>
      </c>
      <c r="AE148" s="13" t="s">
        <v>1405</v>
      </c>
      <c r="AF148" s="13" t="s">
        <v>1405</v>
      </c>
    </row>
    <row r="149" spans="1:32" x14ac:dyDescent="0.2">
      <c r="A149" s="3" t="s">
        <v>2005</v>
      </c>
      <c r="B149" s="14" t="s">
        <v>1497</v>
      </c>
      <c r="C149" s="6">
        <v>148</v>
      </c>
      <c r="D149" s="14">
        <v>10</v>
      </c>
      <c r="E149" s="14" t="s">
        <v>1457</v>
      </c>
      <c r="F149" s="15" t="s">
        <v>1445</v>
      </c>
      <c r="G149" s="14" t="s">
        <v>1458</v>
      </c>
      <c r="H149" s="14" t="s">
        <v>46</v>
      </c>
      <c r="I149" s="14" t="s">
        <v>1502</v>
      </c>
      <c r="J149" s="14" t="s">
        <v>1401</v>
      </c>
      <c r="K149" s="8" t="s">
        <v>1525</v>
      </c>
      <c r="L149" s="16" t="s">
        <v>1521</v>
      </c>
      <c r="M149" s="16" t="s">
        <v>1522</v>
      </c>
      <c r="N149" s="16" t="s">
        <v>1450</v>
      </c>
      <c r="O149" s="16" t="s">
        <v>1501</v>
      </c>
      <c r="P149" s="16" t="s">
        <v>1451</v>
      </c>
      <c r="Q149" s="16" t="s">
        <v>1398</v>
      </c>
      <c r="R149" s="16">
        <v>2</v>
      </c>
      <c r="S149" s="16" t="s">
        <v>1453</v>
      </c>
      <c r="T149" s="16" t="s">
        <v>1454</v>
      </c>
      <c r="U149" s="16" t="s">
        <v>1406</v>
      </c>
      <c r="V149" s="16">
        <v>13</v>
      </c>
      <c r="W149" s="16" t="b">
        <v>1</v>
      </c>
      <c r="X149" s="16">
        <v>240806</v>
      </c>
      <c r="Y149" s="16" t="s">
        <v>1405</v>
      </c>
      <c r="Z149" s="16">
        <v>0</v>
      </c>
      <c r="AA149" s="16">
        <v>0</v>
      </c>
      <c r="AB149" s="16" t="s">
        <v>1405</v>
      </c>
      <c r="AC149" s="16" t="s">
        <v>1405</v>
      </c>
      <c r="AD149" s="16">
        <v>0</v>
      </c>
      <c r="AE149" s="16" t="s">
        <v>1405</v>
      </c>
      <c r="AF149" s="16" t="s">
        <v>1405</v>
      </c>
    </row>
    <row r="150" spans="1:32" x14ac:dyDescent="0.2">
      <c r="A150" s="3" t="s">
        <v>2006</v>
      </c>
      <c r="B150" s="12" t="s">
        <v>1497</v>
      </c>
      <c r="C150" s="6">
        <v>149</v>
      </c>
      <c r="D150" s="12">
        <v>11</v>
      </c>
      <c r="E150" s="12" t="s">
        <v>1444</v>
      </c>
      <c r="F150" s="12" t="s">
        <v>1445</v>
      </c>
      <c r="G150" s="12" t="s">
        <v>1446</v>
      </c>
      <c r="H150" s="12" t="s">
        <v>48</v>
      </c>
      <c r="I150" s="12" t="s">
        <v>1412</v>
      </c>
      <c r="J150" s="12" t="s">
        <v>1401</v>
      </c>
      <c r="K150" s="8" t="s">
        <v>1526</v>
      </c>
      <c r="L150" s="13" t="s">
        <v>1521</v>
      </c>
      <c r="M150" s="13" t="s">
        <v>1522</v>
      </c>
      <c r="N150" s="13" t="s">
        <v>1450</v>
      </c>
      <c r="O150" s="13" t="s">
        <v>1501</v>
      </c>
      <c r="P150" s="13" t="s">
        <v>1451</v>
      </c>
      <c r="Q150" s="13" t="s">
        <v>1399</v>
      </c>
      <c r="R150" s="13">
        <v>3</v>
      </c>
      <c r="S150" s="13" t="s">
        <v>1453</v>
      </c>
      <c r="T150" s="13" t="s">
        <v>1454</v>
      </c>
      <c r="U150" s="13" t="s">
        <v>1406</v>
      </c>
      <c r="V150" s="13">
        <v>13</v>
      </c>
      <c r="W150" s="13" t="b">
        <v>1</v>
      </c>
      <c r="X150" s="13">
        <v>240806</v>
      </c>
      <c r="Y150" s="13" t="s">
        <v>1405</v>
      </c>
      <c r="Z150" s="13">
        <v>0</v>
      </c>
      <c r="AA150" s="13">
        <v>0</v>
      </c>
      <c r="AB150" s="13" t="s">
        <v>1405</v>
      </c>
      <c r="AC150" s="13" t="s">
        <v>1405</v>
      </c>
      <c r="AD150" s="13">
        <v>0</v>
      </c>
      <c r="AE150" s="13" t="s">
        <v>1405</v>
      </c>
      <c r="AF150" s="13" t="s">
        <v>1405</v>
      </c>
    </row>
    <row r="151" spans="1:32" x14ac:dyDescent="0.2">
      <c r="A151" s="3" t="s">
        <v>2007</v>
      </c>
      <c r="B151" s="14" t="s">
        <v>1497</v>
      </c>
      <c r="C151" s="6">
        <v>150</v>
      </c>
      <c r="D151" s="14">
        <v>11</v>
      </c>
      <c r="E151" s="14" t="s">
        <v>1457</v>
      </c>
      <c r="F151" s="15" t="s">
        <v>1445</v>
      </c>
      <c r="G151" s="14" t="s">
        <v>1458</v>
      </c>
      <c r="H151" s="14" t="s">
        <v>48</v>
      </c>
      <c r="I151" s="14" t="s">
        <v>1502</v>
      </c>
      <c r="J151" s="14" t="s">
        <v>1401</v>
      </c>
      <c r="K151" s="8" t="s">
        <v>1527</v>
      </c>
      <c r="L151" s="16" t="s">
        <v>1521</v>
      </c>
      <c r="M151" s="16" t="s">
        <v>1522</v>
      </c>
      <c r="N151" s="16" t="s">
        <v>1450</v>
      </c>
      <c r="O151" s="16" t="s">
        <v>1501</v>
      </c>
      <c r="P151" s="16" t="s">
        <v>1451</v>
      </c>
      <c r="Q151" s="16" t="s">
        <v>1399</v>
      </c>
      <c r="R151" s="16">
        <v>3</v>
      </c>
      <c r="S151" s="16" t="s">
        <v>1453</v>
      </c>
      <c r="T151" s="16" t="s">
        <v>1454</v>
      </c>
      <c r="U151" s="16" t="s">
        <v>1406</v>
      </c>
      <c r="V151" s="16">
        <v>13</v>
      </c>
      <c r="W151" s="16" t="b">
        <v>1</v>
      </c>
      <c r="X151" s="16">
        <v>240806</v>
      </c>
      <c r="Y151" s="16" t="s">
        <v>1405</v>
      </c>
      <c r="Z151" s="16">
        <v>0</v>
      </c>
      <c r="AA151" s="16">
        <v>0</v>
      </c>
      <c r="AB151" s="16" t="s">
        <v>1405</v>
      </c>
      <c r="AC151" s="16" t="s">
        <v>1405</v>
      </c>
      <c r="AD151" s="16">
        <v>0</v>
      </c>
      <c r="AE151" s="16" t="s">
        <v>1405</v>
      </c>
      <c r="AF151" s="16" t="s">
        <v>1405</v>
      </c>
    </row>
    <row r="152" spans="1:32" x14ac:dyDescent="0.2">
      <c r="A152" s="3" t="s">
        <v>2008</v>
      </c>
      <c r="B152" s="12" t="s">
        <v>1497</v>
      </c>
      <c r="C152" s="6">
        <v>151</v>
      </c>
      <c r="D152" s="12">
        <v>12</v>
      </c>
      <c r="E152" s="12" t="s">
        <v>1444</v>
      </c>
      <c r="F152" s="12" t="s">
        <v>1445</v>
      </c>
      <c r="G152" s="12" t="s">
        <v>1446</v>
      </c>
      <c r="H152" s="12" t="s">
        <v>50</v>
      </c>
      <c r="I152" s="12" t="s">
        <v>1412</v>
      </c>
      <c r="J152" s="12" t="s">
        <v>1401</v>
      </c>
      <c r="K152" s="8" t="s">
        <v>1528</v>
      </c>
      <c r="L152" s="13" t="s">
        <v>1521</v>
      </c>
      <c r="M152" s="13" t="s">
        <v>1522</v>
      </c>
      <c r="N152" s="13" t="s">
        <v>1450</v>
      </c>
      <c r="O152" s="13" t="s">
        <v>1501</v>
      </c>
      <c r="P152" s="13" t="s">
        <v>1451</v>
      </c>
      <c r="Q152" s="13" t="s">
        <v>1400</v>
      </c>
      <c r="R152" s="13">
        <v>4</v>
      </c>
      <c r="S152" s="13" t="s">
        <v>1453</v>
      </c>
      <c r="T152" s="13" t="s">
        <v>1454</v>
      </c>
      <c r="U152" s="13" t="s">
        <v>1406</v>
      </c>
      <c r="V152" s="13">
        <v>13</v>
      </c>
      <c r="W152" s="13" t="b">
        <v>1</v>
      </c>
      <c r="X152" s="13">
        <v>240806</v>
      </c>
      <c r="Y152" s="13" t="s">
        <v>1405</v>
      </c>
      <c r="Z152" s="13">
        <v>0</v>
      </c>
      <c r="AA152" s="13">
        <v>0</v>
      </c>
      <c r="AB152" s="13" t="s">
        <v>1405</v>
      </c>
      <c r="AC152" s="13" t="s">
        <v>1405</v>
      </c>
      <c r="AD152" s="13">
        <v>0</v>
      </c>
      <c r="AE152" s="13" t="s">
        <v>1405</v>
      </c>
      <c r="AF152" s="13" t="s">
        <v>1405</v>
      </c>
    </row>
    <row r="153" spans="1:32" x14ac:dyDescent="0.2">
      <c r="A153" s="3" t="s">
        <v>2009</v>
      </c>
      <c r="B153" s="14" t="s">
        <v>1497</v>
      </c>
      <c r="C153" s="6">
        <v>152</v>
      </c>
      <c r="D153" s="14">
        <v>12</v>
      </c>
      <c r="E153" s="14" t="s">
        <v>1457</v>
      </c>
      <c r="F153" s="15" t="s">
        <v>1445</v>
      </c>
      <c r="G153" s="14" t="s">
        <v>1458</v>
      </c>
      <c r="H153" s="14" t="s">
        <v>50</v>
      </c>
      <c r="I153" s="14" t="s">
        <v>1502</v>
      </c>
      <c r="J153" s="14" t="s">
        <v>1401</v>
      </c>
      <c r="K153" s="8" t="s">
        <v>1529</v>
      </c>
      <c r="L153" s="16" t="s">
        <v>1521</v>
      </c>
      <c r="M153" s="16" t="s">
        <v>1522</v>
      </c>
      <c r="N153" s="16" t="s">
        <v>1450</v>
      </c>
      <c r="O153" s="16" t="s">
        <v>1501</v>
      </c>
      <c r="P153" s="16" t="s">
        <v>1451</v>
      </c>
      <c r="Q153" s="16" t="s">
        <v>1400</v>
      </c>
      <c r="R153" s="16">
        <v>4</v>
      </c>
      <c r="S153" s="16" t="s">
        <v>1453</v>
      </c>
      <c r="T153" s="16" t="s">
        <v>1454</v>
      </c>
      <c r="U153" s="16" t="s">
        <v>1406</v>
      </c>
      <c r="V153" s="16">
        <v>13</v>
      </c>
      <c r="W153" s="16" t="b">
        <v>1</v>
      </c>
      <c r="X153" s="16">
        <v>240806</v>
      </c>
      <c r="Y153" s="16" t="s">
        <v>1405</v>
      </c>
      <c r="Z153" s="16">
        <v>0</v>
      </c>
      <c r="AA153" s="16">
        <v>0</v>
      </c>
      <c r="AB153" s="16" t="s">
        <v>1405</v>
      </c>
      <c r="AC153" s="16" t="s">
        <v>1405</v>
      </c>
      <c r="AD153" s="16">
        <v>0</v>
      </c>
      <c r="AE153" s="16" t="s">
        <v>1405</v>
      </c>
      <c r="AF153" s="16" t="s">
        <v>1405</v>
      </c>
    </row>
    <row r="154" spans="1:32" x14ac:dyDescent="0.2">
      <c r="A154" s="3" t="s">
        <v>2010</v>
      </c>
      <c r="B154" s="12" t="s">
        <v>1497</v>
      </c>
      <c r="C154" s="6">
        <v>153</v>
      </c>
      <c r="D154" s="12">
        <v>13</v>
      </c>
      <c r="E154" s="12" t="s">
        <v>1444</v>
      </c>
      <c r="F154" s="12" t="s">
        <v>1445</v>
      </c>
      <c r="G154" s="12" t="s">
        <v>1446</v>
      </c>
      <c r="H154" s="12" t="s">
        <v>51</v>
      </c>
      <c r="I154" s="12" t="s">
        <v>1412</v>
      </c>
      <c r="J154" s="12" t="s">
        <v>1401</v>
      </c>
      <c r="K154" s="8" t="s">
        <v>1530</v>
      </c>
      <c r="L154" s="13" t="s">
        <v>1499</v>
      </c>
      <c r="M154" s="13" t="s">
        <v>1531</v>
      </c>
      <c r="N154" s="13" t="s">
        <v>1450</v>
      </c>
      <c r="O154" s="13" t="s">
        <v>1532</v>
      </c>
      <c r="P154" s="13" t="s">
        <v>1451</v>
      </c>
      <c r="Q154" s="13" t="s">
        <v>1396</v>
      </c>
      <c r="R154" s="13">
        <v>1</v>
      </c>
      <c r="S154" s="13" t="s">
        <v>1453</v>
      </c>
      <c r="T154" s="13" t="s">
        <v>1454</v>
      </c>
      <c r="U154" s="13" t="s">
        <v>1406</v>
      </c>
      <c r="V154" s="13">
        <v>13</v>
      </c>
      <c r="W154" s="13" t="b">
        <v>1</v>
      </c>
      <c r="X154" s="13">
        <v>240806</v>
      </c>
      <c r="Y154" s="13" t="s">
        <v>1405</v>
      </c>
      <c r="Z154" s="13">
        <v>0</v>
      </c>
      <c r="AA154" s="13">
        <v>0</v>
      </c>
      <c r="AB154" s="13" t="s">
        <v>1405</v>
      </c>
      <c r="AC154" s="13" t="s">
        <v>1405</v>
      </c>
      <c r="AD154" s="13">
        <v>0</v>
      </c>
      <c r="AE154" s="13" t="s">
        <v>1405</v>
      </c>
      <c r="AF154" s="13" t="s">
        <v>1405</v>
      </c>
    </row>
    <row r="155" spans="1:32" x14ac:dyDescent="0.2">
      <c r="A155" s="3" t="s">
        <v>2011</v>
      </c>
      <c r="B155" s="14" t="s">
        <v>1497</v>
      </c>
      <c r="C155" s="6">
        <v>154</v>
      </c>
      <c r="D155" s="14">
        <v>13</v>
      </c>
      <c r="E155" s="14" t="s">
        <v>1457</v>
      </c>
      <c r="F155" s="15" t="s">
        <v>1445</v>
      </c>
      <c r="G155" s="14" t="s">
        <v>1458</v>
      </c>
      <c r="H155" s="14" t="s">
        <v>51</v>
      </c>
      <c r="I155" s="14" t="s">
        <v>1502</v>
      </c>
      <c r="J155" s="14" t="s">
        <v>1401</v>
      </c>
      <c r="K155" s="8" t="s">
        <v>1533</v>
      </c>
      <c r="L155" s="16" t="s">
        <v>1499</v>
      </c>
      <c r="M155" s="16" t="s">
        <v>1531</v>
      </c>
      <c r="N155" s="16" t="s">
        <v>1450</v>
      </c>
      <c r="O155" s="16" t="s">
        <v>1532</v>
      </c>
      <c r="P155" s="16" t="s">
        <v>1451</v>
      </c>
      <c r="Q155" s="16" t="s">
        <v>1396</v>
      </c>
      <c r="R155" s="16">
        <v>1</v>
      </c>
      <c r="S155" s="16" t="s">
        <v>1453</v>
      </c>
      <c r="T155" s="16" t="s">
        <v>1454</v>
      </c>
      <c r="U155" s="16" t="s">
        <v>1406</v>
      </c>
      <c r="V155" s="16">
        <v>13</v>
      </c>
      <c r="W155" s="16" t="b">
        <v>1</v>
      </c>
      <c r="X155" s="16">
        <v>240806</v>
      </c>
      <c r="Y155" s="16" t="s">
        <v>1405</v>
      </c>
      <c r="Z155" s="16">
        <v>0</v>
      </c>
      <c r="AA155" s="16">
        <v>0</v>
      </c>
      <c r="AB155" s="16" t="s">
        <v>1405</v>
      </c>
      <c r="AC155" s="16" t="s">
        <v>1405</v>
      </c>
      <c r="AD155" s="16">
        <v>0</v>
      </c>
      <c r="AE155" s="16" t="s">
        <v>1405</v>
      </c>
      <c r="AF155" s="16" t="s">
        <v>1405</v>
      </c>
    </row>
    <row r="156" spans="1:32" x14ac:dyDescent="0.2">
      <c r="A156" s="3" t="s">
        <v>2012</v>
      </c>
      <c r="B156" s="12" t="s">
        <v>1497</v>
      </c>
      <c r="C156" s="6">
        <v>155</v>
      </c>
      <c r="D156" s="12">
        <v>14</v>
      </c>
      <c r="E156" s="12" t="s">
        <v>1444</v>
      </c>
      <c r="F156" s="12" t="s">
        <v>1445</v>
      </c>
      <c r="G156" s="12" t="s">
        <v>1446</v>
      </c>
      <c r="H156" s="12" t="s">
        <v>53</v>
      </c>
      <c r="I156" s="12" t="s">
        <v>1412</v>
      </c>
      <c r="J156" s="12" t="s">
        <v>1401</v>
      </c>
      <c r="K156" s="8" t="s">
        <v>1534</v>
      </c>
      <c r="L156" s="13" t="s">
        <v>1499</v>
      </c>
      <c r="M156" s="13" t="s">
        <v>1531</v>
      </c>
      <c r="N156" s="13" t="s">
        <v>1450</v>
      </c>
      <c r="O156" s="13" t="s">
        <v>1532</v>
      </c>
      <c r="P156" s="13" t="s">
        <v>1451</v>
      </c>
      <c r="Q156" s="13" t="s">
        <v>1398</v>
      </c>
      <c r="R156" s="13">
        <v>2</v>
      </c>
      <c r="S156" s="13" t="s">
        <v>1453</v>
      </c>
      <c r="T156" s="13" t="s">
        <v>1454</v>
      </c>
      <c r="U156" s="13" t="s">
        <v>1406</v>
      </c>
      <c r="V156" s="13">
        <v>13</v>
      </c>
      <c r="W156" s="13" t="b">
        <v>1</v>
      </c>
      <c r="X156" s="13">
        <v>240806</v>
      </c>
      <c r="Y156" s="13" t="s">
        <v>1405</v>
      </c>
      <c r="Z156" s="13">
        <v>0</v>
      </c>
      <c r="AA156" s="13">
        <v>0</v>
      </c>
      <c r="AB156" s="13" t="s">
        <v>1405</v>
      </c>
      <c r="AC156" s="13" t="s">
        <v>1405</v>
      </c>
      <c r="AD156" s="13">
        <v>0</v>
      </c>
      <c r="AE156" s="13" t="s">
        <v>1405</v>
      </c>
      <c r="AF156" s="13" t="s">
        <v>1405</v>
      </c>
    </row>
    <row r="157" spans="1:32" x14ac:dyDescent="0.2">
      <c r="A157" s="3" t="s">
        <v>2013</v>
      </c>
      <c r="B157" s="14" t="s">
        <v>1497</v>
      </c>
      <c r="C157" s="6">
        <v>156</v>
      </c>
      <c r="D157" s="14">
        <v>14</v>
      </c>
      <c r="E157" s="14" t="s">
        <v>1457</v>
      </c>
      <c r="F157" s="15" t="s">
        <v>1445</v>
      </c>
      <c r="G157" s="14" t="s">
        <v>1458</v>
      </c>
      <c r="H157" s="14" t="s">
        <v>53</v>
      </c>
      <c r="I157" s="14" t="s">
        <v>1502</v>
      </c>
      <c r="J157" s="14" t="s">
        <v>1401</v>
      </c>
      <c r="K157" s="8" t="s">
        <v>1535</v>
      </c>
      <c r="L157" s="16" t="s">
        <v>1499</v>
      </c>
      <c r="M157" s="16" t="s">
        <v>1531</v>
      </c>
      <c r="N157" s="16" t="s">
        <v>1450</v>
      </c>
      <c r="O157" s="16" t="s">
        <v>1532</v>
      </c>
      <c r="P157" s="16" t="s">
        <v>1451</v>
      </c>
      <c r="Q157" s="16" t="s">
        <v>1398</v>
      </c>
      <c r="R157" s="16">
        <v>2</v>
      </c>
      <c r="S157" s="16" t="s">
        <v>1453</v>
      </c>
      <c r="T157" s="16" t="s">
        <v>1454</v>
      </c>
      <c r="U157" s="16" t="s">
        <v>1406</v>
      </c>
      <c r="V157" s="16">
        <v>13</v>
      </c>
      <c r="W157" s="16" t="b">
        <v>1</v>
      </c>
      <c r="X157" s="16">
        <v>240806</v>
      </c>
      <c r="Y157" s="16" t="s">
        <v>1405</v>
      </c>
      <c r="Z157" s="16">
        <v>0</v>
      </c>
      <c r="AA157" s="16">
        <v>0</v>
      </c>
      <c r="AB157" s="16" t="s">
        <v>1405</v>
      </c>
      <c r="AC157" s="16" t="s">
        <v>1405</v>
      </c>
      <c r="AD157" s="16">
        <v>0</v>
      </c>
      <c r="AE157" s="16" t="s">
        <v>1405</v>
      </c>
      <c r="AF157" s="16" t="s">
        <v>1405</v>
      </c>
    </row>
    <row r="158" spans="1:32" x14ac:dyDescent="0.2">
      <c r="A158" s="3" t="s">
        <v>2014</v>
      </c>
      <c r="B158" s="12" t="s">
        <v>1497</v>
      </c>
      <c r="C158" s="6">
        <v>157</v>
      </c>
      <c r="D158" s="12">
        <v>15</v>
      </c>
      <c r="E158" s="12" t="s">
        <v>1444</v>
      </c>
      <c r="F158" s="12" t="s">
        <v>1445</v>
      </c>
      <c r="G158" s="12" t="s">
        <v>1446</v>
      </c>
      <c r="H158" s="12" t="s">
        <v>54</v>
      </c>
      <c r="I158" s="12" t="s">
        <v>1412</v>
      </c>
      <c r="J158" s="12" t="s">
        <v>1401</v>
      </c>
      <c r="K158" s="8" t="s">
        <v>1536</v>
      </c>
      <c r="L158" s="13" t="s">
        <v>1499</v>
      </c>
      <c r="M158" s="13" t="s">
        <v>1531</v>
      </c>
      <c r="N158" s="13" t="s">
        <v>1450</v>
      </c>
      <c r="O158" s="13" t="s">
        <v>1532</v>
      </c>
      <c r="P158" s="13" t="s">
        <v>1451</v>
      </c>
      <c r="Q158" s="13" t="s">
        <v>1399</v>
      </c>
      <c r="R158" s="13">
        <v>3</v>
      </c>
      <c r="S158" s="13" t="s">
        <v>1453</v>
      </c>
      <c r="T158" s="13" t="s">
        <v>1454</v>
      </c>
      <c r="U158" s="13" t="s">
        <v>1406</v>
      </c>
      <c r="V158" s="13">
        <v>13</v>
      </c>
      <c r="W158" s="13" t="b">
        <v>1</v>
      </c>
      <c r="X158" s="13">
        <v>240806</v>
      </c>
      <c r="Y158" s="13" t="s">
        <v>1405</v>
      </c>
      <c r="Z158" s="13">
        <v>0</v>
      </c>
      <c r="AA158" s="13">
        <v>0</v>
      </c>
      <c r="AB158" s="13" t="s">
        <v>1405</v>
      </c>
      <c r="AC158" s="13" t="s">
        <v>1405</v>
      </c>
      <c r="AD158" s="13">
        <v>0</v>
      </c>
      <c r="AE158" s="13" t="s">
        <v>1405</v>
      </c>
      <c r="AF158" s="13" t="s">
        <v>1405</v>
      </c>
    </row>
    <row r="159" spans="1:32" x14ac:dyDescent="0.2">
      <c r="A159" s="3" t="s">
        <v>2015</v>
      </c>
      <c r="B159" s="14" t="s">
        <v>1497</v>
      </c>
      <c r="C159" s="6">
        <v>158</v>
      </c>
      <c r="D159" s="14">
        <v>15</v>
      </c>
      <c r="E159" s="14" t="s">
        <v>1457</v>
      </c>
      <c r="F159" s="15" t="s">
        <v>1445</v>
      </c>
      <c r="G159" s="14" t="s">
        <v>1458</v>
      </c>
      <c r="H159" s="14" t="s">
        <v>54</v>
      </c>
      <c r="I159" s="14" t="s">
        <v>1502</v>
      </c>
      <c r="J159" s="14" t="s">
        <v>1401</v>
      </c>
      <c r="K159" s="8" t="s">
        <v>1537</v>
      </c>
      <c r="L159" s="16" t="s">
        <v>1499</v>
      </c>
      <c r="M159" s="16" t="s">
        <v>1531</v>
      </c>
      <c r="N159" s="16" t="s">
        <v>1450</v>
      </c>
      <c r="O159" s="16" t="s">
        <v>1532</v>
      </c>
      <c r="P159" s="16" t="s">
        <v>1451</v>
      </c>
      <c r="Q159" s="16" t="s">
        <v>1399</v>
      </c>
      <c r="R159" s="16">
        <v>3</v>
      </c>
      <c r="S159" s="16" t="s">
        <v>1453</v>
      </c>
      <c r="T159" s="16" t="s">
        <v>1454</v>
      </c>
      <c r="U159" s="16" t="s">
        <v>1406</v>
      </c>
      <c r="V159" s="16">
        <v>13</v>
      </c>
      <c r="W159" s="16" t="b">
        <v>1</v>
      </c>
      <c r="X159" s="16">
        <v>240806</v>
      </c>
      <c r="Y159" s="16" t="s">
        <v>1405</v>
      </c>
      <c r="Z159" s="16">
        <v>0</v>
      </c>
      <c r="AA159" s="16">
        <v>0</v>
      </c>
      <c r="AB159" s="16" t="s">
        <v>1405</v>
      </c>
      <c r="AC159" s="16" t="s">
        <v>1405</v>
      </c>
      <c r="AD159" s="16">
        <v>0</v>
      </c>
      <c r="AE159" s="16" t="s">
        <v>1405</v>
      </c>
      <c r="AF159" s="16" t="s">
        <v>1405</v>
      </c>
    </row>
    <row r="160" spans="1:32" x14ac:dyDescent="0.2">
      <c r="A160" s="3" t="s">
        <v>2016</v>
      </c>
      <c r="B160" s="12" t="s">
        <v>1497</v>
      </c>
      <c r="C160" s="6">
        <v>159</v>
      </c>
      <c r="D160" s="12">
        <v>16</v>
      </c>
      <c r="E160" s="12" t="s">
        <v>1444</v>
      </c>
      <c r="F160" s="12" t="s">
        <v>1445</v>
      </c>
      <c r="G160" s="12" t="s">
        <v>1446</v>
      </c>
      <c r="H160" s="12" t="s">
        <v>55</v>
      </c>
      <c r="I160" s="12" t="s">
        <v>1412</v>
      </c>
      <c r="J160" s="12" t="s">
        <v>1401</v>
      </c>
      <c r="K160" s="8" t="s">
        <v>1538</v>
      </c>
      <c r="L160" s="13" t="s">
        <v>1499</v>
      </c>
      <c r="M160" s="13" t="s">
        <v>1531</v>
      </c>
      <c r="N160" s="13" t="s">
        <v>1450</v>
      </c>
      <c r="O160" s="13" t="s">
        <v>1532</v>
      </c>
      <c r="P160" s="13" t="s">
        <v>1451</v>
      </c>
      <c r="Q160" s="13" t="s">
        <v>1400</v>
      </c>
      <c r="R160" s="13">
        <v>4</v>
      </c>
      <c r="S160" s="13" t="s">
        <v>1453</v>
      </c>
      <c r="T160" s="13" t="s">
        <v>1454</v>
      </c>
      <c r="U160" s="13" t="s">
        <v>1406</v>
      </c>
      <c r="V160" s="13">
        <v>13</v>
      </c>
      <c r="W160" s="13" t="b">
        <v>1</v>
      </c>
      <c r="X160" s="13">
        <v>240806</v>
      </c>
      <c r="Y160" s="13" t="s">
        <v>1405</v>
      </c>
      <c r="Z160" s="13">
        <v>0</v>
      </c>
      <c r="AA160" s="13">
        <v>0</v>
      </c>
      <c r="AB160" s="13" t="s">
        <v>1405</v>
      </c>
      <c r="AC160" s="13" t="s">
        <v>1405</v>
      </c>
      <c r="AD160" s="13">
        <v>0</v>
      </c>
      <c r="AE160" s="13" t="s">
        <v>1405</v>
      </c>
      <c r="AF160" s="13" t="s">
        <v>1405</v>
      </c>
    </row>
    <row r="161" spans="1:32" x14ac:dyDescent="0.2">
      <c r="A161" s="3" t="s">
        <v>2017</v>
      </c>
      <c r="B161" s="14" t="s">
        <v>1497</v>
      </c>
      <c r="C161" s="6">
        <v>160</v>
      </c>
      <c r="D161" s="14">
        <v>16</v>
      </c>
      <c r="E161" s="14" t="s">
        <v>1457</v>
      </c>
      <c r="F161" s="15" t="s">
        <v>1445</v>
      </c>
      <c r="G161" s="14" t="s">
        <v>1458</v>
      </c>
      <c r="H161" s="14" t="s">
        <v>55</v>
      </c>
      <c r="I161" s="14" t="s">
        <v>1502</v>
      </c>
      <c r="J161" s="14" t="s">
        <v>1401</v>
      </c>
      <c r="K161" s="8" t="s">
        <v>1539</v>
      </c>
      <c r="L161" s="16" t="s">
        <v>1499</v>
      </c>
      <c r="M161" s="16" t="s">
        <v>1531</v>
      </c>
      <c r="N161" s="16" t="s">
        <v>1450</v>
      </c>
      <c r="O161" s="16" t="s">
        <v>1532</v>
      </c>
      <c r="P161" s="16" t="s">
        <v>1451</v>
      </c>
      <c r="Q161" s="16" t="s">
        <v>1400</v>
      </c>
      <c r="R161" s="16">
        <v>4</v>
      </c>
      <c r="S161" s="16" t="s">
        <v>1453</v>
      </c>
      <c r="T161" s="16" t="s">
        <v>1454</v>
      </c>
      <c r="U161" s="16" t="s">
        <v>1406</v>
      </c>
      <c r="V161" s="16">
        <v>13</v>
      </c>
      <c r="W161" s="16" t="b">
        <v>1</v>
      </c>
      <c r="X161" s="16">
        <v>240806</v>
      </c>
      <c r="Y161" s="16" t="s">
        <v>1405</v>
      </c>
      <c r="Z161" s="16">
        <v>0</v>
      </c>
      <c r="AA161" s="16">
        <v>0</v>
      </c>
      <c r="AB161" s="16" t="s">
        <v>1405</v>
      </c>
      <c r="AC161" s="16" t="s">
        <v>1405</v>
      </c>
      <c r="AD161" s="16">
        <v>0</v>
      </c>
      <c r="AE161" s="16" t="s">
        <v>1405</v>
      </c>
      <c r="AF161" s="16" t="s">
        <v>1405</v>
      </c>
    </row>
    <row r="162" spans="1:32" x14ac:dyDescent="0.2">
      <c r="A162" s="3" t="s">
        <v>2018</v>
      </c>
      <c r="B162" s="12" t="s">
        <v>1497</v>
      </c>
      <c r="C162" s="6">
        <v>161</v>
      </c>
      <c r="D162" s="12">
        <v>17</v>
      </c>
      <c r="E162" s="12" t="s">
        <v>1444</v>
      </c>
      <c r="F162" s="12" t="s">
        <v>1445</v>
      </c>
      <c r="G162" s="12" t="s">
        <v>1446</v>
      </c>
      <c r="H162" s="12" t="s">
        <v>56</v>
      </c>
      <c r="I162" s="12" t="s">
        <v>1412</v>
      </c>
      <c r="J162" s="12" t="s">
        <v>1401</v>
      </c>
      <c r="K162" s="8" t="s">
        <v>1540</v>
      </c>
      <c r="L162" s="13" t="s">
        <v>1499</v>
      </c>
      <c r="M162" s="13" t="s">
        <v>1531</v>
      </c>
      <c r="N162" s="13" t="s">
        <v>1450</v>
      </c>
      <c r="O162" s="13" t="s">
        <v>1532</v>
      </c>
      <c r="P162" s="13" t="s">
        <v>1451</v>
      </c>
      <c r="Q162" s="13" t="s">
        <v>1541</v>
      </c>
      <c r="R162" s="13">
        <v>5</v>
      </c>
      <c r="S162" s="13" t="s">
        <v>1453</v>
      </c>
      <c r="T162" s="13" t="s">
        <v>1454</v>
      </c>
      <c r="U162" s="13" t="s">
        <v>1406</v>
      </c>
      <c r="V162" s="13">
        <v>13</v>
      </c>
      <c r="W162" s="13" t="b">
        <v>1</v>
      </c>
      <c r="X162" s="13">
        <v>240806</v>
      </c>
      <c r="Y162" s="13" t="s">
        <v>1405</v>
      </c>
      <c r="Z162" s="13">
        <v>0</v>
      </c>
      <c r="AA162" s="13">
        <v>0</v>
      </c>
      <c r="AB162" s="13" t="s">
        <v>1405</v>
      </c>
      <c r="AC162" s="13" t="s">
        <v>1405</v>
      </c>
      <c r="AD162" s="13">
        <v>0</v>
      </c>
      <c r="AE162" s="13" t="s">
        <v>1405</v>
      </c>
      <c r="AF162" s="13" t="s">
        <v>1405</v>
      </c>
    </row>
    <row r="163" spans="1:32" x14ac:dyDescent="0.2">
      <c r="A163" s="3" t="s">
        <v>2019</v>
      </c>
      <c r="B163" s="14" t="s">
        <v>1497</v>
      </c>
      <c r="C163" s="6">
        <v>162</v>
      </c>
      <c r="D163" s="14">
        <v>17</v>
      </c>
      <c r="E163" s="14" t="s">
        <v>1457</v>
      </c>
      <c r="F163" s="15" t="s">
        <v>1445</v>
      </c>
      <c r="G163" s="14" t="s">
        <v>1458</v>
      </c>
      <c r="H163" s="14" t="s">
        <v>56</v>
      </c>
      <c r="I163" s="14" t="s">
        <v>1502</v>
      </c>
      <c r="J163" s="14" t="s">
        <v>1401</v>
      </c>
      <c r="K163" s="8" t="s">
        <v>1542</v>
      </c>
      <c r="L163" s="16" t="s">
        <v>1499</v>
      </c>
      <c r="M163" s="16" t="s">
        <v>1531</v>
      </c>
      <c r="N163" s="16" t="s">
        <v>1450</v>
      </c>
      <c r="O163" s="16" t="s">
        <v>1532</v>
      </c>
      <c r="P163" s="16" t="s">
        <v>1451</v>
      </c>
      <c r="Q163" s="16" t="s">
        <v>1541</v>
      </c>
      <c r="R163" s="16">
        <v>5</v>
      </c>
      <c r="S163" s="16" t="s">
        <v>1453</v>
      </c>
      <c r="T163" s="16" t="s">
        <v>1454</v>
      </c>
      <c r="U163" s="16" t="s">
        <v>1406</v>
      </c>
      <c r="V163" s="16">
        <v>13</v>
      </c>
      <c r="W163" s="16" t="b">
        <v>1</v>
      </c>
      <c r="X163" s="16">
        <v>240806</v>
      </c>
      <c r="Y163" s="16" t="s">
        <v>1405</v>
      </c>
      <c r="Z163" s="16">
        <v>0</v>
      </c>
      <c r="AA163" s="16">
        <v>0</v>
      </c>
      <c r="AB163" s="16" t="s">
        <v>1405</v>
      </c>
      <c r="AC163" s="16" t="s">
        <v>1405</v>
      </c>
      <c r="AD163" s="16">
        <v>0</v>
      </c>
      <c r="AE163" s="16" t="s">
        <v>1405</v>
      </c>
      <c r="AF163" s="16" t="s">
        <v>1405</v>
      </c>
    </row>
    <row r="164" spans="1:32" x14ac:dyDescent="0.2">
      <c r="A164" s="3" t="s">
        <v>2020</v>
      </c>
      <c r="B164" s="12" t="s">
        <v>1497</v>
      </c>
      <c r="C164" s="6">
        <v>163</v>
      </c>
      <c r="D164" s="12">
        <v>18</v>
      </c>
      <c r="E164" s="12" t="s">
        <v>1444</v>
      </c>
      <c r="F164" s="12" t="s">
        <v>1445</v>
      </c>
      <c r="G164" s="12" t="s">
        <v>1446</v>
      </c>
      <c r="H164" s="12" t="s">
        <v>57</v>
      </c>
      <c r="I164" s="12" t="s">
        <v>1412</v>
      </c>
      <c r="J164" s="12" t="s">
        <v>1401</v>
      </c>
      <c r="K164" s="8" t="s">
        <v>1543</v>
      </c>
      <c r="L164" s="13" t="s">
        <v>1511</v>
      </c>
      <c r="M164" s="13" t="s">
        <v>1544</v>
      </c>
      <c r="N164" s="13" t="s">
        <v>1450</v>
      </c>
      <c r="O164" s="13" t="s">
        <v>1532</v>
      </c>
      <c r="P164" s="13" t="s">
        <v>1451</v>
      </c>
      <c r="Q164" s="13" t="s">
        <v>1396</v>
      </c>
      <c r="R164" s="13">
        <v>1</v>
      </c>
      <c r="S164" s="13" t="s">
        <v>1453</v>
      </c>
      <c r="T164" s="13" t="s">
        <v>1454</v>
      </c>
      <c r="U164" s="13" t="s">
        <v>1406</v>
      </c>
      <c r="V164" s="13">
        <v>13</v>
      </c>
      <c r="W164" s="13" t="b">
        <v>1</v>
      </c>
      <c r="X164" s="13">
        <v>240806</v>
      </c>
      <c r="Y164" s="13" t="s">
        <v>1405</v>
      </c>
      <c r="Z164" s="13">
        <v>0</v>
      </c>
      <c r="AA164" s="13">
        <v>0</v>
      </c>
      <c r="AB164" s="13" t="s">
        <v>1405</v>
      </c>
      <c r="AC164" s="13" t="s">
        <v>1405</v>
      </c>
      <c r="AD164" s="13">
        <v>0</v>
      </c>
      <c r="AE164" s="13" t="s">
        <v>1405</v>
      </c>
      <c r="AF164" s="13" t="s">
        <v>1405</v>
      </c>
    </row>
    <row r="165" spans="1:32" x14ac:dyDescent="0.2">
      <c r="A165" s="3" t="s">
        <v>2021</v>
      </c>
      <c r="B165" s="14" t="s">
        <v>1497</v>
      </c>
      <c r="C165" s="6">
        <v>164</v>
      </c>
      <c r="D165" s="14">
        <v>18</v>
      </c>
      <c r="E165" s="14" t="s">
        <v>1457</v>
      </c>
      <c r="F165" s="15" t="s">
        <v>1445</v>
      </c>
      <c r="G165" s="14" t="s">
        <v>1458</v>
      </c>
      <c r="H165" s="14" t="s">
        <v>57</v>
      </c>
      <c r="I165" s="14" t="s">
        <v>1502</v>
      </c>
      <c r="J165" s="14" t="s">
        <v>1401</v>
      </c>
      <c r="K165" s="8" t="s">
        <v>1545</v>
      </c>
      <c r="L165" s="16" t="s">
        <v>1511</v>
      </c>
      <c r="M165" s="16" t="s">
        <v>1544</v>
      </c>
      <c r="N165" s="16" t="s">
        <v>1450</v>
      </c>
      <c r="O165" s="16" t="s">
        <v>1532</v>
      </c>
      <c r="P165" s="16" t="s">
        <v>1451</v>
      </c>
      <c r="Q165" s="16" t="s">
        <v>1396</v>
      </c>
      <c r="R165" s="16">
        <v>1</v>
      </c>
      <c r="S165" s="16" t="s">
        <v>1453</v>
      </c>
      <c r="T165" s="16" t="s">
        <v>1454</v>
      </c>
      <c r="U165" s="16" t="s">
        <v>1406</v>
      </c>
      <c r="V165" s="16">
        <v>13</v>
      </c>
      <c r="W165" s="16" t="b">
        <v>1</v>
      </c>
      <c r="X165" s="16">
        <v>240806</v>
      </c>
      <c r="Y165" s="16" t="s">
        <v>1405</v>
      </c>
      <c r="Z165" s="16">
        <v>0</v>
      </c>
      <c r="AA165" s="16">
        <v>0</v>
      </c>
      <c r="AB165" s="16" t="s">
        <v>1405</v>
      </c>
      <c r="AC165" s="16" t="s">
        <v>1405</v>
      </c>
      <c r="AD165" s="16">
        <v>0</v>
      </c>
      <c r="AE165" s="16" t="s">
        <v>1405</v>
      </c>
      <c r="AF165" s="16" t="s">
        <v>1405</v>
      </c>
    </row>
    <row r="166" spans="1:32" x14ac:dyDescent="0.2">
      <c r="A166" s="3" t="s">
        <v>2022</v>
      </c>
      <c r="B166" s="12" t="s">
        <v>1497</v>
      </c>
      <c r="C166" s="6">
        <v>165</v>
      </c>
      <c r="D166" s="12">
        <v>19</v>
      </c>
      <c r="E166" s="12" t="s">
        <v>1444</v>
      </c>
      <c r="F166" s="12" t="s">
        <v>1445</v>
      </c>
      <c r="G166" s="12" t="s">
        <v>1446</v>
      </c>
      <c r="H166" s="12" t="s">
        <v>58</v>
      </c>
      <c r="I166" s="12" t="s">
        <v>1412</v>
      </c>
      <c r="J166" s="12" t="s">
        <v>1401</v>
      </c>
      <c r="K166" s="8" t="s">
        <v>1546</v>
      </c>
      <c r="L166" s="13" t="s">
        <v>1511</v>
      </c>
      <c r="M166" s="13" t="s">
        <v>1544</v>
      </c>
      <c r="N166" s="13" t="s">
        <v>1450</v>
      </c>
      <c r="O166" s="13" t="s">
        <v>1532</v>
      </c>
      <c r="P166" s="13" t="s">
        <v>1451</v>
      </c>
      <c r="Q166" s="13" t="s">
        <v>1398</v>
      </c>
      <c r="R166" s="13">
        <v>2</v>
      </c>
      <c r="S166" s="13" t="s">
        <v>1453</v>
      </c>
      <c r="T166" s="13" t="s">
        <v>1454</v>
      </c>
      <c r="U166" s="13" t="s">
        <v>1406</v>
      </c>
      <c r="V166" s="13">
        <v>13</v>
      </c>
      <c r="W166" s="13" t="b">
        <v>1</v>
      </c>
      <c r="X166" s="13">
        <v>240806</v>
      </c>
      <c r="Y166" s="13" t="s">
        <v>1405</v>
      </c>
      <c r="Z166" s="13">
        <v>0</v>
      </c>
      <c r="AA166" s="13">
        <v>0</v>
      </c>
      <c r="AB166" s="13" t="s">
        <v>1405</v>
      </c>
      <c r="AC166" s="13" t="s">
        <v>1405</v>
      </c>
      <c r="AD166" s="13">
        <v>0</v>
      </c>
      <c r="AE166" s="13" t="s">
        <v>1405</v>
      </c>
      <c r="AF166" s="13" t="s">
        <v>1405</v>
      </c>
    </row>
    <row r="167" spans="1:32" x14ac:dyDescent="0.2">
      <c r="A167" s="3" t="s">
        <v>2023</v>
      </c>
      <c r="B167" s="14" t="s">
        <v>1497</v>
      </c>
      <c r="C167" s="6">
        <v>166</v>
      </c>
      <c r="D167" s="14">
        <v>19</v>
      </c>
      <c r="E167" s="14" t="s">
        <v>1457</v>
      </c>
      <c r="F167" s="15" t="s">
        <v>1445</v>
      </c>
      <c r="G167" s="14" t="s">
        <v>1458</v>
      </c>
      <c r="H167" s="14" t="s">
        <v>58</v>
      </c>
      <c r="I167" s="14" t="s">
        <v>1502</v>
      </c>
      <c r="J167" s="14" t="s">
        <v>1401</v>
      </c>
      <c r="K167" s="8" t="s">
        <v>1547</v>
      </c>
      <c r="L167" s="16" t="s">
        <v>1511</v>
      </c>
      <c r="M167" s="16" t="s">
        <v>1544</v>
      </c>
      <c r="N167" s="16" t="s">
        <v>1450</v>
      </c>
      <c r="O167" s="16" t="s">
        <v>1532</v>
      </c>
      <c r="P167" s="16" t="s">
        <v>1451</v>
      </c>
      <c r="Q167" s="16" t="s">
        <v>1398</v>
      </c>
      <c r="R167" s="16">
        <v>2</v>
      </c>
      <c r="S167" s="16" t="s">
        <v>1453</v>
      </c>
      <c r="T167" s="16" t="s">
        <v>1454</v>
      </c>
      <c r="U167" s="16" t="s">
        <v>1406</v>
      </c>
      <c r="V167" s="16">
        <v>13</v>
      </c>
      <c r="W167" s="16" t="b">
        <v>1</v>
      </c>
      <c r="X167" s="16">
        <v>240806</v>
      </c>
      <c r="Y167" s="16" t="s">
        <v>1405</v>
      </c>
      <c r="Z167" s="16">
        <v>0</v>
      </c>
      <c r="AA167" s="16">
        <v>0</v>
      </c>
      <c r="AB167" s="16" t="s">
        <v>1405</v>
      </c>
      <c r="AC167" s="16" t="s">
        <v>1405</v>
      </c>
      <c r="AD167" s="16">
        <v>0</v>
      </c>
      <c r="AE167" s="16" t="s">
        <v>1405</v>
      </c>
      <c r="AF167" s="16" t="s">
        <v>1405</v>
      </c>
    </row>
    <row r="168" spans="1:32" x14ac:dyDescent="0.2">
      <c r="A168" s="3" t="s">
        <v>2024</v>
      </c>
      <c r="B168" s="12" t="s">
        <v>1497</v>
      </c>
      <c r="C168" s="6">
        <v>167</v>
      </c>
      <c r="D168" s="12">
        <v>20</v>
      </c>
      <c r="E168" s="12" t="s">
        <v>1444</v>
      </c>
      <c r="F168" s="12" t="s">
        <v>1445</v>
      </c>
      <c r="G168" s="12" t="s">
        <v>1446</v>
      </c>
      <c r="H168" s="12" t="s">
        <v>59</v>
      </c>
      <c r="I168" s="12" t="s">
        <v>1412</v>
      </c>
      <c r="J168" s="12" t="s">
        <v>1401</v>
      </c>
      <c r="K168" s="8" t="s">
        <v>1548</v>
      </c>
      <c r="L168" s="13" t="s">
        <v>1511</v>
      </c>
      <c r="M168" s="13" t="s">
        <v>1544</v>
      </c>
      <c r="N168" s="13" t="s">
        <v>1450</v>
      </c>
      <c r="O168" s="13" t="s">
        <v>1532</v>
      </c>
      <c r="P168" s="13" t="s">
        <v>1451</v>
      </c>
      <c r="Q168" s="13" t="s">
        <v>1399</v>
      </c>
      <c r="R168" s="13">
        <v>3</v>
      </c>
      <c r="S168" s="13" t="s">
        <v>1453</v>
      </c>
      <c r="T168" s="13" t="s">
        <v>1454</v>
      </c>
      <c r="U168" s="13" t="s">
        <v>1406</v>
      </c>
      <c r="V168" s="13">
        <v>13</v>
      </c>
      <c r="W168" s="13" t="b">
        <v>1</v>
      </c>
      <c r="X168" s="13">
        <v>240806</v>
      </c>
      <c r="Y168" s="13" t="s">
        <v>1405</v>
      </c>
      <c r="Z168" s="13">
        <v>0</v>
      </c>
      <c r="AA168" s="13">
        <v>0</v>
      </c>
      <c r="AB168" s="13" t="s">
        <v>1405</v>
      </c>
      <c r="AC168" s="13" t="s">
        <v>1405</v>
      </c>
      <c r="AD168" s="13">
        <v>0</v>
      </c>
      <c r="AE168" s="13" t="s">
        <v>1405</v>
      </c>
      <c r="AF168" s="13" t="s">
        <v>1405</v>
      </c>
    </row>
    <row r="169" spans="1:32" x14ac:dyDescent="0.2">
      <c r="A169" s="3" t="s">
        <v>2025</v>
      </c>
      <c r="B169" s="14" t="s">
        <v>1497</v>
      </c>
      <c r="C169" s="6">
        <v>168</v>
      </c>
      <c r="D169" s="14">
        <v>20</v>
      </c>
      <c r="E169" s="14" t="s">
        <v>1457</v>
      </c>
      <c r="F169" s="15" t="s">
        <v>1445</v>
      </c>
      <c r="G169" s="14" t="s">
        <v>1458</v>
      </c>
      <c r="H169" s="14" t="s">
        <v>59</v>
      </c>
      <c r="I169" s="14" t="s">
        <v>1502</v>
      </c>
      <c r="J169" s="14" t="s">
        <v>1401</v>
      </c>
      <c r="K169" s="8" t="s">
        <v>1549</v>
      </c>
      <c r="L169" s="16" t="s">
        <v>1511</v>
      </c>
      <c r="M169" s="16" t="s">
        <v>1544</v>
      </c>
      <c r="N169" s="16" t="s">
        <v>1450</v>
      </c>
      <c r="O169" s="16" t="s">
        <v>1532</v>
      </c>
      <c r="P169" s="16" t="s">
        <v>1451</v>
      </c>
      <c r="Q169" s="16" t="s">
        <v>1399</v>
      </c>
      <c r="R169" s="16">
        <v>3</v>
      </c>
      <c r="S169" s="16" t="s">
        <v>1453</v>
      </c>
      <c r="T169" s="16" t="s">
        <v>1454</v>
      </c>
      <c r="U169" s="16" t="s">
        <v>1406</v>
      </c>
      <c r="V169" s="16">
        <v>13</v>
      </c>
      <c r="W169" s="16" t="b">
        <v>1</v>
      </c>
      <c r="X169" s="16">
        <v>240806</v>
      </c>
      <c r="Y169" s="16" t="s">
        <v>1405</v>
      </c>
      <c r="Z169" s="16">
        <v>0</v>
      </c>
      <c r="AA169" s="16">
        <v>0</v>
      </c>
      <c r="AB169" s="16" t="s">
        <v>1405</v>
      </c>
      <c r="AC169" s="16" t="s">
        <v>1405</v>
      </c>
      <c r="AD169" s="16">
        <v>0</v>
      </c>
      <c r="AE169" s="16" t="s">
        <v>1405</v>
      </c>
      <c r="AF169" s="16" t="s">
        <v>1405</v>
      </c>
    </row>
    <row r="170" spans="1:32" x14ac:dyDescent="0.2">
      <c r="A170" s="3" t="s">
        <v>2026</v>
      </c>
      <c r="B170" s="12" t="s">
        <v>1497</v>
      </c>
      <c r="C170" s="6">
        <v>169</v>
      </c>
      <c r="D170" s="12">
        <v>21</v>
      </c>
      <c r="E170" s="12" t="s">
        <v>1444</v>
      </c>
      <c r="F170" s="12" t="s">
        <v>1445</v>
      </c>
      <c r="G170" s="12" t="s">
        <v>1446</v>
      </c>
      <c r="H170" s="12" t="s">
        <v>60</v>
      </c>
      <c r="I170" s="12" t="s">
        <v>1412</v>
      </c>
      <c r="J170" s="12" t="s">
        <v>1401</v>
      </c>
      <c r="K170" s="8" t="s">
        <v>1550</v>
      </c>
      <c r="L170" s="13" t="s">
        <v>1511</v>
      </c>
      <c r="M170" s="13" t="s">
        <v>1544</v>
      </c>
      <c r="N170" s="13" t="s">
        <v>1450</v>
      </c>
      <c r="O170" s="13" t="s">
        <v>1532</v>
      </c>
      <c r="P170" s="13" t="s">
        <v>1451</v>
      </c>
      <c r="Q170" s="13" t="s">
        <v>1400</v>
      </c>
      <c r="R170" s="13">
        <v>4</v>
      </c>
      <c r="S170" s="13" t="s">
        <v>1453</v>
      </c>
      <c r="T170" s="13" t="s">
        <v>1454</v>
      </c>
      <c r="U170" s="13" t="s">
        <v>1406</v>
      </c>
      <c r="V170" s="13">
        <v>13</v>
      </c>
      <c r="W170" s="13" t="b">
        <v>1</v>
      </c>
      <c r="X170" s="13">
        <v>240806</v>
      </c>
      <c r="Y170" s="13" t="s">
        <v>1405</v>
      </c>
      <c r="Z170" s="13">
        <v>0</v>
      </c>
      <c r="AA170" s="13">
        <v>0</v>
      </c>
      <c r="AB170" s="13" t="s">
        <v>1405</v>
      </c>
      <c r="AC170" s="13" t="s">
        <v>1405</v>
      </c>
      <c r="AD170" s="13">
        <v>0</v>
      </c>
      <c r="AE170" s="13" t="s">
        <v>1405</v>
      </c>
      <c r="AF170" s="13" t="s">
        <v>1405</v>
      </c>
    </row>
    <row r="171" spans="1:32" x14ac:dyDescent="0.2">
      <c r="A171" s="3" t="s">
        <v>2027</v>
      </c>
      <c r="B171" s="14" t="s">
        <v>1497</v>
      </c>
      <c r="C171" s="6">
        <v>170</v>
      </c>
      <c r="D171" s="14">
        <v>21</v>
      </c>
      <c r="E171" s="14" t="s">
        <v>1457</v>
      </c>
      <c r="F171" s="15" t="s">
        <v>1445</v>
      </c>
      <c r="G171" s="14" t="s">
        <v>1458</v>
      </c>
      <c r="H171" s="14" t="s">
        <v>60</v>
      </c>
      <c r="I171" s="14" t="s">
        <v>1502</v>
      </c>
      <c r="J171" s="14" t="s">
        <v>1401</v>
      </c>
      <c r="K171" s="8" t="s">
        <v>1551</v>
      </c>
      <c r="L171" s="16" t="s">
        <v>1511</v>
      </c>
      <c r="M171" s="16" t="s">
        <v>1544</v>
      </c>
      <c r="N171" s="16" t="s">
        <v>1450</v>
      </c>
      <c r="O171" s="16" t="s">
        <v>1532</v>
      </c>
      <c r="P171" s="16" t="s">
        <v>1451</v>
      </c>
      <c r="Q171" s="16" t="s">
        <v>1400</v>
      </c>
      <c r="R171" s="16">
        <v>4</v>
      </c>
      <c r="S171" s="16" t="s">
        <v>1453</v>
      </c>
      <c r="T171" s="16" t="s">
        <v>1454</v>
      </c>
      <c r="U171" s="16" t="s">
        <v>1406</v>
      </c>
      <c r="V171" s="16">
        <v>13</v>
      </c>
      <c r="W171" s="16" t="b">
        <v>1</v>
      </c>
      <c r="X171" s="16">
        <v>240806</v>
      </c>
      <c r="Y171" s="16" t="s">
        <v>1405</v>
      </c>
      <c r="Z171" s="16">
        <v>0</v>
      </c>
      <c r="AA171" s="16">
        <v>0</v>
      </c>
      <c r="AB171" s="16" t="s">
        <v>1405</v>
      </c>
      <c r="AC171" s="16" t="s">
        <v>1405</v>
      </c>
      <c r="AD171" s="16">
        <v>0</v>
      </c>
      <c r="AE171" s="16" t="s">
        <v>1405</v>
      </c>
      <c r="AF171" s="16" t="s">
        <v>1405</v>
      </c>
    </row>
    <row r="172" spans="1:32" x14ac:dyDescent="0.2">
      <c r="A172" s="3" t="s">
        <v>2028</v>
      </c>
      <c r="B172" s="12" t="s">
        <v>1497</v>
      </c>
      <c r="C172" s="6">
        <v>171</v>
      </c>
      <c r="D172" s="12">
        <v>22</v>
      </c>
      <c r="E172" s="12" t="s">
        <v>1444</v>
      </c>
      <c r="F172" s="12" t="s">
        <v>1445</v>
      </c>
      <c r="G172" s="12" t="s">
        <v>1446</v>
      </c>
      <c r="H172" s="12" t="s">
        <v>61</v>
      </c>
      <c r="I172" s="12" t="s">
        <v>1412</v>
      </c>
      <c r="J172" s="12" t="s">
        <v>1401</v>
      </c>
      <c r="K172" s="17" t="s">
        <v>1552</v>
      </c>
      <c r="L172" s="13" t="s">
        <v>1511</v>
      </c>
      <c r="M172" s="13" t="s">
        <v>1544</v>
      </c>
      <c r="N172" s="13" t="s">
        <v>1450</v>
      </c>
      <c r="O172" s="13" t="s">
        <v>1532</v>
      </c>
      <c r="P172" s="13" t="s">
        <v>1451</v>
      </c>
      <c r="Q172" s="13" t="s">
        <v>1541</v>
      </c>
      <c r="R172" s="13">
        <v>5</v>
      </c>
      <c r="S172" s="13" t="s">
        <v>1453</v>
      </c>
      <c r="T172" s="13" t="s">
        <v>1454</v>
      </c>
      <c r="U172" s="13" t="s">
        <v>1406</v>
      </c>
      <c r="V172" s="13">
        <v>13</v>
      </c>
      <c r="W172" s="13" t="b">
        <v>1</v>
      </c>
      <c r="X172" s="13">
        <v>240806</v>
      </c>
      <c r="Y172" s="13" t="s">
        <v>1405</v>
      </c>
      <c r="Z172" s="13">
        <v>0</v>
      </c>
      <c r="AA172" s="13">
        <v>0</v>
      </c>
      <c r="AB172" s="13" t="s">
        <v>1405</v>
      </c>
      <c r="AC172" s="13" t="s">
        <v>1405</v>
      </c>
      <c r="AD172" s="13">
        <v>0</v>
      </c>
      <c r="AE172" s="13" t="s">
        <v>1405</v>
      </c>
      <c r="AF172" s="13" t="s">
        <v>1405</v>
      </c>
    </row>
    <row r="173" spans="1:32" x14ac:dyDescent="0.2">
      <c r="A173" s="3" t="s">
        <v>2029</v>
      </c>
      <c r="B173" s="14" t="s">
        <v>1497</v>
      </c>
      <c r="C173" s="6">
        <v>172</v>
      </c>
      <c r="D173" s="14">
        <v>22</v>
      </c>
      <c r="E173" s="14" t="s">
        <v>1457</v>
      </c>
      <c r="F173" s="15" t="s">
        <v>1445</v>
      </c>
      <c r="G173" s="14" t="s">
        <v>1458</v>
      </c>
      <c r="H173" s="14" t="s">
        <v>61</v>
      </c>
      <c r="I173" s="14" t="s">
        <v>1502</v>
      </c>
      <c r="J173" s="14" t="s">
        <v>1401</v>
      </c>
      <c r="K173" s="17" t="s">
        <v>1553</v>
      </c>
      <c r="L173" s="16" t="s">
        <v>1511</v>
      </c>
      <c r="M173" s="16" t="s">
        <v>1544</v>
      </c>
      <c r="N173" s="16" t="s">
        <v>1450</v>
      </c>
      <c r="O173" s="16" t="s">
        <v>1532</v>
      </c>
      <c r="P173" s="16" t="s">
        <v>1451</v>
      </c>
      <c r="Q173" s="16" t="s">
        <v>1541</v>
      </c>
      <c r="R173" s="16">
        <v>5</v>
      </c>
      <c r="S173" s="16" t="s">
        <v>1453</v>
      </c>
      <c r="T173" s="16" t="s">
        <v>1454</v>
      </c>
      <c r="U173" s="16" t="s">
        <v>1406</v>
      </c>
      <c r="V173" s="16">
        <v>13</v>
      </c>
      <c r="W173" s="16" t="b">
        <v>1</v>
      </c>
      <c r="X173" s="16">
        <v>240806</v>
      </c>
      <c r="Y173" s="16" t="s">
        <v>1405</v>
      </c>
      <c r="Z173" s="16">
        <v>0</v>
      </c>
      <c r="AA173" s="16">
        <v>0</v>
      </c>
      <c r="AB173" s="16" t="s">
        <v>1405</v>
      </c>
      <c r="AC173" s="16" t="s">
        <v>1405</v>
      </c>
      <c r="AD173" s="16">
        <v>0</v>
      </c>
      <c r="AE173" s="16" t="s">
        <v>1405</v>
      </c>
      <c r="AF173" s="16" t="s">
        <v>1405</v>
      </c>
    </row>
    <row r="174" spans="1:32" x14ac:dyDescent="0.2">
      <c r="A174" s="3" t="s">
        <v>2030</v>
      </c>
      <c r="B174" s="12" t="s">
        <v>1497</v>
      </c>
      <c r="C174" s="6">
        <v>173</v>
      </c>
      <c r="D174" s="12">
        <v>23</v>
      </c>
      <c r="E174" s="12" t="s">
        <v>1444</v>
      </c>
      <c r="F174" s="12" t="s">
        <v>1445</v>
      </c>
      <c r="G174" s="12" t="s">
        <v>1446</v>
      </c>
      <c r="H174" s="12" t="s">
        <v>62</v>
      </c>
      <c r="I174" s="12" t="s">
        <v>1412</v>
      </c>
      <c r="J174" s="12" t="s">
        <v>1401</v>
      </c>
      <c r="K174" s="17" t="s">
        <v>1554</v>
      </c>
      <c r="L174" s="13" t="s">
        <v>1521</v>
      </c>
      <c r="M174" s="13" t="s">
        <v>1555</v>
      </c>
      <c r="N174" s="13" t="s">
        <v>1450</v>
      </c>
      <c r="O174" s="13" t="s">
        <v>1532</v>
      </c>
      <c r="P174" s="13" t="s">
        <v>1451</v>
      </c>
      <c r="Q174" s="13" t="s">
        <v>1396</v>
      </c>
      <c r="R174" s="13">
        <v>1</v>
      </c>
      <c r="S174" s="13" t="s">
        <v>1453</v>
      </c>
      <c r="T174" s="13" t="s">
        <v>1454</v>
      </c>
      <c r="U174" s="13" t="s">
        <v>1406</v>
      </c>
      <c r="V174" s="13">
        <v>13</v>
      </c>
      <c r="W174" s="13" t="b">
        <v>1</v>
      </c>
      <c r="X174" s="13">
        <v>240806</v>
      </c>
      <c r="Y174" s="13" t="s">
        <v>1405</v>
      </c>
      <c r="Z174" s="13">
        <v>0</v>
      </c>
      <c r="AA174" s="13">
        <v>0</v>
      </c>
      <c r="AB174" s="13" t="s">
        <v>1405</v>
      </c>
      <c r="AC174" s="13" t="s">
        <v>1405</v>
      </c>
      <c r="AD174" s="13">
        <v>0</v>
      </c>
      <c r="AE174" s="13" t="s">
        <v>1405</v>
      </c>
      <c r="AF174" s="13" t="s">
        <v>1405</v>
      </c>
    </row>
    <row r="175" spans="1:32" x14ac:dyDescent="0.2">
      <c r="A175" s="3" t="s">
        <v>2031</v>
      </c>
      <c r="B175" s="14" t="s">
        <v>1497</v>
      </c>
      <c r="C175" s="6">
        <v>174</v>
      </c>
      <c r="D175" s="14">
        <v>23</v>
      </c>
      <c r="E175" s="14" t="s">
        <v>1457</v>
      </c>
      <c r="F175" s="15" t="s">
        <v>1445</v>
      </c>
      <c r="G175" s="14" t="s">
        <v>1458</v>
      </c>
      <c r="H175" s="14" t="s">
        <v>62</v>
      </c>
      <c r="I175" s="14" t="s">
        <v>1502</v>
      </c>
      <c r="J175" s="14" t="s">
        <v>1401</v>
      </c>
      <c r="K175" s="17" t="s">
        <v>1556</v>
      </c>
      <c r="L175" s="16" t="s">
        <v>1521</v>
      </c>
      <c r="M175" s="16" t="s">
        <v>1555</v>
      </c>
      <c r="N175" s="16" t="s">
        <v>1450</v>
      </c>
      <c r="O175" s="16" t="s">
        <v>1532</v>
      </c>
      <c r="P175" s="16" t="s">
        <v>1451</v>
      </c>
      <c r="Q175" s="16" t="s">
        <v>1396</v>
      </c>
      <c r="R175" s="16">
        <v>1</v>
      </c>
      <c r="S175" s="16" t="s">
        <v>1453</v>
      </c>
      <c r="T175" s="16" t="s">
        <v>1454</v>
      </c>
      <c r="U175" s="16" t="s">
        <v>1406</v>
      </c>
      <c r="V175" s="16">
        <v>13</v>
      </c>
      <c r="W175" s="16" t="b">
        <v>1</v>
      </c>
      <c r="X175" s="16">
        <v>240806</v>
      </c>
      <c r="Y175" s="16" t="s">
        <v>1405</v>
      </c>
      <c r="Z175" s="16">
        <v>0</v>
      </c>
      <c r="AA175" s="16">
        <v>0</v>
      </c>
      <c r="AB175" s="16" t="s">
        <v>1405</v>
      </c>
      <c r="AC175" s="16" t="s">
        <v>1405</v>
      </c>
      <c r="AD175" s="16">
        <v>0</v>
      </c>
      <c r="AE175" s="16" t="s">
        <v>1405</v>
      </c>
      <c r="AF175" s="16" t="s">
        <v>1405</v>
      </c>
    </row>
    <row r="176" spans="1:32" x14ac:dyDescent="0.2">
      <c r="A176" s="3" t="s">
        <v>2032</v>
      </c>
      <c r="B176" s="12" t="s">
        <v>1497</v>
      </c>
      <c r="C176" s="6">
        <v>175</v>
      </c>
      <c r="D176" s="12">
        <v>24</v>
      </c>
      <c r="E176" s="12" t="s">
        <v>1444</v>
      </c>
      <c r="F176" s="12" t="s">
        <v>1445</v>
      </c>
      <c r="G176" s="12" t="s">
        <v>1446</v>
      </c>
      <c r="H176" s="12" t="s">
        <v>63</v>
      </c>
      <c r="I176" s="12" t="s">
        <v>1412</v>
      </c>
      <c r="J176" s="12" t="s">
        <v>1401</v>
      </c>
      <c r="K176" s="17" t="s">
        <v>1557</v>
      </c>
      <c r="L176" s="13" t="s">
        <v>1521</v>
      </c>
      <c r="M176" s="13" t="s">
        <v>1555</v>
      </c>
      <c r="N176" s="13" t="s">
        <v>1450</v>
      </c>
      <c r="O176" s="13" t="s">
        <v>1532</v>
      </c>
      <c r="P176" s="13" t="s">
        <v>1451</v>
      </c>
      <c r="Q176" s="13" t="s">
        <v>1398</v>
      </c>
      <c r="R176" s="13">
        <v>2</v>
      </c>
      <c r="S176" s="13" t="s">
        <v>1453</v>
      </c>
      <c r="T176" s="13" t="s">
        <v>1454</v>
      </c>
      <c r="U176" s="13" t="s">
        <v>1406</v>
      </c>
      <c r="V176" s="13">
        <v>13</v>
      </c>
      <c r="W176" s="13" t="b">
        <v>1</v>
      </c>
      <c r="X176" s="13">
        <v>240806</v>
      </c>
      <c r="Y176" s="13" t="s">
        <v>1405</v>
      </c>
      <c r="Z176" s="13">
        <v>0</v>
      </c>
      <c r="AA176" s="13">
        <v>0</v>
      </c>
      <c r="AB176" s="13" t="s">
        <v>1405</v>
      </c>
      <c r="AC176" s="13" t="s">
        <v>1405</v>
      </c>
      <c r="AD176" s="13">
        <v>0</v>
      </c>
      <c r="AE176" s="13" t="s">
        <v>1405</v>
      </c>
      <c r="AF176" s="13" t="s">
        <v>1405</v>
      </c>
    </row>
    <row r="177" spans="1:32" x14ac:dyDescent="0.2">
      <c r="A177" s="3" t="s">
        <v>2033</v>
      </c>
      <c r="B177" s="14" t="s">
        <v>1497</v>
      </c>
      <c r="C177" s="6">
        <v>176</v>
      </c>
      <c r="D177" s="14">
        <v>24</v>
      </c>
      <c r="E177" s="14" t="s">
        <v>1457</v>
      </c>
      <c r="F177" s="15" t="s">
        <v>1445</v>
      </c>
      <c r="G177" s="14" t="s">
        <v>1458</v>
      </c>
      <c r="H177" s="14" t="s">
        <v>63</v>
      </c>
      <c r="I177" s="14" t="s">
        <v>1502</v>
      </c>
      <c r="J177" s="14" t="s">
        <v>1401</v>
      </c>
      <c r="K177" s="17" t="s">
        <v>1558</v>
      </c>
      <c r="L177" s="16" t="s">
        <v>1521</v>
      </c>
      <c r="M177" s="16" t="s">
        <v>1555</v>
      </c>
      <c r="N177" s="16" t="s">
        <v>1450</v>
      </c>
      <c r="O177" s="16" t="s">
        <v>1532</v>
      </c>
      <c r="P177" s="16" t="s">
        <v>1451</v>
      </c>
      <c r="Q177" s="16" t="s">
        <v>1398</v>
      </c>
      <c r="R177" s="16">
        <v>2</v>
      </c>
      <c r="S177" s="16" t="s">
        <v>1453</v>
      </c>
      <c r="T177" s="16" t="s">
        <v>1454</v>
      </c>
      <c r="U177" s="16" t="s">
        <v>1406</v>
      </c>
      <c r="V177" s="16">
        <v>13</v>
      </c>
      <c r="W177" s="16" t="b">
        <v>1</v>
      </c>
      <c r="X177" s="16">
        <v>240806</v>
      </c>
      <c r="Y177" s="16" t="s">
        <v>1405</v>
      </c>
      <c r="Z177" s="16">
        <v>0</v>
      </c>
      <c r="AA177" s="16">
        <v>0</v>
      </c>
      <c r="AB177" s="16" t="s">
        <v>1405</v>
      </c>
      <c r="AC177" s="16" t="s">
        <v>1405</v>
      </c>
      <c r="AD177" s="16">
        <v>0</v>
      </c>
      <c r="AE177" s="16" t="s">
        <v>1405</v>
      </c>
      <c r="AF177" s="16" t="s">
        <v>1405</v>
      </c>
    </row>
    <row r="178" spans="1:32" x14ac:dyDescent="0.2">
      <c r="A178" s="3" t="s">
        <v>2034</v>
      </c>
      <c r="B178" s="12" t="s">
        <v>1497</v>
      </c>
      <c r="C178" s="6">
        <v>177</v>
      </c>
      <c r="D178" s="12">
        <v>25</v>
      </c>
      <c r="E178" s="12" t="s">
        <v>1444</v>
      </c>
      <c r="F178" s="12" t="s">
        <v>1445</v>
      </c>
      <c r="G178" s="12" t="s">
        <v>1446</v>
      </c>
      <c r="H178" s="12" t="s">
        <v>64</v>
      </c>
      <c r="I178" s="12" t="s">
        <v>1412</v>
      </c>
      <c r="J178" s="12" t="s">
        <v>1401</v>
      </c>
      <c r="K178" s="17" t="s">
        <v>1559</v>
      </c>
      <c r="L178" s="13" t="s">
        <v>1521</v>
      </c>
      <c r="M178" s="13" t="s">
        <v>1555</v>
      </c>
      <c r="N178" s="13" t="s">
        <v>1450</v>
      </c>
      <c r="O178" s="13" t="s">
        <v>1532</v>
      </c>
      <c r="P178" s="13" t="s">
        <v>1451</v>
      </c>
      <c r="Q178" s="13" t="s">
        <v>1399</v>
      </c>
      <c r="R178" s="13">
        <v>3</v>
      </c>
      <c r="S178" s="13" t="s">
        <v>1453</v>
      </c>
      <c r="T178" s="13" t="s">
        <v>1454</v>
      </c>
      <c r="U178" s="13" t="s">
        <v>1406</v>
      </c>
      <c r="V178" s="13">
        <v>13</v>
      </c>
      <c r="W178" s="13" t="b">
        <v>1</v>
      </c>
      <c r="X178" s="13">
        <v>240806</v>
      </c>
      <c r="Y178" s="13" t="s">
        <v>1405</v>
      </c>
      <c r="Z178" s="13">
        <v>0</v>
      </c>
      <c r="AA178" s="13">
        <v>0</v>
      </c>
      <c r="AB178" s="13" t="s">
        <v>1405</v>
      </c>
      <c r="AC178" s="13" t="s">
        <v>1405</v>
      </c>
      <c r="AD178" s="13">
        <v>0</v>
      </c>
      <c r="AE178" s="13" t="s">
        <v>1405</v>
      </c>
      <c r="AF178" s="13" t="s">
        <v>1405</v>
      </c>
    </row>
    <row r="179" spans="1:32" x14ac:dyDescent="0.2">
      <c r="A179" s="3" t="s">
        <v>2035</v>
      </c>
      <c r="B179" s="14" t="s">
        <v>1497</v>
      </c>
      <c r="C179" s="6">
        <v>178</v>
      </c>
      <c r="D179" s="14">
        <v>25</v>
      </c>
      <c r="E179" s="14" t="s">
        <v>1457</v>
      </c>
      <c r="F179" s="15" t="s">
        <v>1445</v>
      </c>
      <c r="G179" s="14" t="s">
        <v>1458</v>
      </c>
      <c r="H179" s="14" t="s">
        <v>64</v>
      </c>
      <c r="I179" s="14" t="s">
        <v>1502</v>
      </c>
      <c r="J179" s="14" t="s">
        <v>1401</v>
      </c>
      <c r="K179" s="17" t="s">
        <v>1560</v>
      </c>
      <c r="L179" s="16" t="s">
        <v>1521</v>
      </c>
      <c r="M179" s="16" t="s">
        <v>1555</v>
      </c>
      <c r="N179" s="16" t="s">
        <v>1450</v>
      </c>
      <c r="O179" s="16" t="s">
        <v>1532</v>
      </c>
      <c r="P179" s="16" t="s">
        <v>1451</v>
      </c>
      <c r="Q179" s="16" t="s">
        <v>1399</v>
      </c>
      <c r="R179" s="16">
        <v>3</v>
      </c>
      <c r="S179" s="16" t="s">
        <v>1453</v>
      </c>
      <c r="T179" s="16" t="s">
        <v>1454</v>
      </c>
      <c r="U179" s="16" t="s">
        <v>1406</v>
      </c>
      <c r="V179" s="16">
        <v>13</v>
      </c>
      <c r="W179" s="16" t="b">
        <v>1</v>
      </c>
      <c r="X179" s="16">
        <v>240806</v>
      </c>
      <c r="Y179" s="16" t="s">
        <v>1405</v>
      </c>
      <c r="Z179" s="16">
        <v>0</v>
      </c>
      <c r="AA179" s="16">
        <v>0</v>
      </c>
      <c r="AB179" s="16" t="s">
        <v>1405</v>
      </c>
      <c r="AC179" s="16" t="s">
        <v>1405</v>
      </c>
      <c r="AD179" s="16">
        <v>0</v>
      </c>
      <c r="AE179" s="16" t="s">
        <v>1405</v>
      </c>
      <c r="AF179" s="16" t="s">
        <v>1405</v>
      </c>
    </row>
    <row r="180" spans="1:32" x14ac:dyDescent="0.2">
      <c r="A180" s="3" t="s">
        <v>2036</v>
      </c>
      <c r="B180" s="12" t="s">
        <v>1497</v>
      </c>
      <c r="C180" s="6">
        <v>179</v>
      </c>
      <c r="D180" s="12">
        <v>26</v>
      </c>
      <c r="E180" s="12" t="s">
        <v>1444</v>
      </c>
      <c r="F180" s="12" t="s">
        <v>1445</v>
      </c>
      <c r="G180" s="12" t="s">
        <v>1446</v>
      </c>
      <c r="H180" s="12" t="s">
        <v>66</v>
      </c>
      <c r="I180" s="12" t="s">
        <v>1412</v>
      </c>
      <c r="J180" s="12" t="s">
        <v>1401</v>
      </c>
      <c r="K180" s="17" t="s">
        <v>1561</v>
      </c>
      <c r="L180" s="13" t="s">
        <v>1521</v>
      </c>
      <c r="M180" s="13" t="s">
        <v>1555</v>
      </c>
      <c r="N180" s="13" t="s">
        <v>1450</v>
      </c>
      <c r="O180" s="13" t="s">
        <v>1532</v>
      </c>
      <c r="P180" s="13" t="s">
        <v>1451</v>
      </c>
      <c r="Q180" s="13" t="s">
        <v>1400</v>
      </c>
      <c r="R180" s="13">
        <v>4</v>
      </c>
      <c r="S180" s="13" t="s">
        <v>1453</v>
      </c>
      <c r="T180" s="13" t="s">
        <v>1454</v>
      </c>
      <c r="U180" s="13" t="s">
        <v>1406</v>
      </c>
      <c r="V180" s="13">
        <v>13</v>
      </c>
      <c r="W180" s="13" t="b">
        <v>1</v>
      </c>
      <c r="X180" s="13">
        <v>240806</v>
      </c>
      <c r="Y180" s="13" t="s">
        <v>1405</v>
      </c>
      <c r="Z180" s="13">
        <v>0</v>
      </c>
      <c r="AA180" s="13">
        <v>0</v>
      </c>
      <c r="AB180" s="13" t="s">
        <v>1405</v>
      </c>
      <c r="AC180" s="13" t="s">
        <v>1405</v>
      </c>
      <c r="AD180" s="13">
        <v>0</v>
      </c>
      <c r="AE180" s="13" t="s">
        <v>1405</v>
      </c>
      <c r="AF180" s="13" t="s">
        <v>1405</v>
      </c>
    </row>
    <row r="181" spans="1:32" x14ac:dyDescent="0.2">
      <c r="A181" s="3" t="s">
        <v>2037</v>
      </c>
      <c r="B181" s="14" t="s">
        <v>1497</v>
      </c>
      <c r="C181" s="6">
        <v>180</v>
      </c>
      <c r="D181" s="14">
        <v>26</v>
      </c>
      <c r="E181" s="14" t="s">
        <v>1457</v>
      </c>
      <c r="F181" s="15" t="s">
        <v>1445</v>
      </c>
      <c r="G181" s="14" t="s">
        <v>1458</v>
      </c>
      <c r="H181" s="14" t="s">
        <v>66</v>
      </c>
      <c r="I181" s="14" t="s">
        <v>1502</v>
      </c>
      <c r="J181" s="14" t="s">
        <v>1401</v>
      </c>
      <c r="K181" s="17" t="s">
        <v>1562</v>
      </c>
      <c r="L181" s="16" t="s">
        <v>1521</v>
      </c>
      <c r="M181" s="16" t="s">
        <v>1555</v>
      </c>
      <c r="N181" s="16" t="s">
        <v>1450</v>
      </c>
      <c r="O181" s="16" t="s">
        <v>1532</v>
      </c>
      <c r="P181" s="16" t="s">
        <v>1451</v>
      </c>
      <c r="Q181" s="16" t="s">
        <v>1400</v>
      </c>
      <c r="R181" s="16">
        <v>4</v>
      </c>
      <c r="S181" s="16" t="s">
        <v>1453</v>
      </c>
      <c r="T181" s="16" t="s">
        <v>1454</v>
      </c>
      <c r="U181" s="16" t="s">
        <v>1406</v>
      </c>
      <c r="V181" s="16">
        <v>13</v>
      </c>
      <c r="W181" s="16" t="b">
        <v>1</v>
      </c>
      <c r="X181" s="16">
        <v>240806</v>
      </c>
      <c r="Y181" s="16" t="s">
        <v>1405</v>
      </c>
      <c r="Z181" s="16">
        <v>0</v>
      </c>
      <c r="AA181" s="16">
        <v>0</v>
      </c>
      <c r="AB181" s="16" t="s">
        <v>1405</v>
      </c>
      <c r="AC181" s="16" t="s">
        <v>1405</v>
      </c>
      <c r="AD181" s="16">
        <v>0</v>
      </c>
      <c r="AE181" s="16" t="s">
        <v>1405</v>
      </c>
      <c r="AF181" s="16" t="s">
        <v>1405</v>
      </c>
    </row>
    <row r="182" spans="1:32" x14ac:dyDescent="0.2">
      <c r="A182" s="3" t="s">
        <v>2038</v>
      </c>
      <c r="B182" s="12" t="s">
        <v>1497</v>
      </c>
      <c r="C182" s="6">
        <v>181</v>
      </c>
      <c r="D182" s="12">
        <v>27</v>
      </c>
      <c r="E182" s="12" t="s">
        <v>1444</v>
      </c>
      <c r="F182" s="12" t="s">
        <v>1445</v>
      </c>
      <c r="G182" s="12" t="s">
        <v>1446</v>
      </c>
      <c r="H182" s="12" t="s">
        <v>67</v>
      </c>
      <c r="I182" s="12" t="s">
        <v>1412</v>
      </c>
      <c r="J182" s="12" t="s">
        <v>1401</v>
      </c>
      <c r="K182" s="17" t="s">
        <v>1563</v>
      </c>
      <c r="L182" s="13" t="s">
        <v>1521</v>
      </c>
      <c r="M182" s="13" t="s">
        <v>1564</v>
      </c>
      <c r="N182" s="13" t="s">
        <v>1450</v>
      </c>
      <c r="O182" s="13" t="s">
        <v>1532</v>
      </c>
      <c r="P182" s="13" t="s">
        <v>1451</v>
      </c>
      <c r="Q182" s="13" t="s">
        <v>1396</v>
      </c>
      <c r="R182" s="13">
        <v>6</v>
      </c>
      <c r="S182" s="13" t="s">
        <v>1453</v>
      </c>
      <c r="T182" s="13" t="s">
        <v>1454</v>
      </c>
      <c r="U182" s="13" t="s">
        <v>1406</v>
      </c>
      <c r="V182" s="13">
        <v>13</v>
      </c>
      <c r="W182" s="13" t="b">
        <v>1</v>
      </c>
      <c r="X182" s="13">
        <v>240806</v>
      </c>
      <c r="Y182" s="13" t="s">
        <v>1405</v>
      </c>
      <c r="Z182" s="13">
        <v>0</v>
      </c>
      <c r="AA182" s="13">
        <v>0</v>
      </c>
      <c r="AB182" s="13" t="s">
        <v>1405</v>
      </c>
      <c r="AC182" s="13" t="s">
        <v>1405</v>
      </c>
      <c r="AD182" s="13">
        <v>0</v>
      </c>
      <c r="AE182" s="13" t="s">
        <v>1405</v>
      </c>
      <c r="AF182" s="13" t="s">
        <v>1405</v>
      </c>
    </row>
    <row r="183" spans="1:32" x14ac:dyDescent="0.2">
      <c r="A183" s="3" t="s">
        <v>2039</v>
      </c>
      <c r="B183" s="14" t="s">
        <v>1497</v>
      </c>
      <c r="C183" s="6">
        <v>182</v>
      </c>
      <c r="D183" s="14">
        <v>27</v>
      </c>
      <c r="E183" s="14" t="s">
        <v>1457</v>
      </c>
      <c r="F183" s="15" t="s">
        <v>1445</v>
      </c>
      <c r="G183" s="14" t="s">
        <v>1458</v>
      </c>
      <c r="H183" s="14" t="s">
        <v>67</v>
      </c>
      <c r="I183" s="14" t="s">
        <v>1502</v>
      </c>
      <c r="J183" s="14" t="s">
        <v>1401</v>
      </c>
      <c r="K183" s="17" t="s">
        <v>1565</v>
      </c>
      <c r="L183" s="16" t="s">
        <v>1521</v>
      </c>
      <c r="M183" s="16" t="s">
        <v>1564</v>
      </c>
      <c r="N183" s="16" t="s">
        <v>1450</v>
      </c>
      <c r="O183" s="16" t="s">
        <v>1532</v>
      </c>
      <c r="P183" s="16" t="s">
        <v>1451</v>
      </c>
      <c r="Q183" s="16" t="s">
        <v>1396</v>
      </c>
      <c r="R183" s="16">
        <v>6</v>
      </c>
      <c r="S183" s="16" t="s">
        <v>1453</v>
      </c>
      <c r="T183" s="16" t="s">
        <v>1454</v>
      </c>
      <c r="U183" s="16" t="s">
        <v>1406</v>
      </c>
      <c r="V183" s="16">
        <v>13</v>
      </c>
      <c r="W183" s="16" t="b">
        <v>1</v>
      </c>
      <c r="X183" s="16">
        <v>240806</v>
      </c>
      <c r="Y183" s="16" t="s">
        <v>1405</v>
      </c>
      <c r="Z183" s="16">
        <v>0</v>
      </c>
      <c r="AA183" s="16">
        <v>0</v>
      </c>
      <c r="AB183" s="16" t="s">
        <v>1405</v>
      </c>
      <c r="AC183" s="16" t="s">
        <v>1405</v>
      </c>
      <c r="AD183" s="16">
        <v>0</v>
      </c>
      <c r="AE183" s="16" t="s">
        <v>1405</v>
      </c>
      <c r="AF183" s="16" t="s">
        <v>1405</v>
      </c>
    </row>
    <row r="184" spans="1:32" x14ac:dyDescent="0.2">
      <c r="A184" s="3" t="s">
        <v>2040</v>
      </c>
      <c r="B184" s="12" t="s">
        <v>1497</v>
      </c>
      <c r="C184" s="6">
        <v>183</v>
      </c>
      <c r="D184" s="12">
        <v>28</v>
      </c>
      <c r="E184" s="12" t="s">
        <v>1444</v>
      </c>
      <c r="F184" s="12" t="s">
        <v>1445</v>
      </c>
      <c r="G184" s="12" t="s">
        <v>1446</v>
      </c>
      <c r="H184" s="12" t="s">
        <v>68</v>
      </c>
      <c r="I184" s="12" t="s">
        <v>1412</v>
      </c>
      <c r="J184" s="12" t="s">
        <v>1401</v>
      </c>
      <c r="K184" s="17" t="s">
        <v>1566</v>
      </c>
      <c r="L184" s="13" t="s">
        <v>1521</v>
      </c>
      <c r="M184" s="13" t="s">
        <v>1564</v>
      </c>
      <c r="N184" s="13" t="s">
        <v>1450</v>
      </c>
      <c r="O184" s="13" t="s">
        <v>1532</v>
      </c>
      <c r="P184" s="13" t="s">
        <v>1451</v>
      </c>
      <c r="Q184" s="13" t="s">
        <v>1398</v>
      </c>
      <c r="R184" s="13">
        <v>7</v>
      </c>
      <c r="S184" s="13" t="s">
        <v>1453</v>
      </c>
      <c r="T184" s="13" t="s">
        <v>1454</v>
      </c>
      <c r="U184" s="13" t="s">
        <v>1406</v>
      </c>
      <c r="V184" s="13">
        <v>13</v>
      </c>
      <c r="W184" s="13" t="b">
        <v>1</v>
      </c>
      <c r="X184" s="13">
        <v>240806</v>
      </c>
      <c r="Y184" s="13" t="s">
        <v>1405</v>
      </c>
      <c r="Z184" s="13">
        <v>0</v>
      </c>
      <c r="AA184" s="13">
        <v>0</v>
      </c>
      <c r="AB184" s="13" t="s">
        <v>1405</v>
      </c>
      <c r="AC184" s="13" t="s">
        <v>1405</v>
      </c>
      <c r="AD184" s="13">
        <v>0</v>
      </c>
      <c r="AE184" s="13" t="s">
        <v>1405</v>
      </c>
      <c r="AF184" s="13" t="s">
        <v>1405</v>
      </c>
    </row>
    <row r="185" spans="1:32" x14ac:dyDescent="0.2">
      <c r="A185" s="3" t="s">
        <v>2041</v>
      </c>
      <c r="B185" s="14" t="s">
        <v>1497</v>
      </c>
      <c r="C185" s="6">
        <v>184</v>
      </c>
      <c r="D185" s="14">
        <v>28</v>
      </c>
      <c r="E185" s="14" t="s">
        <v>1457</v>
      </c>
      <c r="F185" s="15" t="s">
        <v>1445</v>
      </c>
      <c r="G185" s="14" t="s">
        <v>1458</v>
      </c>
      <c r="H185" s="14" t="s">
        <v>68</v>
      </c>
      <c r="I185" s="14" t="s">
        <v>1502</v>
      </c>
      <c r="J185" s="14" t="s">
        <v>1401</v>
      </c>
      <c r="K185" s="17" t="s">
        <v>1567</v>
      </c>
      <c r="L185" s="16" t="s">
        <v>1521</v>
      </c>
      <c r="M185" s="16" t="s">
        <v>1564</v>
      </c>
      <c r="N185" s="16" t="s">
        <v>1450</v>
      </c>
      <c r="O185" s="16" t="s">
        <v>1532</v>
      </c>
      <c r="P185" s="16" t="s">
        <v>1451</v>
      </c>
      <c r="Q185" s="16" t="s">
        <v>1398</v>
      </c>
      <c r="R185" s="16">
        <v>7</v>
      </c>
      <c r="S185" s="16" t="s">
        <v>1453</v>
      </c>
      <c r="T185" s="16" t="s">
        <v>1454</v>
      </c>
      <c r="U185" s="16" t="s">
        <v>1406</v>
      </c>
      <c r="V185" s="16">
        <v>13</v>
      </c>
      <c r="W185" s="16" t="b">
        <v>1</v>
      </c>
      <c r="X185" s="16">
        <v>240806</v>
      </c>
      <c r="Y185" s="16" t="s">
        <v>1405</v>
      </c>
      <c r="Z185" s="16">
        <v>0</v>
      </c>
      <c r="AA185" s="16">
        <v>0</v>
      </c>
      <c r="AB185" s="16" t="s">
        <v>1405</v>
      </c>
      <c r="AC185" s="16" t="s">
        <v>1405</v>
      </c>
      <c r="AD185" s="16">
        <v>0</v>
      </c>
      <c r="AE185" s="16" t="s">
        <v>1405</v>
      </c>
      <c r="AF185" s="16" t="s">
        <v>1405</v>
      </c>
    </row>
    <row r="186" spans="1:32" x14ac:dyDescent="0.2">
      <c r="A186" s="3" t="s">
        <v>2042</v>
      </c>
      <c r="B186" s="12" t="s">
        <v>1497</v>
      </c>
      <c r="C186" s="6">
        <v>185</v>
      </c>
      <c r="D186" s="12">
        <v>29</v>
      </c>
      <c r="E186" s="12" t="s">
        <v>1444</v>
      </c>
      <c r="F186" s="12" t="s">
        <v>1445</v>
      </c>
      <c r="G186" s="12" t="s">
        <v>1446</v>
      </c>
      <c r="H186" s="12" t="s">
        <v>69</v>
      </c>
      <c r="I186" s="12" t="s">
        <v>1412</v>
      </c>
      <c r="J186" s="12" t="s">
        <v>1401</v>
      </c>
      <c r="K186" s="17" t="s">
        <v>1568</v>
      </c>
      <c r="L186" s="13" t="s">
        <v>1521</v>
      </c>
      <c r="M186" s="13" t="s">
        <v>1564</v>
      </c>
      <c r="N186" s="13" t="s">
        <v>1450</v>
      </c>
      <c r="O186" s="13" t="s">
        <v>1532</v>
      </c>
      <c r="P186" s="13" t="s">
        <v>1451</v>
      </c>
      <c r="Q186" s="13" t="s">
        <v>1399</v>
      </c>
      <c r="R186" s="13">
        <v>8</v>
      </c>
      <c r="S186" s="13" t="s">
        <v>1453</v>
      </c>
      <c r="T186" s="13" t="s">
        <v>1454</v>
      </c>
      <c r="U186" s="13" t="s">
        <v>1406</v>
      </c>
      <c r="V186" s="13">
        <v>13</v>
      </c>
      <c r="W186" s="13" t="b">
        <v>1</v>
      </c>
      <c r="X186" s="13">
        <v>240806</v>
      </c>
      <c r="Y186" s="13" t="s">
        <v>1405</v>
      </c>
      <c r="Z186" s="13">
        <v>0</v>
      </c>
      <c r="AA186" s="13">
        <v>0</v>
      </c>
      <c r="AB186" s="13" t="s">
        <v>1405</v>
      </c>
      <c r="AC186" s="13" t="s">
        <v>1405</v>
      </c>
      <c r="AD186" s="13">
        <v>0</v>
      </c>
      <c r="AE186" s="13" t="s">
        <v>1405</v>
      </c>
      <c r="AF186" s="13" t="s">
        <v>1405</v>
      </c>
    </row>
    <row r="187" spans="1:32" x14ac:dyDescent="0.2">
      <c r="A187" s="3" t="s">
        <v>2043</v>
      </c>
      <c r="B187" s="14" t="s">
        <v>1497</v>
      </c>
      <c r="C187" s="6">
        <v>186</v>
      </c>
      <c r="D187" s="14">
        <v>29</v>
      </c>
      <c r="E187" s="14" t="s">
        <v>1457</v>
      </c>
      <c r="F187" s="15" t="s">
        <v>1445</v>
      </c>
      <c r="G187" s="14" t="s">
        <v>1458</v>
      </c>
      <c r="H187" s="14" t="s">
        <v>69</v>
      </c>
      <c r="I187" s="14" t="s">
        <v>1502</v>
      </c>
      <c r="J187" s="14" t="s">
        <v>1401</v>
      </c>
      <c r="K187" s="17" t="s">
        <v>1569</v>
      </c>
      <c r="L187" s="16" t="s">
        <v>1521</v>
      </c>
      <c r="M187" s="16" t="s">
        <v>1564</v>
      </c>
      <c r="N187" s="16" t="s">
        <v>1450</v>
      </c>
      <c r="O187" s="16" t="s">
        <v>1532</v>
      </c>
      <c r="P187" s="16" t="s">
        <v>1451</v>
      </c>
      <c r="Q187" s="16" t="s">
        <v>1399</v>
      </c>
      <c r="R187" s="16">
        <v>8</v>
      </c>
      <c r="S187" s="16" t="s">
        <v>1453</v>
      </c>
      <c r="T187" s="16" t="s">
        <v>1454</v>
      </c>
      <c r="U187" s="16" t="s">
        <v>1406</v>
      </c>
      <c r="V187" s="16">
        <v>13</v>
      </c>
      <c r="W187" s="16" t="b">
        <v>1</v>
      </c>
      <c r="X187" s="16">
        <v>240806</v>
      </c>
      <c r="Y187" s="16" t="s">
        <v>1405</v>
      </c>
      <c r="Z187" s="16">
        <v>0</v>
      </c>
      <c r="AA187" s="16">
        <v>0</v>
      </c>
      <c r="AB187" s="16" t="s">
        <v>1405</v>
      </c>
      <c r="AC187" s="16" t="s">
        <v>1405</v>
      </c>
      <c r="AD187" s="16">
        <v>0</v>
      </c>
      <c r="AE187" s="16" t="s">
        <v>1405</v>
      </c>
      <c r="AF187" s="16" t="s">
        <v>1405</v>
      </c>
    </row>
    <row r="188" spans="1:32" x14ac:dyDescent="0.2">
      <c r="A188" s="3" t="s">
        <v>2044</v>
      </c>
      <c r="B188" s="12" t="s">
        <v>1497</v>
      </c>
      <c r="C188" s="6">
        <v>187</v>
      </c>
      <c r="D188" s="12">
        <v>30</v>
      </c>
      <c r="E188" s="12" t="s">
        <v>1444</v>
      </c>
      <c r="F188" s="12" t="s">
        <v>1445</v>
      </c>
      <c r="G188" s="12" t="s">
        <v>1446</v>
      </c>
      <c r="H188" s="12" t="s">
        <v>70</v>
      </c>
      <c r="I188" s="12" t="s">
        <v>1412</v>
      </c>
      <c r="J188" s="12" t="s">
        <v>1401</v>
      </c>
      <c r="K188" s="17" t="s">
        <v>1570</v>
      </c>
      <c r="L188" s="13" t="s">
        <v>1521</v>
      </c>
      <c r="M188" s="13" t="s">
        <v>1564</v>
      </c>
      <c r="N188" s="13" t="s">
        <v>1450</v>
      </c>
      <c r="O188" s="13" t="s">
        <v>1532</v>
      </c>
      <c r="P188" s="13" t="s">
        <v>1451</v>
      </c>
      <c r="Q188" s="13" t="s">
        <v>1400</v>
      </c>
      <c r="R188" s="13">
        <v>9</v>
      </c>
      <c r="S188" s="13" t="s">
        <v>1453</v>
      </c>
      <c r="T188" s="13" t="s">
        <v>1454</v>
      </c>
      <c r="U188" s="13" t="s">
        <v>1406</v>
      </c>
      <c r="V188" s="13">
        <v>13</v>
      </c>
      <c r="W188" s="13" t="b">
        <v>1</v>
      </c>
      <c r="X188" s="13">
        <v>240806</v>
      </c>
      <c r="Y188" s="13" t="s">
        <v>1405</v>
      </c>
      <c r="Z188" s="13">
        <v>0</v>
      </c>
      <c r="AA188" s="13">
        <v>0</v>
      </c>
      <c r="AB188" s="13" t="s">
        <v>1405</v>
      </c>
      <c r="AC188" s="13" t="s">
        <v>1405</v>
      </c>
      <c r="AD188" s="13">
        <v>0</v>
      </c>
      <c r="AE188" s="13" t="s">
        <v>1405</v>
      </c>
      <c r="AF188" s="13" t="s">
        <v>1405</v>
      </c>
    </row>
    <row r="189" spans="1:32" x14ac:dyDescent="0.2">
      <c r="A189" s="3" t="s">
        <v>2045</v>
      </c>
      <c r="B189" s="14" t="s">
        <v>1497</v>
      </c>
      <c r="C189" s="6">
        <v>188</v>
      </c>
      <c r="D189" s="14">
        <v>30</v>
      </c>
      <c r="E189" s="14" t="s">
        <v>1457</v>
      </c>
      <c r="F189" s="15" t="s">
        <v>1445</v>
      </c>
      <c r="G189" s="14" t="s">
        <v>1458</v>
      </c>
      <c r="H189" s="14" t="s">
        <v>70</v>
      </c>
      <c r="I189" s="14" t="s">
        <v>1502</v>
      </c>
      <c r="J189" s="14" t="s">
        <v>1401</v>
      </c>
      <c r="K189" s="17" t="s">
        <v>1571</v>
      </c>
      <c r="L189" s="16" t="s">
        <v>1521</v>
      </c>
      <c r="M189" s="16" t="s">
        <v>1564</v>
      </c>
      <c r="N189" s="16" t="s">
        <v>1450</v>
      </c>
      <c r="O189" s="16" t="s">
        <v>1532</v>
      </c>
      <c r="P189" s="16" t="s">
        <v>1451</v>
      </c>
      <c r="Q189" s="16" t="s">
        <v>1400</v>
      </c>
      <c r="R189" s="16">
        <v>9</v>
      </c>
      <c r="S189" s="16" t="s">
        <v>1453</v>
      </c>
      <c r="T189" s="16" t="s">
        <v>1454</v>
      </c>
      <c r="U189" s="16" t="s">
        <v>1406</v>
      </c>
      <c r="V189" s="16">
        <v>13</v>
      </c>
      <c r="W189" s="16" t="b">
        <v>1</v>
      </c>
      <c r="X189" s="16">
        <v>240806</v>
      </c>
      <c r="Y189" s="16" t="s">
        <v>1405</v>
      </c>
      <c r="Z189" s="16">
        <v>0</v>
      </c>
      <c r="AA189" s="16">
        <v>0</v>
      </c>
      <c r="AB189" s="16" t="s">
        <v>1405</v>
      </c>
      <c r="AC189" s="16" t="s">
        <v>1405</v>
      </c>
      <c r="AD189" s="16">
        <v>0</v>
      </c>
      <c r="AE189" s="16" t="s">
        <v>1405</v>
      </c>
      <c r="AF189" s="16" t="s">
        <v>1405</v>
      </c>
    </row>
    <row r="190" spans="1:32" x14ac:dyDescent="0.2">
      <c r="A190" s="3" t="s">
        <v>2046</v>
      </c>
      <c r="B190" s="12" t="s">
        <v>1497</v>
      </c>
      <c r="C190" s="6">
        <v>189</v>
      </c>
      <c r="D190" s="12">
        <v>31</v>
      </c>
      <c r="E190" s="12" t="s">
        <v>1444</v>
      </c>
      <c r="F190" s="12" t="s">
        <v>1445</v>
      </c>
      <c r="G190" s="12" t="s">
        <v>1446</v>
      </c>
      <c r="H190" s="12" t="s">
        <v>71</v>
      </c>
      <c r="I190" s="12" t="s">
        <v>1412</v>
      </c>
      <c r="J190" s="12" t="s">
        <v>1401</v>
      </c>
      <c r="K190" s="17" t="s">
        <v>1572</v>
      </c>
      <c r="L190" s="13" t="s">
        <v>1521</v>
      </c>
      <c r="M190" s="13" t="s">
        <v>1564</v>
      </c>
      <c r="N190" s="13" t="s">
        <v>1450</v>
      </c>
      <c r="O190" s="13" t="s">
        <v>1532</v>
      </c>
      <c r="P190" s="13" t="s">
        <v>1451</v>
      </c>
      <c r="Q190" s="13" t="s">
        <v>1541</v>
      </c>
      <c r="R190" s="13">
        <v>10</v>
      </c>
      <c r="S190" s="13" t="s">
        <v>1453</v>
      </c>
      <c r="T190" s="13" t="s">
        <v>1454</v>
      </c>
      <c r="U190" s="13" t="s">
        <v>1406</v>
      </c>
      <c r="V190" s="13">
        <v>13</v>
      </c>
      <c r="W190" s="13" t="b">
        <v>1</v>
      </c>
      <c r="X190" s="13">
        <v>240806</v>
      </c>
      <c r="Y190" s="13" t="s">
        <v>1405</v>
      </c>
      <c r="Z190" s="13">
        <v>0</v>
      </c>
      <c r="AA190" s="13">
        <v>0</v>
      </c>
      <c r="AB190" s="13" t="s">
        <v>1405</v>
      </c>
      <c r="AC190" s="13" t="s">
        <v>1405</v>
      </c>
      <c r="AD190" s="13">
        <v>0</v>
      </c>
      <c r="AE190" s="13" t="s">
        <v>1405</v>
      </c>
      <c r="AF190" s="13" t="s">
        <v>1405</v>
      </c>
    </row>
    <row r="191" spans="1:32" x14ac:dyDescent="0.2">
      <c r="A191" s="3" t="s">
        <v>2047</v>
      </c>
      <c r="B191" s="14" t="s">
        <v>1497</v>
      </c>
      <c r="C191" s="6">
        <v>190</v>
      </c>
      <c r="D191" s="14">
        <v>31</v>
      </c>
      <c r="E191" s="14" t="s">
        <v>1457</v>
      </c>
      <c r="F191" s="15" t="s">
        <v>1445</v>
      </c>
      <c r="G191" s="14" t="s">
        <v>1458</v>
      </c>
      <c r="H191" s="14" t="s">
        <v>71</v>
      </c>
      <c r="I191" s="14" t="s">
        <v>1502</v>
      </c>
      <c r="J191" s="14" t="s">
        <v>1401</v>
      </c>
      <c r="K191" s="17" t="s">
        <v>1573</v>
      </c>
      <c r="L191" s="16" t="s">
        <v>1521</v>
      </c>
      <c r="M191" s="16" t="s">
        <v>1564</v>
      </c>
      <c r="N191" s="16" t="s">
        <v>1450</v>
      </c>
      <c r="O191" s="16" t="s">
        <v>1532</v>
      </c>
      <c r="P191" s="16" t="s">
        <v>1451</v>
      </c>
      <c r="Q191" s="16" t="s">
        <v>1541</v>
      </c>
      <c r="R191" s="16">
        <v>10</v>
      </c>
      <c r="S191" s="16" t="s">
        <v>1453</v>
      </c>
      <c r="T191" s="16" t="s">
        <v>1454</v>
      </c>
      <c r="U191" s="16" t="s">
        <v>1406</v>
      </c>
      <c r="V191" s="16">
        <v>13</v>
      </c>
      <c r="W191" s="16" t="b">
        <v>1</v>
      </c>
      <c r="X191" s="16">
        <v>240806</v>
      </c>
      <c r="Y191" s="16" t="s">
        <v>1405</v>
      </c>
      <c r="Z191" s="16">
        <v>0</v>
      </c>
      <c r="AA191" s="16">
        <v>0</v>
      </c>
      <c r="AB191" s="16" t="s">
        <v>1405</v>
      </c>
      <c r="AC191" s="16" t="s">
        <v>1405</v>
      </c>
      <c r="AD191" s="16">
        <v>0</v>
      </c>
      <c r="AE191" s="16" t="s">
        <v>1405</v>
      </c>
      <c r="AF191" s="16" t="s">
        <v>1405</v>
      </c>
    </row>
    <row r="192" spans="1:32" x14ac:dyDescent="0.2">
      <c r="A192" s="3" t="s">
        <v>2048</v>
      </c>
      <c r="B192" s="12" t="s">
        <v>1497</v>
      </c>
      <c r="C192" s="6">
        <v>191</v>
      </c>
      <c r="D192" s="12">
        <v>32</v>
      </c>
      <c r="E192" s="12" t="s">
        <v>1444</v>
      </c>
      <c r="F192" s="12" t="s">
        <v>1445</v>
      </c>
      <c r="G192" s="12" t="s">
        <v>1446</v>
      </c>
      <c r="H192" s="12" t="s">
        <v>72</v>
      </c>
      <c r="I192" s="12" t="s">
        <v>1412</v>
      </c>
      <c r="J192" s="12" t="s">
        <v>1401</v>
      </c>
      <c r="K192" s="17" t="s">
        <v>1574</v>
      </c>
      <c r="L192" s="13" t="s">
        <v>1521</v>
      </c>
      <c r="M192" s="13" t="s">
        <v>1575</v>
      </c>
      <c r="N192" s="13" t="s">
        <v>1450</v>
      </c>
      <c r="O192" s="13" t="s">
        <v>1532</v>
      </c>
      <c r="P192" s="13" t="s">
        <v>1451</v>
      </c>
      <c r="Q192" s="13" t="s">
        <v>1396</v>
      </c>
      <c r="R192" s="13">
        <v>11</v>
      </c>
      <c r="S192" s="13" t="s">
        <v>1453</v>
      </c>
      <c r="T192" s="13" t="s">
        <v>1454</v>
      </c>
      <c r="U192" s="13" t="s">
        <v>1406</v>
      </c>
      <c r="V192" s="13">
        <v>13</v>
      </c>
      <c r="W192" s="13" t="b">
        <v>1</v>
      </c>
      <c r="X192" s="13">
        <v>240806</v>
      </c>
      <c r="Y192" s="13" t="s">
        <v>1405</v>
      </c>
      <c r="Z192" s="13">
        <v>0</v>
      </c>
      <c r="AA192" s="13">
        <v>0</v>
      </c>
      <c r="AB192" s="13" t="s">
        <v>1405</v>
      </c>
      <c r="AC192" s="13" t="s">
        <v>1405</v>
      </c>
      <c r="AD192" s="13">
        <v>0</v>
      </c>
      <c r="AE192" s="13" t="s">
        <v>1405</v>
      </c>
      <c r="AF192" s="13" t="s">
        <v>1405</v>
      </c>
    </row>
    <row r="193" spans="1:32" x14ac:dyDescent="0.2">
      <c r="A193" s="3" t="s">
        <v>2049</v>
      </c>
      <c r="B193" s="14" t="s">
        <v>1497</v>
      </c>
      <c r="C193" s="6">
        <v>192</v>
      </c>
      <c r="D193" s="14">
        <v>32</v>
      </c>
      <c r="E193" s="14" t="s">
        <v>1457</v>
      </c>
      <c r="F193" s="15" t="s">
        <v>1445</v>
      </c>
      <c r="G193" s="14" t="s">
        <v>1458</v>
      </c>
      <c r="H193" s="14" t="s">
        <v>72</v>
      </c>
      <c r="I193" s="14" t="s">
        <v>1502</v>
      </c>
      <c r="J193" s="14" t="s">
        <v>1401</v>
      </c>
      <c r="K193" s="17" t="s">
        <v>1576</v>
      </c>
      <c r="L193" s="16" t="s">
        <v>1521</v>
      </c>
      <c r="M193" s="16" t="s">
        <v>1575</v>
      </c>
      <c r="N193" s="16" t="s">
        <v>1450</v>
      </c>
      <c r="O193" s="16" t="s">
        <v>1532</v>
      </c>
      <c r="P193" s="16" t="s">
        <v>1451</v>
      </c>
      <c r="Q193" s="16" t="s">
        <v>1396</v>
      </c>
      <c r="R193" s="16">
        <v>11</v>
      </c>
      <c r="S193" s="16" t="s">
        <v>1453</v>
      </c>
      <c r="T193" s="16" t="s">
        <v>1454</v>
      </c>
      <c r="U193" s="16" t="s">
        <v>1406</v>
      </c>
      <c r="V193" s="16">
        <v>13</v>
      </c>
      <c r="W193" s="16" t="b">
        <v>1</v>
      </c>
      <c r="X193" s="16">
        <v>240806</v>
      </c>
      <c r="Y193" s="16" t="s">
        <v>1405</v>
      </c>
      <c r="Z193" s="16">
        <v>0</v>
      </c>
      <c r="AA193" s="16">
        <v>0</v>
      </c>
      <c r="AB193" s="16" t="s">
        <v>1405</v>
      </c>
      <c r="AC193" s="16" t="s">
        <v>1405</v>
      </c>
      <c r="AD193" s="16">
        <v>0</v>
      </c>
      <c r="AE193" s="16" t="s">
        <v>1405</v>
      </c>
      <c r="AF193" s="16" t="s">
        <v>1405</v>
      </c>
    </row>
    <row r="194" spans="1:32" x14ac:dyDescent="0.2">
      <c r="A194" s="3" t="s">
        <v>2050</v>
      </c>
      <c r="B194" s="12" t="s">
        <v>1497</v>
      </c>
      <c r="C194" s="6">
        <v>193</v>
      </c>
      <c r="D194" s="12">
        <v>33</v>
      </c>
      <c r="E194" s="12" t="s">
        <v>1444</v>
      </c>
      <c r="F194" s="12" t="s">
        <v>1445</v>
      </c>
      <c r="G194" s="12" t="s">
        <v>1446</v>
      </c>
      <c r="H194" s="12" t="s">
        <v>73</v>
      </c>
      <c r="I194" s="12" t="s">
        <v>1412</v>
      </c>
      <c r="J194" s="12" t="s">
        <v>1401</v>
      </c>
      <c r="K194" s="17" t="s">
        <v>1577</v>
      </c>
      <c r="L194" s="13" t="s">
        <v>1521</v>
      </c>
      <c r="M194" s="13" t="s">
        <v>1575</v>
      </c>
      <c r="N194" s="13" t="s">
        <v>1450</v>
      </c>
      <c r="O194" s="13" t="s">
        <v>1532</v>
      </c>
      <c r="P194" s="13" t="s">
        <v>1451</v>
      </c>
      <c r="Q194" s="13" t="s">
        <v>1398</v>
      </c>
      <c r="R194" s="13">
        <v>12</v>
      </c>
      <c r="S194" s="13" t="s">
        <v>1453</v>
      </c>
      <c r="T194" s="13" t="s">
        <v>1454</v>
      </c>
      <c r="U194" s="13" t="s">
        <v>1406</v>
      </c>
      <c r="V194" s="13">
        <v>13</v>
      </c>
      <c r="W194" s="13" t="b">
        <v>1</v>
      </c>
      <c r="X194" s="13">
        <v>240806</v>
      </c>
      <c r="Y194" s="13" t="s">
        <v>1405</v>
      </c>
      <c r="Z194" s="13">
        <v>0</v>
      </c>
      <c r="AA194" s="13">
        <v>0</v>
      </c>
      <c r="AB194" s="13" t="s">
        <v>1405</v>
      </c>
      <c r="AC194" s="13" t="s">
        <v>1405</v>
      </c>
      <c r="AD194" s="13">
        <v>0</v>
      </c>
      <c r="AE194" s="13" t="s">
        <v>1405</v>
      </c>
      <c r="AF194" s="13" t="s">
        <v>1405</v>
      </c>
    </row>
    <row r="195" spans="1:32" x14ac:dyDescent="0.2">
      <c r="A195" s="3" t="s">
        <v>2051</v>
      </c>
      <c r="B195" s="14" t="s">
        <v>1497</v>
      </c>
      <c r="C195" s="6">
        <v>194</v>
      </c>
      <c r="D195" s="14">
        <v>33</v>
      </c>
      <c r="E195" s="14" t="s">
        <v>1457</v>
      </c>
      <c r="F195" s="15" t="s">
        <v>1445</v>
      </c>
      <c r="G195" s="14" t="s">
        <v>1458</v>
      </c>
      <c r="H195" s="14" t="s">
        <v>73</v>
      </c>
      <c r="I195" s="14" t="s">
        <v>1502</v>
      </c>
      <c r="J195" s="14" t="s">
        <v>1401</v>
      </c>
      <c r="K195" s="17" t="s">
        <v>1578</v>
      </c>
      <c r="L195" s="16" t="s">
        <v>1521</v>
      </c>
      <c r="M195" s="16" t="s">
        <v>1575</v>
      </c>
      <c r="N195" s="16" t="s">
        <v>1450</v>
      </c>
      <c r="O195" s="16" t="s">
        <v>1532</v>
      </c>
      <c r="P195" s="16" t="s">
        <v>1451</v>
      </c>
      <c r="Q195" s="16" t="s">
        <v>1398</v>
      </c>
      <c r="R195" s="16">
        <v>12</v>
      </c>
      <c r="S195" s="16" t="s">
        <v>1453</v>
      </c>
      <c r="T195" s="16" t="s">
        <v>1454</v>
      </c>
      <c r="U195" s="16" t="s">
        <v>1406</v>
      </c>
      <c r="V195" s="16">
        <v>13</v>
      </c>
      <c r="W195" s="16" t="b">
        <v>1</v>
      </c>
      <c r="X195" s="16">
        <v>240806</v>
      </c>
      <c r="Y195" s="16" t="s">
        <v>1405</v>
      </c>
      <c r="Z195" s="16">
        <v>0</v>
      </c>
      <c r="AA195" s="16">
        <v>0</v>
      </c>
      <c r="AB195" s="16" t="s">
        <v>1405</v>
      </c>
      <c r="AC195" s="16" t="s">
        <v>1405</v>
      </c>
      <c r="AD195" s="16">
        <v>0</v>
      </c>
      <c r="AE195" s="16" t="s">
        <v>1405</v>
      </c>
      <c r="AF195" s="16" t="s">
        <v>1405</v>
      </c>
    </row>
    <row r="196" spans="1:32" x14ac:dyDescent="0.2">
      <c r="A196" s="3" t="s">
        <v>2052</v>
      </c>
      <c r="B196" s="12" t="s">
        <v>1497</v>
      </c>
      <c r="C196" s="6">
        <v>195</v>
      </c>
      <c r="D196" s="12">
        <v>34</v>
      </c>
      <c r="E196" s="12" t="s">
        <v>1444</v>
      </c>
      <c r="F196" s="12" t="s">
        <v>1445</v>
      </c>
      <c r="G196" s="12" t="s">
        <v>1446</v>
      </c>
      <c r="H196" s="12" t="s">
        <v>74</v>
      </c>
      <c r="I196" s="12" t="s">
        <v>1412</v>
      </c>
      <c r="J196" s="12" t="s">
        <v>1401</v>
      </c>
      <c r="K196" s="17" t="s">
        <v>1579</v>
      </c>
      <c r="L196" s="13" t="s">
        <v>1499</v>
      </c>
      <c r="M196" s="13" t="s">
        <v>1580</v>
      </c>
      <c r="N196" s="13" t="s">
        <v>1450</v>
      </c>
      <c r="O196" s="13" t="s">
        <v>1581</v>
      </c>
      <c r="P196" s="13" t="s">
        <v>1451</v>
      </c>
      <c r="Q196" s="13" t="s">
        <v>1396</v>
      </c>
      <c r="R196" s="13">
        <v>1</v>
      </c>
      <c r="S196" s="13" t="s">
        <v>1453</v>
      </c>
      <c r="T196" s="13" t="s">
        <v>1454</v>
      </c>
      <c r="U196" s="13" t="s">
        <v>1406</v>
      </c>
      <c r="V196" s="13">
        <v>13</v>
      </c>
      <c r="W196" s="13" t="b">
        <v>1</v>
      </c>
      <c r="X196" s="13">
        <v>240806</v>
      </c>
      <c r="Y196" s="13" t="s">
        <v>1405</v>
      </c>
      <c r="Z196" s="13">
        <v>0</v>
      </c>
      <c r="AA196" s="13">
        <v>0</v>
      </c>
      <c r="AB196" s="13" t="s">
        <v>1405</v>
      </c>
      <c r="AC196" s="13" t="s">
        <v>1405</v>
      </c>
      <c r="AD196" s="13">
        <v>0</v>
      </c>
      <c r="AE196" s="13" t="s">
        <v>1405</v>
      </c>
      <c r="AF196" s="13" t="s">
        <v>1405</v>
      </c>
    </row>
    <row r="197" spans="1:32" x14ac:dyDescent="0.2">
      <c r="A197" s="3" t="s">
        <v>2053</v>
      </c>
      <c r="B197" s="14" t="s">
        <v>1497</v>
      </c>
      <c r="C197" s="6">
        <v>196</v>
      </c>
      <c r="D197" s="14">
        <v>34</v>
      </c>
      <c r="E197" s="14" t="s">
        <v>1457</v>
      </c>
      <c r="F197" s="15" t="s">
        <v>1445</v>
      </c>
      <c r="G197" s="14" t="s">
        <v>1458</v>
      </c>
      <c r="H197" s="14" t="s">
        <v>74</v>
      </c>
      <c r="I197" s="14" t="s">
        <v>1502</v>
      </c>
      <c r="J197" s="14" t="s">
        <v>1401</v>
      </c>
      <c r="K197" s="17" t="s">
        <v>1582</v>
      </c>
      <c r="L197" s="16" t="s">
        <v>1499</v>
      </c>
      <c r="M197" s="16" t="s">
        <v>1580</v>
      </c>
      <c r="N197" s="16" t="s">
        <v>1450</v>
      </c>
      <c r="O197" s="16" t="s">
        <v>1581</v>
      </c>
      <c r="P197" s="16" t="s">
        <v>1451</v>
      </c>
      <c r="Q197" s="16" t="s">
        <v>1396</v>
      </c>
      <c r="R197" s="16">
        <v>1</v>
      </c>
      <c r="S197" s="16" t="s">
        <v>1453</v>
      </c>
      <c r="T197" s="16" t="s">
        <v>1454</v>
      </c>
      <c r="U197" s="16" t="s">
        <v>1406</v>
      </c>
      <c r="V197" s="16">
        <v>13</v>
      </c>
      <c r="W197" s="16" t="b">
        <v>1</v>
      </c>
      <c r="X197" s="16">
        <v>240806</v>
      </c>
      <c r="Y197" s="16" t="s">
        <v>1405</v>
      </c>
      <c r="Z197" s="16">
        <v>0</v>
      </c>
      <c r="AA197" s="16">
        <v>0</v>
      </c>
      <c r="AB197" s="16" t="s">
        <v>1405</v>
      </c>
      <c r="AC197" s="16" t="s">
        <v>1405</v>
      </c>
      <c r="AD197" s="16">
        <v>0</v>
      </c>
      <c r="AE197" s="16" t="s">
        <v>1405</v>
      </c>
      <c r="AF197" s="16" t="s">
        <v>1405</v>
      </c>
    </row>
    <row r="198" spans="1:32" x14ac:dyDescent="0.2">
      <c r="A198" s="3" t="s">
        <v>2054</v>
      </c>
      <c r="B198" s="12" t="s">
        <v>1497</v>
      </c>
      <c r="C198" s="6">
        <v>197</v>
      </c>
      <c r="D198" s="12">
        <v>35</v>
      </c>
      <c r="E198" s="12" t="s">
        <v>1444</v>
      </c>
      <c r="F198" s="12" t="s">
        <v>1445</v>
      </c>
      <c r="G198" s="12" t="s">
        <v>1446</v>
      </c>
      <c r="H198" s="12" t="s">
        <v>75</v>
      </c>
      <c r="I198" s="12" t="s">
        <v>1412</v>
      </c>
      <c r="J198" s="12" t="s">
        <v>1401</v>
      </c>
      <c r="K198" s="17" t="s">
        <v>1583</v>
      </c>
      <c r="L198" s="13" t="s">
        <v>1499</v>
      </c>
      <c r="M198" s="13" t="s">
        <v>1580</v>
      </c>
      <c r="N198" s="13" t="s">
        <v>1450</v>
      </c>
      <c r="O198" s="13" t="s">
        <v>1581</v>
      </c>
      <c r="P198" s="13" t="s">
        <v>1451</v>
      </c>
      <c r="Q198" s="13" t="s">
        <v>1398</v>
      </c>
      <c r="R198" s="13">
        <v>2</v>
      </c>
      <c r="S198" s="13" t="s">
        <v>1453</v>
      </c>
      <c r="T198" s="13" t="s">
        <v>1454</v>
      </c>
      <c r="U198" s="13" t="s">
        <v>1406</v>
      </c>
      <c r="V198" s="13">
        <v>13</v>
      </c>
      <c r="W198" s="13" t="b">
        <v>1</v>
      </c>
      <c r="X198" s="13">
        <v>240806</v>
      </c>
      <c r="Y198" s="13" t="s">
        <v>1405</v>
      </c>
      <c r="Z198" s="13">
        <v>0</v>
      </c>
      <c r="AA198" s="13">
        <v>0</v>
      </c>
      <c r="AB198" s="13" t="s">
        <v>1405</v>
      </c>
      <c r="AC198" s="13" t="s">
        <v>1405</v>
      </c>
      <c r="AD198" s="13">
        <v>0</v>
      </c>
      <c r="AE198" s="13" t="s">
        <v>1405</v>
      </c>
      <c r="AF198" s="13" t="s">
        <v>1405</v>
      </c>
    </row>
    <row r="199" spans="1:32" x14ac:dyDescent="0.2">
      <c r="A199" s="3" t="s">
        <v>2055</v>
      </c>
      <c r="B199" s="14" t="s">
        <v>1497</v>
      </c>
      <c r="C199" s="6">
        <v>198</v>
      </c>
      <c r="D199" s="14">
        <v>35</v>
      </c>
      <c r="E199" s="14" t="s">
        <v>1457</v>
      </c>
      <c r="F199" s="15" t="s">
        <v>1445</v>
      </c>
      <c r="G199" s="14" t="s">
        <v>1458</v>
      </c>
      <c r="H199" s="14" t="s">
        <v>75</v>
      </c>
      <c r="I199" s="14" t="s">
        <v>1502</v>
      </c>
      <c r="J199" s="14" t="s">
        <v>1401</v>
      </c>
      <c r="K199" s="17" t="s">
        <v>1584</v>
      </c>
      <c r="L199" s="16" t="s">
        <v>1499</v>
      </c>
      <c r="M199" s="16" t="s">
        <v>1580</v>
      </c>
      <c r="N199" s="16" t="s">
        <v>1450</v>
      </c>
      <c r="O199" s="16" t="s">
        <v>1581</v>
      </c>
      <c r="P199" s="16" t="s">
        <v>1451</v>
      </c>
      <c r="Q199" s="16" t="s">
        <v>1398</v>
      </c>
      <c r="R199" s="16">
        <v>2</v>
      </c>
      <c r="S199" s="16" t="s">
        <v>1453</v>
      </c>
      <c r="T199" s="16" t="s">
        <v>1454</v>
      </c>
      <c r="U199" s="16" t="s">
        <v>1406</v>
      </c>
      <c r="V199" s="16">
        <v>13</v>
      </c>
      <c r="W199" s="16" t="b">
        <v>1</v>
      </c>
      <c r="X199" s="16">
        <v>240806</v>
      </c>
      <c r="Y199" s="16" t="s">
        <v>1405</v>
      </c>
      <c r="Z199" s="16">
        <v>0</v>
      </c>
      <c r="AA199" s="16">
        <v>0</v>
      </c>
      <c r="AB199" s="16" t="s">
        <v>1405</v>
      </c>
      <c r="AC199" s="16" t="s">
        <v>1405</v>
      </c>
      <c r="AD199" s="16">
        <v>0</v>
      </c>
      <c r="AE199" s="16" t="s">
        <v>1405</v>
      </c>
      <c r="AF199" s="16" t="s">
        <v>1405</v>
      </c>
    </row>
    <row r="200" spans="1:32" x14ac:dyDescent="0.2">
      <c r="A200" s="3" t="s">
        <v>2056</v>
      </c>
      <c r="B200" s="12" t="s">
        <v>1497</v>
      </c>
      <c r="C200" s="6">
        <v>199</v>
      </c>
      <c r="D200" s="12">
        <v>36</v>
      </c>
      <c r="E200" s="12" t="s">
        <v>1444</v>
      </c>
      <c r="F200" s="12" t="s">
        <v>1445</v>
      </c>
      <c r="G200" s="12" t="s">
        <v>1446</v>
      </c>
      <c r="H200" s="12" t="s">
        <v>76</v>
      </c>
      <c r="I200" s="12" t="s">
        <v>1412</v>
      </c>
      <c r="J200" s="12" t="s">
        <v>1401</v>
      </c>
      <c r="K200" s="17" t="s">
        <v>1585</v>
      </c>
      <c r="L200" s="13" t="s">
        <v>1499</v>
      </c>
      <c r="M200" s="13" t="s">
        <v>1580</v>
      </c>
      <c r="N200" s="13" t="s">
        <v>1450</v>
      </c>
      <c r="O200" s="13" t="s">
        <v>1581</v>
      </c>
      <c r="P200" s="13" t="s">
        <v>1451</v>
      </c>
      <c r="Q200" s="13" t="s">
        <v>1399</v>
      </c>
      <c r="R200" s="13">
        <v>3</v>
      </c>
      <c r="S200" s="13" t="s">
        <v>1453</v>
      </c>
      <c r="T200" s="13" t="s">
        <v>1454</v>
      </c>
      <c r="U200" s="13" t="s">
        <v>1406</v>
      </c>
      <c r="V200" s="13">
        <v>13</v>
      </c>
      <c r="W200" s="13" t="b">
        <v>1</v>
      </c>
      <c r="X200" s="13">
        <v>240806</v>
      </c>
      <c r="Y200" s="13" t="s">
        <v>1405</v>
      </c>
      <c r="Z200" s="13">
        <v>0</v>
      </c>
      <c r="AA200" s="13">
        <v>0</v>
      </c>
      <c r="AB200" s="13" t="s">
        <v>1405</v>
      </c>
      <c r="AC200" s="13" t="s">
        <v>1405</v>
      </c>
      <c r="AD200" s="13">
        <v>0</v>
      </c>
      <c r="AE200" s="13" t="s">
        <v>1405</v>
      </c>
      <c r="AF200" s="13" t="s">
        <v>1405</v>
      </c>
    </row>
    <row r="201" spans="1:32" x14ac:dyDescent="0.2">
      <c r="A201" s="3" t="s">
        <v>2057</v>
      </c>
      <c r="B201" s="14" t="s">
        <v>1497</v>
      </c>
      <c r="C201" s="6">
        <v>200</v>
      </c>
      <c r="D201" s="14">
        <v>36</v>
      </c>
      <c r="E201" s="14" t="s">
        <v>1457</v>
      </c>
      <c r="F201" s="15" t="s">
        <v>1445</v>
      </c>
      <c r="G201" s="14" t="s">
        <v>1458</v>
      </c>
      <c r="H201" s="14" t="s">
        <v>76</v>
      </c>
      <c r="I201" s="14" t="s">
        <v>1502</v>
      </c>
      <c r="J201" s="14" t="s">
        <v>1401</v>
      </c>
      <c r="K201" s="17" t="s">
        <v>1586</v>
      </c>
      <c r="L201" s="16" t="s">
        <v>1499</v>
      </c>
      <c r="M201" s="16" t="s">
        <v>1580</v>
      </c>
      <c r="N201" s="16" t="s">
        <v>1450</v>
      </c>
      <c r="O201" s="16" t="s">
        <v>1581</v>
      </c>
      <c r="P201" s="16" t="s">
        <v>1451</v>
      </c>
      <c r="Q201" s="16" t="s">
        <v>1399</v>
      </c>
      <c r="R201" s="16">
        <v>3</v>
      </c>
      <c r="S201" s="16" t="s">
        <v>1453</v>
      </c>
      <c r="T201" s="16" t="s">
        <v>1454</v>
      </c>
      <c r="U201" s="16" t="s">
        <v>1406</v>
      </c>
      <c r="V201" s="16">
        <v>13</v>
      </c>
      <c r="W201" s="16" t="b">
        <v>1</v>
      </c>
      <c r="X201" s="16">
        <v>240806</v>
      </c>
      <c r="Y201" s="16" t="s">
        <v>1405</v>
      </c>
      <c r="Z201" s="16">
        <v>0</v>
      </c>
      <c r="AA201" s="16">
        <v>0</v>
      </c>
      <c r="AB201" s="16" t="s">
        <v>1405</v>
      </c>
      <c r="AC201" s="16" t="s">
        <v>1405</v>
      </c>
      <c r="AD201" s="16">
        <v>0</v>
      </c>
      <c r="AE201" s="16" t="s">
        <v>1405</v>
      </c>
      <c r="AF201" s="16" t="s">
        <v>1405</v>
      </c>
    </row>
    <row r="202" spans="1:32" x14ac:dyDescent="0.2">
      <c r="A202" s="3" t="s">
        <v>2058</v>
      </c>
      <c r="B202" s="12" t="s">
        <v>1497</v>
      </c>
      <c r="C202" s="6">
        <v>201</v>
      </c>
      <c r="D202" s="12">
        <v>37</v>
      </c>
      <c r="E202" s="12" t="s">
        <v>1444</v>
      </c>
      <c r="F202" s="12" t="s">
        <v>1445</v>
      </c>
      <c r="G202" s="12" t="s">
        <v>1446</v>
      </c>
      <c r="H202" s="12" t="s">
        <v>77</v>
      </c>
      <c r="I202" s="12" t="s">
        <v>1412</v>
      </c>
      <c r="J202" s="12" t="s">
        <v>1401</v>
      </c>
      <c r="K202" s="17" t="s">
        <v>1587</v>
      </c>
      <c r="L202" s="13" t="s">
        <v>1499</v>
      </c>
      <c r="M202" s="13" t="s">
        <v>1580</v>
      </c>
      <c r="N202" s="13" t="s">
        <v>1450</v>
      </c>
      <c r="O202" s="13" t="s">
        <v>1581</v>
      </c>
      <c r="P202" s="13" t="s">
        <v>1451</v>
      </c>
      <c r="Q202" s="13" t="s">
        <v>1400</v>
      </c>
      <c r="R202" s="13">
        <v>4</v>
      </c>
      <c r="S202" s="13" t="s">
        <v>1453</v>
      </c>
      <c r="T202" s="13" t="s">
        <v>1454</v>
      </c>
      <c r="U202" s="13" t="s">
        <v>1406</v>
      </c>
      <c r="V202" s="13">
        <v>13</v>
      </c>
      <c r="W202" s="13" t="b">
        <v>1</v>
      </c>
      <c r="X202" s="13">
        <v>240806</v>
      </c>
      <c r="Y202" s="13" t="s">
        <v>1405</v>
      </c>
      <c r="Z202" s="13">
        <v>0</v>
      </c>
      <c r="AA202" s="13">
        <v>0</v>
      </c>
      <c r="AB202" s="13" t="s">
        <v>1405</v>
      </c>
      <c r="AC202" s="13" t="s">
        <v>1405</v>
      </c>
      <c r="AD202" s="13">
        <v>0</v>
      </c>
      <c r="AE202" s="13" t="s">
        <v>1405</v>
      </c>
      <c r="AF202" s="13" t="s">
        <v>1405</v>
      </c>
    </row>
    <row r="203" spans="1:32" x14ac:dyDescent="0.2">
      <c r="A203" s="3" t="s">
        <v>2059</v>
      </c>
      <c r="B203" s="14" t="s">
        <v>1497</v>
      </c>
      <c r="C203" s="6">
        <v>202</v>
      </c>
      <c r="D203" s="14">
        <v>37</v>
      </c>
      <c r="E203" s="14" t="s">
        <v>1457</v>
      </c>
      <c r="F203" s="15" t="s">
        <v>1445</v>
      </c>
      <c r="G203" s="14" t="s">
        <v>1458</v>
      </c>
      <c r="H203" s="14" t="s">
        <v>77</v>
      </c>
      <c r="I203" s="14" t="s">
        <v>1502</v>
      </c>
      <c r="J203" s="14" t="s">
        <v>1401</v>
      </c>
      <c r="K203" s="17" t="s">
        <v>1588</v>
      </c>
      <c r="L203" s="16" t="s">
        <v>1499</v>
      </c>
      <c r="M203" s="16" t="s">
        <v>1580</v>
      </c>
      <c r="N203" s="16" t="s">
        <v>1450</v>
      </c>
      <c r="O203" s="16" t="s">
        <v>1581</v>
      </c>
      <c r="P203" s="16" t="s">
        <v>1451</v>
      </c>
      <c r="Q203" s="16" t="s">
        <v>1400</v>
      </c>
      <c r="R203" s="16">
        <v>4</v>
      </c>
      <c r="S203" s="16" t="s">
        <v>1453</v>
      </c>
      <c r="T203" s="16" t="s">
        <v>1454</v>
      </c>
      <c r="U203" s="16" t="s">
        <v>1406</v>
      </c>
      <c r="V203" s="16">
        <v>13</v>
      </c>
      <c r="W203" s="16" t="b">
        <v>1</v>
      </c>
      <c r="X203" s="16">
        <v>240806</v>
      </c>
      <c r="Y203" s="16" t="s">
        <v>1405</v>
      </c>
      <c r="Z203" s="16">
        <v>0</v>
      </c>
      <c r="AA203" s="16">
        <v>0</v>
      </c>
      <c r="AB203" s="16" t="s">
        <v>1405</v>
      </c>
      <c r="AC203" s="16" t="s">
        <v>1405</v>
      </c>
      <c r="AD203" s="16">
        <v>0</v>
      </c>
      <c r="AE203" s="16" t="s">
        <v>1405</v>
      </c>
      <c r="AF203" s="16" t="s">
        <v>1405</v>
      </c>
    </row>
    <row r="204" spans="1:32" x14ac:dyDescent="0.2">
      <c r="A204" s="3" t="s">
        <v>2060</v>
      </c>
      <c r="B204" s="12" t="s">
        <v>1497</v>
      </c>
      <c r="C204" s="6">
        <v>203</v>
      </c>
      <c r="D204" s="12">
        <v>38</v>
      </c>
      <c r="E204" s="12" t="s">
        <v>1444</v>
      </c>
      <c r="F204" s="12" t="s">
        <v>1445</v>
      </c>
      <c r="G204" s="12" t="s">
        <v>1446</v>
      </c>
      <c r="H204" s="12" t="s">
        <v>79</v>
      </c>
      <c r="I204" s="12" t="s">
        <v>1412</v>
      </c>
      <c r="J204" s="12" t="s">
        <v>1401</v>
      </c>
      <c r="K204" s="17" t="s">
        <v>1589</v>
      </c>
      <c r="L204" s="13" t="s">
        <v>1521</v>
      </c>
      <c r="M204" s="13" t="s">
        <v>1590</v>
      </c>
      <c r="N204" s="13" t="s">
        <v>1450</v>
      </c>
      <c r="O204" s="13" t="s">
        <v>1581</v>
      </c>
      <c r="P204" s="13" t="s">
        <v>1451</v>
      </c>
      <c r="Q204" s="13" t="s">
        <v>1396</v>
      </c>
      <c r="R204" s="13">
        <v>1</v>
      </c>
      <c r="S204" s="13" t="s">
        <v>1453</v>
      </c>
      <c r="T204" s="13" t="s">
        <v>1454</v>
      </c>
      <c r="U204" s="13" t="s">
        <v>1406</v>
      </c>
      <c r="V204" s="13">
        <v>13</v>
      </c>
      <c r="W204" s="13" t="b">
        <v>1</v>
      </c>
      <c r="X204" s="13">
        <v>240806</v>
      </c>
      <c r="Y204" s="13" t="s">
        <v>1405</v>
      </c>
      <c r="Z204" s="13">
        <v>0</v>
      </c>
      <c r="AA204" s="13">
        <v>0</v>
      </c>
      <c r="AB204" s="13" t="s">
        <v>1405</v>
      </c>
      <c r="AC204" s="13" t="s">
        <v>1405</v>
      </c>
      <c r="AD204" s="13">
        <v>0</v>
      </c>
      <c r="AE204" s="13" t="s">
        <v>1405</v>
      </c>
      <c r="AF204" s="13" t="s">
        <v>1405</v>
      </c>
    </row>
    <row r="205" spans="1:32" x14ac:dyDescent="0.2">
      <c r="A205" s="3" t="s">
        <v>2061</v>
      </c>
      <c r="B205" s="14" t="s">
        <v>1497</v>
      </c>
      <c r="C205" s="6">
        <v>204</v>
      </c>
      <c r="D205" s="14">
        <v>38</v>
      </c>
      <c r="E205" s="14" t="s">
        <v>1457</v>
      </c>
      <c r="F205" s="15" t="s">
        <v>1445</v>
      </c>
      <c r="G205" s="14" t="s">
        <v>1458</v>
      </c>
      <c r="H205" s="14" t="s">
        <v>79</v>
      </c>
      <c r="I205" s="14" t="s">
        <v>1502</v>
      </c>
      <c r="J205" s="14" t="s">
        <v>1401</v>
      </c>
      <c r="K205" s="17" t="s">
        <v>1591</v>
      </c>
      <c r="L205" s="16" t="s">
        <v>1521</v>
      </c>
      <c r="M205" s="16" t="s">
        <v>1590</v>
      </c>
      <c r="N205" s="16" t="s">
        <v>1450</v>
      </c>
      <c r="O205" s="16" t="s">
        <v>1581</v>
      </c>
      <c r="P205" s="16" t="s">
        <v>1451</v>
      </c>
      <c r="Q205" s="16" t="s">
        <v>1396</v>
      </c>
      <c r="R205" s="16">
        <v>1</v>
      </c>
      <c r="S205" s="16" t="s">
        <v>1453</v>
      </c>
      <c r="T205" s="16" t="s">
        <v>1454</v>
      </c>
      <c r="U205" s="16" t="s">
        <v>1406</v>
      </c>
      <c r="V205" s="16">
        <v>13</v>
      </c>
      <c r="W205" s="16" t="b">
        <v>1</v>
      </c>
      <c r="X205" s="16">
        <v>240806</v>
      </c>
      <c r="Y205" s="16" t="s">
        <v>1405</v>
      </c>
      <c r="Z205" s="16">
        <v>0</v>
      </c>
      <c r="AA205" s="16">
        <v>0</v>
      </c>
      <c r="AB205" s="16" t="s">
        <v>1405</v>
      </c>
      <c r="AC205" s="16" t="s">
        <v>1405</v>
      </c>
      <c r="AD205" s="16">
        <v>0</v>
      </c>
      <c r="AE205" s="16" t="s">
        <v>1405</v>
      </c>
      <c r="AF205" s="16" t="s">
        <v>1405</v>
      </c>
    </row>
    <row r="206" spans="1:32" x14ac:dyDescent="0.2">
      <c r="A206" s="3" t="s">
        <v>2062</v>
      </c>
      <c r="B206" s="12" t="s">
        <v>1497</v>
      </c>
      <c r="C206" s="6">
        <v>205</v>
      </c>
      <c r="D206" s="12">
        <v>39</v>
      </c>
      <c r="E206" s="12" t="s">
        <v>1444</v>
      </c>
      <c r="F206" s="12" t="s">
        <v>1445</v>
      </c>
      <c r="G206" s="12" t="s">
        <v>1446</v>
      </c>
      <c r="H206" s="12" t="s">
        <v>80</v>
      </c>
      <c r="I206" s="12" t="s">
        <v>1412</v>
      </c>
      <c r="J206" s="12" t="s">
        <v>1401</v>
      </c>
      <c r="K206" s="17" t="s">
        <v>1592</v>
      </c>
      <c r="L206" s="13" t="s">
        <v>1521</v>
      </c>
      <c r="M206" s="13" t="s">
        <v>1590</v>
      </c>
      <c r="N206" s="13" t="s">
        <v>1450</v>
      </c>
      <c r="O206" s="13" t="s">
        <v>1581</v>
      </c>
      <c r="P206" s="13" t="s">
        <v>1451</v>
      </c>
      <c r="Q206" s="13" t="s">
        <v>1398</v>
      </c>
      <c r="R206" s="13">
        <v>2</v>
      </c>
      <c r="S206" s="13" t="s">
        <v>1453</v>
      </c>
      <c r="T206" s="13" t="s">
        <v>1454</v>
      </c>
      <c r="U206" s="13" t="s">
        <v>1406</v>
      </c>
      <c r="V206" s="13">
        <v>13</v>
      </c>
      <c r="W206" s="13" t="b">
        <v>1</v>
      </c>
      <c r="X206" s="13">
        <v>240806</v>
      </c>
      <c r="Y206" s="13" t="s">
        <v>1405</v>
      </c>
      <c r="Z206" s="13">
        <v>0</v>
      </c>
      <c r="AA206" s="13">
        <v>0</v>
      </c>
      <c r="AB206" s="13" t="s">
        <v>1405</v>
      </c>
      <c r="AC206" s="13" t="s">
        <v>1405</v>
      </c>
      <c r="AD206" s="13">
        <v>0</v>
      </c>
      <c r="AE206" s="13" t="s">
        <v>1405</v>
      </c>
      <c r="AF206" s="13" t="s">
        <v>1405</v>
      </c>
    </row>
    <row r="207" spans="1:32" x14ac:dyDescent="0.2">
      <c r="A207" s="3" t="s">
        <v>2063</v>
      </c>
      <c r="B207" s="14" t="s">
        <v>1497</v>
      </c>
      <c r="C207" s="6">
        <v>206</v>
      </c>
      <c r="D207" s="14">
        <v>39</v>
      </c>
      <c r="E207" s="14" t="s">
        <v>1457</v>
      </c>
      <c r="F207" s="15" t="s">
        <v>1445</v>
      </c>
      <c r="G207" s="14" t="s">
        <v>1458</v>
      </c>
      <c r="H207" s="14" t="s">
        <v>80</v>
      </c>
      <c r="I207" s="14" t="s">
        <v>1502</v>
      </c>
      <c r="J207" s="14" t="s">
        <v>1401</v>
      </c>
      <c r="K207" s="17" t="s">
        <v>1593</v>
      </c>
      <c r="L207" s="16" t="s">
        <v>1521</v>
      </c>
      <c r="M207" s="16" t="s">
        <v>1590</v>
      </c>
      <c r="N207" s="16" t="s">
        <v>1450</v>
      </c>
      <c r="O207" s="16" t="s">
        <v>1581</v>
      </c>
      <c r="P207" s="16" t="s">
        <v>1451</v>
      </c>
      <c r="Q207" s="16" t="s">
        <v>1398</v>
      </c>
      <c r="R207" s="16">
        <v>2</v>
      </c>
      <c r="S207" s="16" t="s">
        <v>1453</v>
      </c>
      <c r="T207" s="16" t="s">
        <v>1454</v>
      </c>
      <c r="U207" s="16" t="s">
        <v>1406</v>
      </c>
      <c r="V207" s="16">
        <v>13</v>
      </c>
      <c r="W207" s="16" t="b">
        <v>1</v>
      </c>
      <c r="X207" s="16">
        <v>240806</v>
      </c>
      <c r="Y207" s="16" t="s">
        <v>1405</v>
      </c>
      <c r="Z207" s="16">
        <v>0</v>
      </c>
      <c r="AA207" s="16">
        <v>0</v>
      </c>
      <c r="AB207" s="16" t="s">
        <v>1405</v>
      </c>
      <c r="AC207" s="16" t="s">
        <v>1405</v>
      </c>
      <c r="AD207" s="16">
        <v>0</v>
      </c>
      <c r="AE207" s="16" t="s">
        <v>1405</v>
      </c>
      <c r="AF207" s="16" t="s">
        <v>1405</v>
      </c>
    </row>
    <row r="208" spans="1:32" x14ac:dyDescent="0.2">
      <c r="A208" s="3" t="s">
        <v>2064</v>
      </c>
      <c r="B208" s="12" t="s">
        <v>1497</v>
      </c>
      <c r="C208" s="6">
        <v>207</v>
      </c>
      <c r="D208" s="12">
        <v>40</v>
      </c>
      <c r="E208" s="12" t="s">
        <v>1444</v>
      </c>
      <c r="F208" s="12" t="s">
        <v>1445</v>
      </c>
      <c r="G208" s="12" t="s">
        <v>1446</v>
      </c>
      <c r="H208" s="12" t="s">
        <v>81</v>
      </c>
      <c r="I208" s="12" t="s">
        <v>1412</v>
      </c>
      <c r="J208" s="12" t="s">
        <v>1401</v>
      </c>
      <c r="K208" s="17" t="s">
        <v>1594</v>
      </c>
      <c r="L208" s="13" t="s">
        <v>1521</v>
      </c>
      <c r="M208" s="13" t="s">
        <v>1590</v>
      </c>
      <c r="N208" s="13" t="s">
        <v>1450</v>
      </c>
      <c r="O208" s="13" t="s">
        <v>1581</v>
      </c>
      <c r="P208" s="13" t="s">
        <v>1451</v>
      </c>
      <c r="Q208" s="13" t="s">
        <v>1399</v>
      </c>
      <c r="R208" s="13">
        <v>3</v>
      </c>
      <c r="S208" s="13" t="s">
        <v>1453</v>
      </c>
      <c r="T208" s="13" t="s">
        <v>1454</v>
      </c>
      <c r="U208" s="13" t="s">
        <v>1406</v>
      </c>
      <c r="V208" s="13">
        <v>13</v>
      </c>
      <c r="W208" s="13" t="b">
        <v>1</v>
      </c>
      <c r="X208" s="13">
        <v>240806</v>
      </c>
      <c r="Y208" s="13" t="s">
        <v>1405</v>
      </c>
      <c r="Z208" s="13">
        <v>0</v>
      </c>
      <c r="AA208" s="13">
        <v>0</v>
      </c>
      <c r="AB208" s="13" t="s">
        <v>1405</v>
      </c>
      <c r="AC208" s="13" t="s">
        <v>1405</v>
      </c>
      <c r="AD208" s="13">
        <v>0</v>
      </c>
      <c r="AE208" s="13" t="s">
        <v>1405</v>
      </c>
      <c r="AF208" s="13" t="s">
        <v>1405</v>
      </c>
    </row>
    <row r="209" spans="1:32" x14ac:dyDescent="0.2">
      <c r="A209" s="3" t="s">
        <v>2065</v>
      </c>
      <c r="B209" s="14" t="s">
        <v>1497</v>
      </c>
      <c r="C209" s="6">
        <v>208</v>
      </c>
      <c r="D209" s="14">
        <v>40</v>
      </c>
      <c r="E209" s="14" t="s">
        <v>1457</v>
      </c>
      <c r="F209" s="15" t="s">
        <v>1445</v>
      </c>
      <c r="G209" s="14" t="s">
        <v>1458</v>
      </c>
      <c r="H209" s="14" t="s">
        <v>81</v>
      </c>
      <c r="I209" s="14" t="s">
        <v>1502</v>
      </c>
      <c r="J209" s="14" t="s">
        <v>1401</v>
      </c>
      <c r="K209" s="17" t="s">
        <v>1595</v>
      </c>
      <c r="L209" s="16" t="s">
        <v>1521</v>
      </c>
      <c r="M209" s="16" t="s">
        <v>1590</v>
      </c>
      <c r="N209" s="16" t="s">
        <v>1450</v>
      </c>
      <c r="O209" s="16" t="s">
        <v>1581</v>
      </c>
      <c r="P209" s="16" t="s">
        <v>1451</v>
      </c>
      <c r="Q209" s="16" t="s">
        <v>1399</v>
      </c>
      <c r="R209" s="16">
        <v>3</v>
      </c>
      <c r="S209" s="16" t="s">
        <v>1453</v>
      </c>
      <c r="T209" s="16" t="s">
        <v>1454</v>
      </c>
      <c r="U209" s="16" t="s">
        <v>1406</v>
      </c>
      <c r="V209" s="16">
        <v>13</v>
      </c>
      <c r="W209" s="16" t="b">
        <v>1</v>
      </c>
      <c r="X209" s="16">
        <v>240806</v>
      </c>
      <c r="Y209" s="16" t="s">
        <v>1405</v>
      </c>
      <c r="Z209" s="16">
        <v>0</v>
      </c>
      <c r="AA209" s="16">
        <v>0</v>
      </c>
      <c r="AB209" s="16" t="s">
        <v>1405</v>
      </c>
      <c r="AC209" s="16" t="s">
        <v>1405</v>
      </c>
      <c r="AD209" s="16">
        <v>0</v>
      </c>
      <c r="AE209" s="16" t="s">
        <v>1405</v>
      </c>
      <c r="AF209" s="16" t="s">
        <v>1405</v>
      </c>
    </row>
    <row r="210" spans="1:32" x14ac:dyDescent="0.2">
      <c r="A210" s="3" t="s">
        <v>2066</v>
      </c>
      <c r="B210" s="12" t="s">
        <v>1497</v>
      </c>
      <c r="C210" s="6">
        <v>209</v>
      </c>
      <c r="D210" s="12">
        <v>41</v>
      </c>
      <c r="E210" s="12" t="s">
        <v>1444</v>
      </c>
      <c r="F210" s="12" t="s">
        <v>1445</v>
      </c>
      <c r="G210" s="12" t="s">
        <v>1446</v>
      </c>
      <c r="H210" s="12" t="s">
        <v>82</v>
      </c>
      <c r="I210" s="12" t="s">
        <v>1412</v>
      </c>
      <c r="J210" s="12" t="s">
        <v>1401</v>
      </c>
      <c r="K210" s="17" t="s">
        <v>1596</v>
      </c>
      <c r="L210" s="13" t="s">
        <v>1521</v>
      </c>
      <c r="M210" s="13" t="s">
        <v>1590</v>
      </c>
      <c r="N210" s="13" t="s">
        <v>1450</v>
      </c>
      <c r="O210" s="13" t="s">
        <v>1581</v>
      </c>
      <c r="P210" s="13" t="s">
        <v>1451</v>
      </c>
      <c r="Q210" s="13" t="s">
        <v>1400</v>
      </c>
      <c r="R210" s="13">
        <v>4</v>
      </c>
      <c r="S210" s="13" t="s">
        <v>1453</v>
      </c>
      <c r="T210" s="13" t="s">
        <v>1454</v>
      </c>
      <c r="U210" s="13" t="s">
        <v>1406</v>
      </c>
      <c r="V210" s="13">
        <v>13</v>
      </c>
      <c r="W210" s="13" t="b">
        <v>1</v>
      </c>
      <c r="X210" s="13">
        <v>240806</v>
      </c>
      <c r="Y210" s="13" t="s">
        <v>1405</v>
      </c>
      <c r="Z210" s="13">
        <v>0</v>
      </c>
      <c r="AA210" s="13">
        <v>0</v>
      </c>
      <c r="AB210" s="13" t="s">
        <v>1405</v>
      </c>
      <c r="AC210" s="13" t="s">
        <v>1405</v>
      </c>
      <c r="AD210" s="13">
        <v>0</v>
      </c>
      <c r="AE210" s="13" t="s">
        <v>1405</v>
      </c>
      <c r="AF210" s="13" t="s">
        <v>1405</v>
      </c>
    </row>
    <row r="211" spans="1:32" x14ac:dyDescent="0.2">
      <c r="A211" s="3" t="s">
        <v>2067</v>
      </c>
      <c r="B211" s="14" t="s">
        <v>1497</v>
      </c>
      <c r="C211" s="6">
        <v>210</v>
      </c>
      <c r="D211" s="14">
        <v>41</v>
      </c>
      <c r="E211" s="14" t="s">
        <v>1457</v>
      </c>
      <c r="F211" s="15" t="s">
        <v>1445</v>
      </c>
      <c r="G211" s="14" t="s">
        <v>1458</v>
      </c>
      <c r="H211" s="14" t="s">
        <v>82</v>
      </c>
      <c r="I211" s="14" t="s">
        <v>1502</v>
      </c>
      <c r="J211" s="14" t="s">
        <v>1401</v>
      </c>
      <c r="K211" s="17" t="s">
        <v>1597</v>
      </c>
      <c r="L211" s="16" t="s">
        <v>1521</v>
      </c>
      <c r="M211" s="16" t="s">
        <v>1590</v>
      </c>
      <c r="N211" s="16" t="s">
        <v>1450</v>
      </c>
      <c r="O211" s="16" t="s">
        <v>1581</v>
      </c>
      <c r="P211" s="16" t="s">
        <v>1451</v>
      </c>
      <c r="Q211" s="16" t="s">
        <v>1400</v>
      </c>
      <c r="R211" s="16">
        <v>4</v>
      </c>
      <c r="S211" s="16" t="s">
        <v>1453</v>
      </c>
      <c r="T211" s="16" t="s">
        <v>1454</v>
      </c>
      <c r="U211" s="16" t="s">
        <v>1406</v>
      </c>
      <c r="V211" s="16">
        <v>13</v>
      </c>
      <c r="W211" s="16" t="b">
        <v>1</v>
      </c>
      <c r="X211" s="16">
        <v>240806</v>
      </c>
      <c r="Y211" s="16" t="s">
        <v>1405</v>
      </c>
      <c r="Z211" s="16">
        <v>0</v>
      </c>
      <c r="AA211" s="16">
        <v>0</v>
      </c>
      <c r="AB211" s="16" t="s">
        <v>1405</v>
      </c>
      <c r="AC211" s="16" t="s">
        <v>1405</v>
      </c>
      <c r="AD211" s="16">
        <v>0</v>
      </c>
      <c r="AE211" s="16" t="s">
        <v>1405</v>
      </c>
      <c r="AF211" s="16" t="s">
        <v>1405</v>
      </c>
    </row>
    <row r="212" spans="1:32" x14ac:dyDescent="0.2">
      <c r="A212" s="3" t="s">
        <v>2068</v>
      </c>
      <c r="B212" s="12" t="s">
        <v>1497</v>
      </c>
      <c r="C212" s="6">
        <v>211</v>
      </c>
      <c r="D212" s="12">
        <v>42</v>
      </c>
      <c r="E212" s="12" t="s">
        <v>1444</v>
      </c>
      <c r="F212" s="12" t="s">
        <v>1445</v>
      </c>
      <c r="G212" s="12" t="s">
        <v>1446</v>
      </c>
      <c r="H212" s="12" t="s">
        <v>83</v>
      </c>
      <c r="I212" s="12" t="s">
        <v>1412</v>
      </c>
      <c r="J212" s="12" t="s">
        <v>1401</v>
      </c>
      <c r="K212" s="17" t="s">
        <v>1598</v>
      </c>
      <c r="L212" s="13" t="s">
        <v>1521</v>
      </c>
      <c r="M212" s="13" t="s">
        <v>1590</v>
      </c>
      <c r="N212" s="13" t="s">
        <v>1450</v>
      </c>
      <c r="O212" s="13" t="s">
        <v>1581</v>
      </c>
      <c r="P212" s="13" t="s">
        <v>1451</v>
      </c>
      <c r="Q212" s="13" t="s">
        <v>1541</v>
      </c>
      <c r="R212" s="13">
        <v>5</v>
      </c>
      <c r="S212" s="13" t="s">
        <v>1453</v>
      </c>
      <c r="T212" s="13" t="s">
        <v>1454</v>
      </c>
      <c r="U212" s="13" t="s">
        <v>1406</v>
      </c>
      <c r="V212" s="13">
        <v>13</v>
      </c>
      <c r="W212" s="13" t="b">
        <v>1</v>
      </c>
      <c r="X212" s="13">
        <v>240806</v>
      </c>
      <c r="Y212" s="13" t="s">
        <v>1405</v>
      </c>
      <c r="Z212" s="13">
        <v>0</v>
      </c>
      <c r="AA212" s="13">
        <v>0</v>
      </c>
      <c r="AB212" s="13" t="s">
        <v>1405</v>
      </c>
      <c r="AC212" s="13" t="s">
        <v>1405</v>
      </c>
      <c r="AD212" s="13">
        <v>0</v>
      </c>
      <c r="AE212" s="13" t="s">
        <v>1405</v>
      </c>
      <c r="AF212" s="13" t="s">
        <v>1405</v>
      </c>
    </row>
    <row r="213" spans="1:32" x14ac:dyDescent="0.2">
      <c r="A213" s="3" t="s">
        <v>2069</v>
      </c>
      <c r="B213" s="14" t="s">
        <v>1497</v>
      </c>
      <c r="C213" s="6">
        <v>212</v>
      </c>
      <c r="D213" s="14">
        <v>42</v>
      </c>
      <c r="E213" s="14" t="s">
        <v>1457</v>
      </c>
      <c r="F213" s="15" t="s">
        <v>1445</v>
      </c>
      <c r="G213" s="14" t="s">
        <v>1458</v>
      </c>
      <c r="H213" s="14" t="s">
        <v>83</v>
      </c>
      <c r="I213" s="14" t="s">
        <v>1502</v>
      </c>
      <c r="J213" s="14" t="s">
        <v>1401</v>
      </c>
      <c r="K213" s="17" t="s">
        <v>1599</v>
      </c>
      <c r="L213" s="16" t="s">
        <v>1521</v>
      </c>
      <c r="M213" s="16" t="s">
        <v>1590</v>
      </c>
      <c r="N213" s="16" t="s">
        <v>1450</v>
      </c>
      <c r="O213" s="16" t="s">
        <v>1581</v>
      </c>
      <c r="P213" s="16" t="s">
        <v>1451</v>
      </c>
      <c r="Q213" s="16" t="s">
        <v>1541</v>
      </c>
      <c r="R213" s="16">
        <v>5</v>
      </c>
      <c r="S213" s="16" t="s">
        <v>1453</v>
      </c>
      <c r="T213" s="16" t="s">
        <v>1454</v>
      </c>
      <c r="U213" s="16" t="s">
        <v>1406</v>
      </c>
      <c r="V213" s="16">
        <v>13</v>
      </c>
      <c r="W213" s="16" t="b">
        <v>1</v>
      </c>
      <c r="X213" s="16">
        <v>240806</v>
      </c>
      <c r="Y213" s="16" t="s">
        <v>1405</v>
      </c>
      <c r="Z213" s="16">
        <v>0</v>
      </c>
      <c r="AA213" s="16">
        <v>0</v>
      </c>
      <c r="AB213" s="16" t="s">
        <v>1405</v>
      </c>
      <c r="AC213" s="16" t="s">
        <v>1405</v>
      </c>
      <c r="AD213" s="16">
        <v>0</v>
      </c>
      <c r="AE213" s="16" t="s">
        <v>1405</v>
      </c>
      <c r="AF213" s="16" t="s">
        <v>1405</v>
      </c>
    </row>
    <row r="214" spans="1:32" x14ac:dyDescent="0.2">
      <c r="A214" s="3" t="s">
        <v>2070</v>
      </c>
      <c r="B214" s="12" t="s">
        <v>1497</v>
      </c>
      <c r="C214" s="6">
        <v>213</v>
      </c>
      <c r="D214" s="12">
        <v>43</v>
      </c>
      <c r="E214" s="12" t="s">
        <v>1444</v>
      </c>
      <c r="F214" s="12" t="s">
        <v>1445</v>
      </c>
      <c r="G214" s="12" t="s">
        <v>1446</v>
      </c>
      <c r="H214" s="12" t="s">
        <v>85</v>
      </c>
      <c r="I214" s="12" t="s">
        <v>1412</v>
      </c>
      <c r="J214" s="12" t="s">
        <v>1401</v>
      </c>
      <c r="K214" s="17" t="s">
        <v>1600</v>
      </c>
      <c r="L214" s="13" t="s">
        <v>1521</v>
      </c>
      <c r="M214" s="13" t="s">
        <v>1601</v>
      </c>
      <c r="N214" s="13" t="s">
        <v>1450</v>
      </c>
      <c r="O214" s="13" t="s">
        <v>1581</v>
      </c>
      <c r="P214" s="13" t="s">
        <v>1451</v>
      </c>
      <c r="Q214" s="13" t="s">
        <v>1398</v>
      </c>
      <c r="R214" s="13">
        <v>7</v>
      </c>
      <c r="S214" s="13" t="s">
        <v>1453</v>
      </c>
      <c r="T214" s="13" t="s">
        <v>1454</v>
      </c>
      <c r="U214" s="13" t="s">
        <v>1406</v>
      </c>
      <c r="V214" s="13">
        <v>13</v>
      </c>
      <c r="W214" s="13" t="b">
        <v>1</v>
      </c>
      <c r="X214" s="13">
        <v>240806</v>
      </c>
      <c r="Y214" s="13" t="s">
        <v>1405</v>
      </c>
      <c r="Z214" s="13">
        <v>0</v>
      </c>
      <c r="AA214" s="13">
        <v>0</v>
      </c>
      <c r="AB214" s="13" t="s">
        <v>1405</v>
      </c>
      <c r="AC214" s="13" t="s">
        <v>1405</v>
      </c>
      <c r="AD214" s="13">
        <v>0</v>
      </c>
      <c r="AE214" s="13" t="s">
        <v>1405</v>
      </c>
      <c r="AF214" s="13" t="s">
        <v>1405</v>
      </c>
    </row>
    <row r="215" spans="1:32" x14ac:dyDescent="0.2">
      <c r="A215" s="3" t="s">
        <v>2071</v>
      </c>
      <c r="B215" s="14" t="s">
        <v>1497</v>
      </c>
      <c r="C215" s="6">
        <v>214</v>
      </c>
      <c r="D215" s="14">
        <v>43</v>
      </c>
      <c r="E215" s="14" t="s">
        <v>1457</v>
      </c>
      <c r="F215" s="15" t="s">
        <v>1445</v>
      </c>
      <c r="G215" s="14" t="s">
        <v>1458</v>
      </c>
      <c r="H215" s="14" t="s">
        <v>85</v>
      </c>
      <c r="I215" s="14" t="s">
        <v>1502</v>
      </c>
      <c r="J215" s="14" t="s">
        <v>1401</v>
      </c>
      <c r="K215" s="17" t="s">
        <v>1602</v>
      </c>
      <c r="L215" s="16" t="s">
        <v>1521</v>
      </c>
      <c r="M215" s="16" t="s">
        <v>1601</v>
      </c>
      <c r="N215" s="16" t="s">
        <v>1450</v>
      </c>
      <c r="O215" s="16" t="s">
        <v>1581</v>
      </c>
      <c r="P215" s="16" t="s">
        <v>1451</v>
      </c>
      <c r="Q215" s="16" t="s">
        <v>1398</v>
      </c>
      <c r="R215" s="16">
        <v>7</v>
      </c>
      <c r="S215" s="16" t="s">
        <v>1453</v>
      </c>
      <c r="T215" s="16" t="s">
        <v>1454</v>
      </c>
      <c r="U215" s="16" t="s">
        <v>1406</v>
      </c>
      <c r="V215" s="16">
        <v>13</v>
      </c>
      <c r="W215" s="16" t="b">
        <v>1</v>
      </c>
      <c r="X215" s="16">
        <v>240806</v>
      </c>
      <c r="Y215" s="16" t="s">
        <v>1405</v>
      </c>
      <c r="Z215" s="16">
        <v>0</v>
      </c>
      <c r="AA215" s="16">
        <v>0</v>
      </c>
      <c r="AB215" s="16" t="s">
        <v>1405</v>
      </c>
      <c r="AC215" s="16" t="s">
        <v>1405</v>
      </c>
      <c r="AD215" s="16">
        <v>0</v>
      </c>
      <c r="AE215" s="16" t="s">
        <v>1405</v>
      </c>
      <c r="AF215" s="16" t="s">
        <v>1405</v>
      </c>
    </row>
    <row r="216" spans="1:32" x14ac:dyDescent="0.2">
      <c r="A216" s="3" t="s">
        <v>2072</v>
      </c>
      <c r="B216" s="12" t="s">
        <v>1497</v>
      </c>
      <c r="C216" s="6">
        <v>215</v>
      </c>
      <c r="D216" s="12">
        <v>44</v>
      </c>
      <c r="E216" s="12" t="s">
        <v>1444</v>
      </c>
      <c r="F216" s="12" t="s">
        <v>1445</v>
      </c>
      <c r="G216" s="12" t="s">
        <v>1446</v>
      </c>
      <c r="H216" s="12" t="s">
        <v>86</v>
      </c>
      <c r="I216" s="12" t="s">
        <v>1412</v>
      </c>
      <c r="J216" s="12" t="s">
        <v>1401</v>
      </c>
      <c r="K216" s="17" t="s">
        <v>1603</v>
      </c>
      <c r="L216" s="13" t="s">
        <v>1521</v>
      </c>
      <c r="M216" s="13" t="s">
        <v>1601</v>
      </c>
      <c r="N216" s="13" t="s">
        <v>1450</v>
      </c>
      <c r="O216" s="13" t="s">
        <v>1581</v>
      </c>
      <c r="P216" s="13" t="s">
        <v>1451</v>
      </c>
      <c r="Q216" s="13" t="s">
        <v>1399</v>
      </c>
      <c r="R216" s="13">
        <v>8</v>
      </c>
      <c r="S216" s="13" t="s">
        <v>1453</v>
      </c>
      <c r="T216" s="13" t="s">
        <v>1454</v>
      </c>
      <c r="U216" s="13" t="s">
        <v>1406</v>
      </c>
      <c r="V216" s="13">
        <v>13</v>
      </c>
      <c r="W216" s="13" t="b">
        <v>1</v>
      </c>
      <c r="X216" s="13">
        <v>240806</v>
      </c>
      <c r="Y216" s="13" t="s">
        <v>1405</v>
      </c>
      <c r="Z216" s="13">
        <v>0</v>
      </c>
      <c r="AA216" s="13">
        <v>0</v>
      </c>
      <c r="AB216" s="13" t="s">
        <v>1405</v>
      </c>
      <c r="AC216" s="13" t="s">
        <v>1405</v>
      </c>
      <c r="AD216" s="13">
        <v>0</v>
      </c>
      <c r="AE216" s="13" t="s">
        <v>1405</v>
      </c>
      <c r="AF216" s="13" t="s">
        <v>1405</v>
      </c>
    </row>
    <row r="217" spans="1:32" x14ac:dyDescent="0.2">
      <c r="A217" s="3" t="s">
        <v>2073</v>
      </c>
      <c r="B217" s="14" t="s">
        <v>1497</v>
      </c>
      <c r="C217" s="6">
        <v>216</v>
      </c>
      <c r="D217" s="14">
        <v>44</v>
      </c>
      <c r="E217" s="14" t="s">
        <v>1457</v>
      </c>
      <c r="F217" s="15" t="s">
        <v>1445</v>
      </c>
      <c r="G217" s="14" t="s">
        <v>1458</v>
      </c>
      <c r="H217" s="14" t="s">
        <v>86</v>
      </c>
      <c r="I217" s="14" t="s">
        <v>1502</v>
      </c>
      <c r="J217" s="14" t="s">
        <v>1401</v>
      </c>
      <c r="K217" s="17" t="s">
        <v>1604</v>
      </c>
      <c r="L217" s="16" t="s">
        <v>1521</v>
      </c>
      <c r="M217" s="16" t="s">
        <v>1601</v>
      </c>
      <c r="N217" s="16" t="s">
        <v>1450</v>
      </c>
      <c r="O217" s="16" t="s">
        <v>1581</v>
      </c>
      <c r="P217" s="16" t="s">
        <v>1451</v>
      </c>
      <c r="Q217" s="16" t="s">
        <v>1399</v>
      </c>
      <c r="R217" s="16">
        <v>8</v>
      </c>
      <c r="S217" s="16" t="s">
        <v>1453</v>
      </c>
      <c r="T217" s="16" t="s">
        <v>1454</v>
      </c>
      <c r="U217" s="16" t="s">
        <v>1406</v>
      </c>
      <c r="V217" s="16">
        <v>13</v>
      </c>
      <c r="W217" s="16" t="b">
        <v>1</v>
      </c>
      <c r="X217" s="16">
        <v>240806</v>
      </c>
      <c r="Y217" s="16" t="s">
        <v>1405</v>
      </c>
      <c r="Z217" s="16">
        <v>0</v>
      </c>
      <c r="AA217" s="16">
        <v>0</v>
      </c>
      <c r="AB217" s="16" t="s">
        <v>1405</v>
      </c>
      <c r="AC217" s="16" t="s">
        <v>1405</v>
      </c>
      <c r="AD217" s="16">
        <v>0</v>
      </c>
      <c r="AE217" s="16" t="s">
        <v>1405</v>
      </c>
      <c r="AF217" s="16" t="s">
        <v>1405</v>
      </c>
    </row>
    <row r="218" spans="1:32" x14ac:dyDescent="0.2">
      <c r="A218" s="3" t="s">
        <v>2074</v>
      </c>
      <c r="B218" s="12" t="s">
        <v>1497</v>
      </c>
      <c r="C218" s="6">
        <v>217</v>
      </c>
      <c r="D218" s="12">
        <v>45</v>
      </c>
      <c r="E218" s="12" t="s">
        <v>1444</v>
      </c>
      <c r="F218" s="12" t="s">
        <v>1445</v>
      </c>
      <c r="G218" s="12" t="s">
        <v>1446</v>
      </c>
      <c r="H218" s="12" t="s">
        <v>87</v>
      </c>
      <c r="I218" s="12" t="s">
        <v>1412</v>
      </c>
      <c r="J218" s="12" t="s">
        <v>1401</v>
      </c>
      <c r="K218" s="17" t="s">
        <v>1605</v>
      </c>
      <c r="L218" s="13" t="s">
        <v>1521</v>
      </c>
      <c r="M218" s="13" t="s">
        <v>1601</v>
      </c>
      <c r="N218" s="13" t="s">
        <v>1450</v>
      </c>
      <c r="O218" s="13" t="s">
        <v>1581</v>
      </c>
      <c r="P218" s="13" t="s">
        <v>1451</v>
      </c>
      <c r="Q218" s="13" t="s">
        <v>1400</v>
      </c>
      <c r="R218" s="13">
        <v>9</v>
      </c>
      <c r="S218" s="13" t="s">
        <v>1453</v>
      </c>
      <c r="T218" s="13" t="s">
        <v>1454</v>
      </c>
      <c r="U218" s="13" t="s">
        <v>1406</v>
      </c>
      <c r="V218" s="13">
        <v>13</v>
      </c>
      <c r="W218" s="13" t="b">
        <v>1</v>
      </c>
      <c r="X218" s="13">
        <v>240806</v>
      </c>
      <c r="Y218" s="13" t="s">
        <v>1405</v>
      </c>
      <c r="Z218" s="13">
        <v>0</v>
      </c>
      <c r="AA218" s="13">
        <v>0</v>
      </c>
      <c r="AB218" s="13" t="s">
        <v>1405</v>
      </c>
      <c r="AC218" s="13" t="s">
        <v>1405</v>
      </c>
      <c r="AD218" s="13">
        <v>0</v>
      </c>
      <c r="AE218" s="13" t="s">
        <v>1405</v>
      </c>
      <c r="AF218" s="13" t="s">
        <v>1405</v>
      </c>
    </row>
    <row r="219" spans="1:32" x14ac:dyDescent="0.2">
      <c r="A219" s="3" t="s">
        <v>2075</v>
      </c>
      <c r="B219" s="14" t="s">
        <v>1497</v>
      </c>
      <c r="C219" s="6">
        <v>218</v>
      </c>
      <c r="D219" s="14">
        <v>45</v>
      </c>
      <c r="E219" s="14" t="s">
        <v>1457</v>
      </c>
      <c r="F219" s="15" t="s">
        <v>1445</v>
      </c>
      <c r="G219" s="14" t="s">
        <v>1458</v>
      </c>
      <c r="H219" s="14" t="s">
        <v>87</v>
      </c>
      <c r="I219" s="14" t="s">
        <v>1502</v>
      </c>
      <c r="J219" s="14" t="s">
        <v>1401</v>
      </c>
      <c r="K219" s="17" t="s">
        <v>1606</v>
      </c>
      <c r="L219" s="16" t="s">
        <v>1521</v>
      </c>
      <c r="M219" s="16" t="s">
        <v>1601</v>
      </c>
      <c r="N219" s="16" t="s">
        <v>1450</v>
      </c>
      <c r="O219" s="16" t="s">
        <v>1581</v>
      </c>
      <c r="P219" s="16" t="s">
        <v>1451</v>
      </c>
      <c r="Q219" s="16" t="s">
        <v>1400</v>
      </c>
      <c r="R219" s="16">
        <v>9</v>
      </c>
      <c r="S219" s="16" t="s">
        <v>1453</v>
      </c>
      <c r="T219" s="16" t="s">
        <v>1454</v>
      </c>
      <c r="U219" s="16" t="s">
        <v>1406</v>
      </c>
      <c r="V219" s="16">
        <v>13</v>
      </c>
      <c r="W219" s="16" t="b">
        <v>1</v>
      </c>
      <c r="X219" s="16">
        <v>240806</v>
      </c>
      <c r="Y219" s="16" t="s">
        <v>1405</v>
      </c>
      <c r="Z219" s="16">
        <v>0</v>
      </c>
      <c r="AA219" s="16">
        <v>0</v>
      </c>
      <c r="AB219" s="16" t="s">
        <v>1405</v>
      </c>
      <c r="AC219" s="16" t="s">
        <v>1405</v>
      </c>
      <c r="AD219" s="16">
        <v>0</v>
      </c>
      <c r="AE219" s="16" t="s">
        <v>1405</v>
      </c>
      <c r="AF219" s="16" t="s">
        <v>1405</v>
      </c>
    </row>
    <row r="220" spans="1:32" x14ac:dyDescent="0.2">
      <c r="A220" s="3" t="s">
        <v>2076</v>
      </c>
      <c r="B220" s="12" t="s">
        <v>1497</v>
      </c>
      <c r="C220" s="6">
        <v>219</v>
      </c>
      <c r="D220" s="12">
        <v>46</v>
      </c>
      <c r="E220" s="12" t="s">
        <v>1444</v>
      </c>
      <c r="F220" s="12" t="s">
        <v>1445</v>
      </c>
      <c r="G220" s="12" t="s">
        <v>1446</v>
      </c>
      <c r="H220" s="12" t="s">
        <v>88</v>
      </c>
      <c r="I220" s="12" t="s">
        <v>1412</v>
      </c>
      <c r="J220" s="12" t="s">
        <v>1401</v>
      </c>
      <c r="K220" s="17" t="s">
        <v>1607</v>
      </c>
      <c r="L220" s="13" t="s">
        <v>1521</v>
      </c>
      <c r="M220" s="13" t="s">
        <v>1601</v>
      </c>
      <c r="N220" s="13" t="s">
        <v>1450</v>
      </c>
      <c r="O220" s="13" t="s">
        <v>1581</v>
      </c>
      <c r="P220" s="13" t="s">
        <v>1451</v>
      </c>
      <c r="Q220" s="13" t="s">
        <v>1541</v>
      </c>
      <c r="R220" s="13">
        <v>10</v>
      </c>
      <c r="S220" s="13" t="s">
        <v>1453</v>
      </c>
      <c r="T220" s="13" t="s">
        <v>1454</v>
      </c>
      <c r="U220" s="13" t="s">
        <v>1406</v>
      </c>
      <c r="V220" s="13">
        <v>13</v>
      </c>
      <c r="W220" s="13" t="b">
        <v>1</v>
      </c>
      <c r="X220" s="13">
        <v>240806</v>
      </c>
      <c r="Y220" s="13" t="s">
        <v>1405</v>
      </c>
      <c r="Z220" s="13">
        <v>0</v>
      </c>
      <c r="AA220" s="13">
        <v>0</v>
      </c>
      <c r="AB220" s="13" t="s">
        <v>1405</v>
      </c>
      <c r="AC220" s="13" t="s">
        <v>1405</v>
      </c>
      <c r="AD220" s="13">
        <v>0</v>
      </c>
      <c r="AE220" s="13" t="s">
        <v>1405</v>
      </c>
      <c r="AF220" s="13" t="s">
        <v>1405</v>
      </c>
    </row>
    <row r="221" spans="1:32" x14ac:dyDescent="0.2">
      <c r="A221" s="3" t="s">
        <v>2077</v>
      </c>
      <c r="B221" s="14" t="s">
        <v>1497</v>
      </c>
      <c r="C221" s="6">
        <v>220</v>
      </c>
      <c r="D221" s="14">
        <v>46</v>
      </c>
      <c r="E221" s="14" t="s">
        <v>1457</v>
      </c>
      <c r="F221" s="15" t="s">
        <v>1445</v>
      </c>
      <c r="G221" s="14" t="s">
        <v>1458</v>
      </c>
      <c r="H221" s="14" t="s">
        <v>88</v>
      </c>
      <c r="I221" s="14" t="s">
        <v>1502</v>
      </c>
      <c r="J221" s="14" t="s">
        <v>1401</v>
      </c>
      <c r="K221" s="17" t="s">
        <v>1608</v>
      </c>
      <c r="L221" s="16" t="s">
        <v>1521</v>
      </c>
      <c r="M221" s="16" t="s">
        <v>1601</v>
      </c>
      <c r="N221" s="16" t="s">
        <v>1450</v>
      </c>
      <c r="O221" s="16" t="s">
        <v>1581</v>
      </c>
      <c r="P221" s="16" t="s">
        <v>1451</v>
      </c>
      <c r="Q221" s="16" t="s">
        <v>1541</v>
      </c>
      <c r="R221" s="16">
        <v>10</v>
      </c>
      <c r="S221" s="16" t="s">
        <v>1453</v>
      </c>
      <c r="T221" s="16" t="s">
        <v>1454</v>
      </c>
      <c r="U221" s="16" t="s">
        <v>1406</v>
      </c>
      <c r="V221" s="16">
        <v>13</v>
      </c>
      <c r="W221" s="16" t="b">
        <v>1</v>
      </c>
      <c r="X221" s="16">
        <v>240806</v>
      </c>
      <c r="Y221" s="16" t="s">
        <v>1405</v>
      </c>
      <c r="Z221" s="16">
        <v>0</v>
      </c>
      <c r="AA221" s="16">
        <v>0</v>
      </c>
      <c r="AB221" s="16" t="s">
        <v>1405</v>
      </c>
      <c r="AC221" s="16" t="s">
        <v>1405</v>
      </c>
      <c r="AD221" s="16">
        <v>0</v>
      </c>
      <c r="AE221" s="16" t="s">
        <v>1405</v>
      </c>
      <c r="AF221" s="16" t="s">
        <v>1405</v>
      </c>
    </row>
    <row r="222" spans="1:32" x14ac:dyDescent="0.2">
      <c r="A222" s="3" t="s">
        <v>2078</v>
      </c>
      <c r="B222" s="12" t="s">
        <v>1497</v>
      </c>
      <c r="C222" s="6">
        <v>221</v>
      </c>
      <c r="D222" s="12">
        <v>47</v>
      </c>
      <c r="E222" s="12" t="s">
        <v>1444</v>
      </c>
      <c r="F222" s="12" t="s">
        <v>1445</v>
      </c>
      <c r="G222" s="12" t="s">
        <v>1446</v>
      </c>
      <c r="H222" s="12" t="s">
        <v>89</v>
      </c>
      <c r="I222" s="12" t="s">
        <v>1412</v>
      </c>
      <c r="J222" s="12" t="s">
        <v>1401</v>
      </c>
      <c r="K222" s="17" t="s">
        <v>1609</v>
      </c>
      <c r="L222" s="13" t="s">
        <v>1521</v>
      </c>
      <c r="M222" s="13" t="s">
        <v>1610</v>
      </c>
      <c r="N222" s="13" t="s">
        <v>1450</v>
      </c>
      <c r="O222" s="13" t="s">
        <v>1581</v>
      </c>
      <c r="P222" s="13" t="s">
        <v>1451</v>
      </c>
      <c r="Q222" s="13" t="s">
        <v>1396</v>
      </c>
      <c r="R222" s="13">
        <v>11</v>
      </c>
      <c r="S222" s="13" t="s">
        <v>1453</v>
      </c>
      <c r="T222" s="13" t="s">
        <v>1454</v>
      </c>
      <c r="U222" s="13" t="s">
        <v>1406</v>
      </c>
      <c r="V222" s="13">
        <v>13</v>
      </c>
      <c r="W222" s="13" t="b">
        <v>1</v>
      </c>
      <c r="X222" s="13">
        <v>240806</v>
      </c>
      <c r="Y222" s="13" t="s">
        <v>1405</v>
      </c>
      <c r="Z222" s="13">
        <v>0</v>
      </c>
      <c r="AA222" s="13">
        <v>0</v>
      </c>
      <c r="AB222" s="13" t="s">
        <v>1405</v>
      </c>
      <c r="AC222" s="13" t="s">
        <v>1405</v>
      </c>
      <c r="AD222" s="13">
        <v>0</v>
      </c>
      <c r="AE222" s="13" t="s">
        <v>1405</v>
      </c>
      <c r="AF222" s="13" t="s">
        <v>1405</v>
      </c>
    </row>
    <row r="223" spans="1:32" x14ac:dyDescent="0.2">
      <c r="A223" s="3" t="s">
        <v>2079</v>
      </c>
      <c r="B223" s="14" t="s">
        <v>1497</v>
      </c>
      <c r="C223" s="6">
        <v>222</v>
      </c>
      <c r="D223" s="14">
        <v>47</v>
      </c>
      <c r="E223" s="14" t="s">
        <v>1457</v>
      </c>
      <c r="F223" s="15" t="s">
        <v>1445</v>
      </c>
      <c r="G223" s="14" t="s">
        <v>1458</v>
      </c>
      <c r="H223" s="14" t="s">
        <v>89</v>
      </c>
      <c r="I223" s="14" t="s">
        <v>1502</v>
      </c>
      <c r="J223" s="14" t="s">
        <v>1401</v>
      </c>
      <c r="K223" s="17" t="s">
        <v>1611</v>
      </c>
      <c r="L223" s="16" t="s">
        <v>1521</v>
      </c>
      <c r="M223" s="16" t="s">
        <v>1610</v>
      </c>
      <c r="N223" s="16" t="s">
        <v>1450</v>
      </c>
      <c r="O223" s="16" t="s">
        <v>1581</v>
      </c>
      <c r="P223" s="16" t="s">
        <v>1451</v>
      </c>
      <c r="Q223" s="16" t="s">
        <v>1396</v>
      </c>
      <c r="R223" s="16">
        <v>11</v>
      </c>
      <c r="S223" s="16" t="s">
        <v>1453</v>
      </c>
      <c r="T223" s="16" t="s">
        <v>1454</v>
      </c>
      <c r="U223" s="16" t="s">
        <v>1406</v>
      </c>
      <c r="V223" s="16">
        <v>13</v>
      </c>
      <c r="W223" s="16" t="b">
        <v>1</v>
      </c>
      <c r="X223" s="16">
        <v>240806</v>
      </c>
      <c r="Y223" s="16" t="s">
        <v>1405</v>
      </c>
      <c r="Z223" s="16">
        <v>0</v>
      </c>
      <c r="AA223" s="16">
        <v>0</v>
      </c>
      <c r="AB223" s="16" t="s">
        <v>1405</v>
      </c>
      <c r="AC223" s="16" t="s">
        <v>1405</v>
      </c>
      <c r="AD223" s="16">
        <v>0</v>
      </c>
      <c r="AE223" s="16" t="s">
        <v>1405</v>
      </c>
      <c r="AF223" s="16" t="s">
        <v>1405</v>
      </c>
    </row>
    <row r="224" spans="1:32" x14ac:dyDescent="0.2">
      <c r="A224" s="3" t="s">
        <v>2080</v>
      </c>
      <c r="B224" s="12" t="s">
        <v>1497</v>
      </c>
      <c r="C224" s="6">
        <v>223</v>
      </c>
      <c r="D224" s="12">
        <v>48</v>
      </c>
      <c r="E224" s="12" t="s">
        <v>1444</v>
      </c>
      <c r="F224" s="12" t="s">
        <v>1445</v>
      </c>
      <c r="G224" s="12" t="s">
        <v>1446</v>
      </c>
      <c r="H224" s="12" t="s">
        <v>90</v>
      </c>
      <c r="I224" s="12" t="s">
        <v>1412</v>
      </c>
      <c r="J224" s="12" t="s">
        <v>1401</v>
      </c>
      <c r="K224" s="17" t="s">
        <v>1612</v>
      </c>
      <c r="L224" s="13" t="s">
        <v>1521</v>
      </c>
      <c r="M224" s="13" t="s">
        <v>1610</v>
      </c>
      <c r="N224" s="13" t="s">
        <v>1450</v>
      </c>
      <c r="O224" s="13" t="s">
        <v>1581</v>
      </c>
      <c r="P224" s="13" t="s">
        <v>1451</v>
      </c>
      <c r="Q224" s="13" t="s">
        <v>1398</v>
      </c>
      <c r="R224" s="13">
        <v>12</v>
      </c>
      <c r="S224" s="13" t="s">
        <v>1453</v>
      </c>
      <c r="T224" s="13" t="s">
        <v>1454</v>
      </c>
      <c r="U224" s="13" t="s">
        <v>1406</v>
      </c>
      <c r="V224" s="13">
        <v>13</v>
      </c>
      <c r="W224" s="13" t="b">
        <v>1</v>
      </c>
      <c r="X224" s="13">
        <v>240806</v>
      </c>
      <c r="Y224" s="13" t="s">
        <v>1405</v>
      </c>
      <c r="Z224" s="13">
        <v>0</v>
      </c>
      <c r="AA224" s="13">
        <v>0</v>
      </c>
      <c r="AB224" s="13" t="s">
        <v>1405</v>
      </c>
      <c r="AC224" s="13" t="s">
        <v>1405</v>
      </c>
      <c r="AD224" s="13">
        <v>0</v>
      </c>
      <c r="AE224" s="13" t="s">
        <v>1405</v>
      </c>
      <c r="AF224" s="13" t="s">
        <v>1405</v>
      </c>
    </row>
    <row r="225" spans="1:32" x14ac:dyDescent="0.2">
      <c r="A225" s="3" t="s">
        <v>2081</v>
      </c>
      <c r="B225" s="14" t="s">
        <v>1497</v>
      </c>
      <c r="C225" s="6">
        <v>224</v>
      </c>
      <c r="D225" s="14">
        <v>48</v>
      </c>
      <c r="E225" s="14" t="s">
        <v>1457</v>
      </c>
      <c r="F225" s="15" t="s">
        <v>1445</v>
      </c>
      <c r="G225" s="14" t="s">
        <v>1458</v>
      </c>
      <c r="H225" s="14" t="s">
        <v>90</v>
      </c>
      <c r="I225" s="14" t="s">
        <v>1502</v>
      </c>
      <c r="J225" s="14" t="s">
        <v>1401</v>
      </c>
      <c r="K225" s="17" t="s">
        <v>1613</v>
      </c>
      <c r="L225" s="16" t="s">
        <v>1521</v>
      </c>
      <c r="M225" s="16" t="s">
        <v>1610</v>
      </c>
      <c r="N225" s="16" t="s">
        <v>1450</v>
      </c>
      <c r="O225" s="16" t="s">
        <v>1581</v>
      </c>
      <c r="P225" s="16" t="s">
        <v>1451</v>
      </c>
      <c r="Q225" s="16" t="s">
        <v>1398</v>
      </c>
      <c r="R225" s="16">
        <v>12</v>
      </c>
      <c r="S225" s="16" t="s">
        <v>1453</v>
      </c>
      <c r="T225" s="16" t="s">
        <v>1454</v>
      </c>
      <c r="U225" s="16" t="s">
        <v>1406</v>
      </c>
      <c r="V225" s="16">
        <v>13</v>
      </c>
      <c r="W225" s="16" t="b">
        <v>1</v>
      </c>
      <c r="X225" s="16">
        <v>240806</v>
      </c>
      <c r="Y225" s="16" t="s">
        <v>1405</v>
      </c>
      <c r="Z225" s="16">
        <v>0</v>
      </c>
      <c r="AA225" s="16">
        <v>0</v>
      </c>
      <c r="AB225" s="16" t="s">
        <v>1405</v>
      </c>
      <c r="AC225" s="16" t="s">
        <v>1405</v>
      </c>
      <c r="AD225" s="16">
        <v>0</v>
      </c>
      <c r="AE225" s="16" t="s">
        <v>1405</v>
      </c>
      <c r="AF225" s="16" t="s">
        <v>1405</v>
      </c>
    </row>
    <row r="226" spans="1:32" x14ac:dyDescent="0.2">
      <c r="A226" s="3" t="s">
        <v>2082</v>
      </c>
      <c r="B226" s="12" t="s">
        <v>1497</v>
      </c>
      <c r="C226" s="6">
        <v>225</v>
      </c>
      <c r="D226" s="12">
        <v>49</v>
      </c>
      <c r="E226" s="12" t="s">
        <v>1444</v>
      </c>
      <c r="F226" s="12" t="s">
        <v>1445</v>
      </c>
      <c r="G226" s="12" t="s">
        <v>1446</v>
      </c>
      <c r="H226" s="12" t="s">
        <v>92</v>
      </c>
      <c r="I226" s="12" t="s">
        <v>1412</v>
      </c>
      <c r="J226" s="12" t="s">
        <v>1401</v>
      </c>
      <c r="K226" s="17" t="s">
        <v>1614</v>
      </c>
      <c r="L226" s="13" t="s">
        <v>1521</v>
      </c>
      <c r="M226" s="13" t="s">
        <v>1610</v>
      </c>
      <c r="N226" s="13" t="s">
        <v>1450</v>
      </c>
      <c r="O226" s="13" t="s">
        <v>1581</v>
      </c>
      <c r="P226" s="13" t="s">
        <v>1451</v>
      </c>
      <c r="Q226" s="13" t="s">
        <v>1399</v>
      </c>
      <c r="R226" s="13">
        <v>13</v>
      </c>
      <c r="S226" s="13" t="s">
        <v>1453</v>
      </c>
      <c r="T226" s="13" t="s">
        <v>1454</v>
      </c>
      <c r="U226" s="13" t="s">
        <v>1406</v>
      </c>
      <c r="V226" s="13">
        <v>13</v>
      </c>
      <c r="W226" s="13" t="b">
        <v>1</v>
      </c>
      <c r="X226" s="13">
        <v>240806</v>
      </c>
      <c r="Y226" s="13" t="s">
        <v>1405</v>
      </c>
      <c r="Z226" s="13">
        <v>0</v>
      </c>
      <c r="AA226" s="13">
        <v>0</v>
      </c>
      <c r="AB226" s="13" t="s">
        <v>1405</v>
      </c>
      <c r="AC226" s="13" t="s">
        <v>1405</v>
      </c>
      <c r="AD226" s="13">
        <v>0</v>
      </c>
      <c r="AE226" s="13" t="s">
        <v>1405</v>
      </c>
      <c r="AF226" s="13" t="s">
        <v>1405</v>
      </c>
    </row>
    <row r="227" spans="1:32" x14ac:dyDescent="0.2">
      <c r="A227" s="3" t="s">
        <v>2083</v>
      </c>
      <c r="B227" s="14" t="s">
        <v>1497</v>
      </c>
      <c r="C227" s="6">
        <v>226</v>
      </c>
      <c r="D227" s="14">
        <v>49</v>
      </c>
      <c r="E227" s="14" t="s">
        <v>1457</v>
      </c>
      <c r="F227" s="15" t="s">
        <v>1445</v>
      </c>
      <c r="G227" s="14" t="s">
        <v>1458</v>
      </c>
      <c r="H227" s="14" t="s">
        <v>92</v>
      </c>
      <c r="I227" s="14" t="s">
        <v>1502</v>
      </c>
      <c r="J227" s="14" t="s">
        <v>1401</v>
      </c>
      <c r="K227" s="17" t="s">
        <v>1615</v>
      </c>
      <c r="L227" s="16" t="s">
        <v>1521</v>
      </c>
      <c r="M227" s="16" t="s">
        <v>1610</v>
      </c>
      <c r="N227" s="16" t="s">
        <v>1450</v>
      </c>
      <c r="O227" s="16" t="s">
        <v>1581</v>
      </c>
      <c r="P227" s="16" t="s">
        <v>1451</v>
      </c>
      <c r="Q227" s="16" t="s">
        <v>1399</v>
      </c>
      <c r="R227" s="16">
        <v>13</v>
      </c>
      <c r="S227" s="16" t="s">
        <v>1453</v>
      </c>
      <c r="T227" s="16" t="s">
        <v>1454</v>
      </c>
      <c r="U227" s="16" t="s">
        <v>1406</v>
      </c>
      <c r="V227" s="16">
        <v>13</v>
      </c>
      <c r="W227" s="16" t="b">
        <v>1</v>
      </c>
      <c r="X227" s="16">
        <v>240806</v>
      </c>
      <c r="Y227" s="16" t="s">
        <v>1405</v>
      </c>
      <c r="Z227" s="16">
        <v>0</v>
      </c>
      <c r="AA227" s="16">
        <v>0</v>
      </c>
      <c r="AB227" s="16" t="s">
        <v>1405</v>
      </c>
      <c r="AC227" s="16" t="s">
        <v>1405</v>
      </c>
      <c r="AD227" s="16">
        <v>0</v>
      </c>
      <c r="AE227" s="16" t="s">
        <v>1405</v>
      </c>
      <c r="AF227" s="16" t="s">
        <v>1405</v>
      </c>
    </row>
    <row r="228" spans="1:32" x14ac:dyDescent="0.2">
      <c r="A228" s="3" t="s">
        <v>2084</v>
      </c>
      <c r="B228" s="12" t="s">
        <v>1497</v>
      </c>
      <c r="C228" s="6">
        <v>227</v>
      </c>
      <c r="D228" s="12">
        <v>50</v>
      </c>
      <c r="E228" s="12" t="s">
        <v>1444</v>
      </c>
      <c r="F228" s="12" t="s">
        <v>1445</v>
      </c>
      <c r="G228" s="12" t="s">
        <v>1446</v>
      </c>
      <c r="H228" s="12" t="s">
        <v>93</v>
      </c>
      <c r="I228" s="12" t="s">
        <v>1412</v>
      </c>
      <c r="J228" s="12" t="s">
        <v>1401</v>
      </c>
      <c r="K228" s="17" t="s">
        <v>1616</v>
      </c>
      <c r="L228" s="13" t="s">
        <v>1521</v>
      </c>
      <c r="M228" s="13" t="s">
        <v>1610</v>
      </c>
      <c r="N228" s="13" t="s">
        <v>1450</v>
      </c>
      <c r="O228" s="13" t="s">
        <v>1581</v>
      </c>
      <c r="P228" s="13" t="s">
        <v>1451</v>
      </c>
      <c r="Q228" s="13" t="s">
        <v>1400</v>
      </c>
      <c r="R228" s="13">
        <v>14</v>
      </c>
      <c r="S228" s="13" t="s">
        <v>1453</v>
      </c>
      <c r="T228" s="13" t="s">
        <v>1454</v>
      </c>
      <c r="U228" s="13" t="s">
        <v>1406</v>
      </c>
      <c r="V228" s="13">
        <v>13</v>
      </c>
      <c r="W228" s="13" t="b">
        <v>1</v>
      </c>
      <c r="X228" s="13">
        <v>240806</v>
      </c>
      <c r="Y228" s="13" t="s">
        <v>1405</v>
      </c>
      <c r="Z228" s="13">
        <v>0</v>
      </c>
      <c r="AA228" s="13">
        <v>0</v>
      </c>
      <c r="AB228" s="13" t="s">
        <v>1405</v>
      </c>
      <c r="AC228" s="13" t="s">
        <v>1405</v>
      </c>
      <c r="AD228" s="13">
        <v>0</v>
      </c>
      <c r="AE228" s="13" t="s">
        <v>1405</v>
      </c>
      <c r="AF228" s="13" t="s">
        <v>1405</v>
      </c>
    </row>
    <row r="229" spans="1:32" x14ac:dyDescent="0.2">
      <c r="A229" s="3" t="s">
        <v>2085</v>
      </c>
      <c r="B229" s="14" t="s">
        <v>1497</v>
      </c>
      <c r="C229" s="6">
        <v>228</v>
      </c>
      <c r="D229" s="14">
        <v>50</v>
      </c>
      <c r="E229" s="14" t="s">
        <v>1457</v>
      </c>
      <c r="F229" s="15" t="s">
        <v>1445</v>
      </c>
      <c r="G229" s="14" t="s">
        <v>1458</v>
      </c>
      <c r="H229" s="14" t="s">
        <v>93</v>
      </c>
      <c r="I229" s="14" t="s">
        <v>1502</v>
      </c>
      <c r="J229" s="14" t="s">
        <v>1401</v>
      </c>
      <c r="K229" s="17" t="s">
        <v>1617</v>
      </c>
      <c r="L229" s="16" t="s">
        <v>1521</v>
      </c>
      <c r="M229" s="16" t="s">
        <v>1610</v>
      </c>
      <c r="N229" s="16" t="s">
        <v>1450</v>
      </c>
      <c r="O229" s="16" t="s">
        <v>1581</v>
      </c>
      <c r="P229" s="16" t="s">
        <v>1451</v>
      </c>
      <c r="Q229" s="16" t="s">
        <v>1400</v>
      </c>
      <c r="R229" s="16">
        <v>14</v>
      </c>
      <c r="S229" s="16" t="s">
        <v>1453</v>
      </c>
      <c r="T229" s="16" t="s">
        <v>1454</v>
      </c>
      <c r="U229" s="16" t="s">
        <v>1406</v>
      </c>
      <c r="V229" s="16">
        <v>13</v>
      </c>
      <c r="W229" s="16" t="b">
        <v>1</v>
      </c>
      <c r="X229" s="16">
        <v>240806</v>
      </c>
      <c r="Y229" s="16" t="s">
        <v>1405</v>
      </c>
      <c r="Z229" s="16">
        <v>0</v>
      </c>
      <c r="AA229" s="16">
        <v>0</v>
      </c>
      <c r="AB229" s="16" t="s">
        <v>1405</v>
      </c>
      <c r="AC229" s="16" t="s">
        <v>1405</v>
      </c>
      <c r="AD229" s="16">
        <v>0</v>
      </c>
      <c r="AE229" s="16" t="s">
        <v>1405</v>
      </c>
      <c r="AF229" s="16" t="s">
        <v>1405</v>
      </c>
    </row>
    <row r="230" spans="1:32" x14ac:dyDescent="0.2">
      <c r="A230" s="3" t="s">
        <v>2086</v>
      </c>
      <c r="B230" s="12" t="s">
        <v>1497</v>
      </c>
      <c r="C230" s="6">
        <v>229</v>
      </c>
      <c r="D230" s="12">
        <v>51</v>
      </c>
      <c r="E230" s="12" t="s">
        <v>1444</v>
      </c>
      <c r="F230" s="12" t="s">
        <v>1445</v>
      </c>
      <c r="G230" s="12" t="s">
        <v>1446</v>
      </c>
      <c r="H230" s="12" t="s">
        <v>94</v>
      </c>
      <c r="I230" s="12" t="s">
        <v>1412</v>
      </c>
      <c r="J230" s="12" t="s">
        <v>1401</v>
      </c>
      <c r="K230" s="17" t="s">
        <v>1618</v>
      </c>
      <c r="L230" s="13" t="s">
        <v>1521</v>
      </c>
      <c r="M230" s="13" t="s">
        <v>1610</v>
      </c>
      <c r="N230" s="13" t="s">
        <v>1450</v>
      </c>
      <c r="O230" s="13" t="s">
        <v>1581</v>
      </c>
      <c r="P230" s="13" t="s">
        <v>1451</v>
      </c>
      <c r="Q230" s="13" t="s">
        <v>1541</v>
      </c>
      <c r="R230" s="13">
        <v>15</v>
      </c>
      <c r="S230" s="13" t="s">
        <v>1453</v>
      </c>
      <c r="T230" s="13" t="s">
        <v>1454</v>
      </c>
      <c r="U230" s="13" t="s">
        <v>1406</v>
      </c>
      <c r="V230" s="13">
        <v>13</v>
      </c>
      <c r="W230" s="13" t="b">
        <v>1</v>
      </c>
      <c r="X230" s="13">
        <v>240806</v>
      </c>
      <c r="Y230" s="13" t="s">
        <v>1405</v>
      </c>
      <c r="Z230" s="13">
        <v>0</v>
      </c>
      <c r="AA230" s="13">
        <v>0</v>
      </c>
      <c r="AB230" s="13" t="s">
        <v>1405</v>
      </c>
      <c r="AC230" s="13" t="s">
        <v>1405</v>
      </c>
      <c r="AD230" s="13">
        <v>0</v>
      </c>
      <c r="AE230" s="13" t="s">
        <v>1405</v>
      </c>
      <c r="AF230" s="13" t="s">
        <v>1405</v>
      </c>
    </row>
    <row r="231" spans="1:32" x14ac:dyDescent="0.2">
      <c r="A231" s="3" t="s">
        <v>2087</v>
      </c>
      <c r="B231" s="14" t="s">
        <v>1497</v>
      </c>
      <c r="C231" s="6">
        <v>230</v>
      </c>
      <c r="D231" s="14">
        <v>51</v>
      </c>
      <c r="E231" s="14" t="s">
        <v>1457</v>
      </c>
      <c r="F231" s="15" t="s">
        <v>1445</v>
      </c>
      <c r="G231" s="14" t="s">
        <v>1458</v>
      </c>
      <c r="H231" s="14" t="s">
        <v>94</v>
      </c>
      <c r="I231" s="14" t="s">
        <v>1502</v>
      </c>
      <c r="J231" s="14" t="s">
        <v>1401</v>
      </c>
      <c r="K231" s="17" t="s">
        <v>1619</v>
      </c>
      <c r="L231" s="16" t="s">
        <v>1521</v>
      </c>
      <c r="M231" s="16" t="s">
        <v>1610</v>
      </c>
      <c r="N231" s="16" t="s">
        <v>1450</v>
      </c>
      <c r="O231" s="16" t="s">
        <v>1581</v>
      </c>
      <c r="P231" s="16" t="s">
        <v>1451</v>
      </c>
      <c r="Q231" s="16" t="s">
        <v>1541</v>
      </c>
      <c r="R231" s="16">
        <v>15</v>
      </c>
      <c r="S231" s="16" t="s">
        <v>1453</v>
      </c>
      <c r="T231" s="16" t="s">
        <v>1454</v>
      </c>
      <c r="U231" s="16" t="s">
        <v>1406</v>
      </c>
      <c r="V231" s="16">
        <v>13</v>
      </c>
      <c r="W231" s="16" t="b">
        <v>1</v>
      </c>
      <c r="X231" s="16">
        <v>240806</v>
      </c>
      <c r="Y231" s="16" t="s">
        <v>1405</v>
      </c>
      <c r="Z231" s="16">
        <v>0</v>
      </c>
      <c r="AA231" s="16">
        <v>0</v>
      </c>
      <c r="AB231" s="16" t="s">
        <v>1405</v>
      </c>
      <c r="AC231" s="16" t="s">
        <v>1405</v>
      </c>
      <c r="AD231" s="16">
        <v>0</v>
      </c>
      <c r="AE231" s="16" t="s">
        <v>1405</v>
      </c>
      <c r="AF231" s="16" t="s">
        <v>1405</v>
      </c>
    </row>
    <row r="232" spans="1:32" x14ac:dyDescent="0.2">
      <c r="A232" s="3" t="s">
        <v>2088</v>
      </c>
      <c r="B232" s="12" t="s">
        <v>1497</v>
      </c>
      <c r="C232" s="6">
        <v>231</v>
      </c>
      <c r="D232" s="12">
        <v>52</v>
      </c>
      <c r="E232" s="12" t="s">
        <v>1444</v>
      </c>
      <c r="F232" s="12" t="s">
        <v>1445</v>
      </c>
      <c r="G232" s="12" t="s">
        <v>1446</v>
      </c>
      <c r="H232" s="12" t="s">
        <v>95</v>
      </c>
      <c r="I232" s="12" t="s">
        <v>1412</v>
      </c>
      <c r="J232" s="12" t="s">
        <v>1402</v>
      </c>
      <c r="K232" s="17" t="s">
        <v>1498</v>
      </c>
      <c r="L232" s="13" t="s">
        <v>1499</v>
      </c>
      <c r="M232" s="13" t="s">
        <v>1500</v>
      </c>
      <c r="N232" s="13" t="s">
        <v>1450</v>
      </c>
      <c r="O232" s="13" t="s">
        <v>1501</v>
      </c>
      <c r="P232" s="13" t="s">
        <v>1451</v>
      </c>
      <c r="Q232" s="13" t="s">
        <v>1396</v>
      </c>
      <c r="R232" s="13">
        <v>1</v>
      </c>
      <c r="S232" s="13" t="s">
        <v>1453</v>
      </c>
      <c r="T232" s="13" t="s">
        <v>1454</v>
      </c>
      <c r="U232" s="13" t="s">
        <v>1406</v>
      </c>
      <c r="V232" s="13">
        <v>13</v>
      </c>
      <c r="W232" s="13" t="b">
        <v>1</v>
      </c>
      <c r="X232" s="13">
        <v>240806</v>
      </c>
      <c r="Y232" s="13" t="s">
        <v>1405</v>
      </c>
      <c r="Z232" s="13">
        <v>0</v>
      </c>
      <c r="AA232" s="13">
        <v>0</v>
      </c>
      <c r="AB232" s="13" t="s">
        <v>1405</v>
      </c>
      <c r="AC232" s="13" t="s">
        <v>1405</v>
      </c>
      <c r="AD232" s="13">
        <v>0</v>
      </c>
      <c r="AE232" s="13" t="s">
        <v>1405</v>
      </c>
      <c r="AF232" s="13" t="s">
        <v>1405</v>
      </c>
    </row>
    <row r="233" spans="1:32" x14ac:dyDescent="0.2">
      <c r="A233" s="3" t="s">
        <v>2089</v>
      </c>
      <c r="B233" s="14" t="s">
        <v>1497</v>
      </c>
      <c r="C233" s="6">
        <v>232</v>
      </c>
      <c r="D233" s="14">
        <v>52</v>
      </c>
      <c r="E233" s="14" t="s">
        <v>1457</v>
      </c>
      <c r="F233" s="15" t="s">
        <v>1445</v>
      </c>
      <c r="G233" s="14" t="s">
        <v>1458</v>
      </c>
      <c r="H233" s="14" t="s">
        <v>95</v>
      </c>
      <c r="I233" s="14" t="s">
        <v>1502</v>
      </c>
      <c r="J233" s="14" t="s">
        <v>1402</v>
      </c>
      <c r="K233" s="17" t="s">
        <v>1503</v>
      </c>
      <c r="L233" s="16" t="s">
        <v>1499</v>
      </c>
      <c r="M233" s="16" t="s">
        <v>1500</v>
      </c>
      <c r="N233" s="16" t="s">
        <v>1450</v>
      </c>
      <c r="O233" s="16" t="s">
        <v>1501</v>
      </c>
      <c r="P233" s="16" t="s">
        <v>1451</v>
      </c>
      <c r="Q233" s="16" t="s">
        <v>1396</v>
      </c>
      <c r="R233" s="16">
        <v>1</v>
      </c>
      <c r="S233" s="16" t="s">
        <v>1453</v>
      </c>
      <c r="T233" s="16" t="s">
        <v>1454</v>
      </c>
      <c r="U233" s="16" t="s">
        <v>1406</v>
      </c>
      <c r="V233" s="16">
        <v>13</v>
      </c>
      <c r="W233" s="16" t="b">
        <v>1</v>
      </c>
      <c r="X233" s="16">
        <v>240806</v>
      </c>
      <c r="Y233" s="16" t="s">
        <v>1405</v>
      </c>
      <c r="Z233" s="16">
        <v>0</v>
      </c>
      <c r="AA233" s="16">
        <v>0</v>
      </c>
      <c r="AB233" s="16" t="s">
        <v>1405</v>
      </c>
      <c r="AC233" s="16" t="s">
        <v>1405</v>
      </c>
      <c r="AD233" s="16">
        <v>0</v>
      </c>
      <c r="AE233" s="16" t="s">
        <v>1405</v>
      </c>
      <c r="AF233" s="16" t="s">
        <v>1405</v>
      </c>
    </row>
    <row r="234" spans="1:32" x14ac:dyDescent="0.2">
      <c r="A234" s="3" t="s">
        <v>2090</v>
      </c>
      <c r="B234" s="12" t="s">
        <v>1497</v>
      </c>
      <c r="C234" s="6">
        <v>233</v>
      </c>
      <c r="D234" s="12">
        <v>53</v>
      </c>
      <c r="E234" s="12" t="s">
        <v>1444</v>
      </c>
      <c r="F234" s="12" t="s">
        <v>1445</v>
      </c>
      <c r="G234" s="12" t="s">
        <v>1446</v>
      </c>
      <c r="H234" s="12" t="s">
        <v>96</v>
      </c>
      <c r="I234" s="12" t="s">
        <v>1412</v>
      </c>
      <c r="J234" s="12" t="s">
        <v>1402</v>
      </c>
      <c r="K234" s="17" t="s">
        <v>1504</v>
      </c>
      <c r="L234" s="13" t="s">
        <v>1499</v>
      </c>
      <c r="M234" s="13" t="s">
        <v>1500</v>
      </c>
      <c r="N234" s="13" t="s">
        <v>1450</v>
      </c>
      <c r="O234" s="13" t="s">
        <v>1501</v>
      </c>
      <c r="P234" s="13" t="s">
        <v>1451</v>
      </c>
      <c r="Q234" s="13" t="s">
        <v>1398</v>
      </c>
      <c r="R234" s="13">
        <v>2</v>
      </c>
      <c r="S234" s="13" t="s">
        <v>1453</v>
      </c>
      <c r="T234" s="13" t="s">
        <v>1454</v>
      </c>
      <c r="U234" s="13" t="s">
        <v>1406</v>
      </c>
      <c r="V234" s="13">
        <v>13</v>
      </c>
      <c r="W234" s="13" t="b">
        <v>1</v>
      </c>
      <c r="X234" s="13">
        <v>240806</v>
      </c>
      <c r="Y234" s="13" t="s">
        <v>1405</v>
      </c>
      <c r="Z234" s="13">
        <v>0</v>
      </c>
      <c r="AA234" s="13">
        <v>0</v>
      </c>
      <c r="AB234" s="13" t="s">
        <v>1405</v>
      </c>
      <c r="AC234" s="13" t="s">
        <v>1405</v>
      </c>
      <c r="AD234" s="13">
        <v>0</v>
      </c>
      <c r="AE234" s="13" t="s">
        <v>1405</v>
      </c>
      <c r="AF234" s="13" t="s">
        <v>1405</v>
      </c>
    </row>
    <row r="235" spans="1:32" x14ac:dyDescent="0.2">
      <c r="A235" s="3" t="s">
        <v>2091</v>
      </c>
      <c r="B235" s="14" t="s">
        <v>1497</v>
      </c>
      <c r="C235" s="6">
        <v>234</v>
      </c>
      <c r="D235" s="14">
        <v>53</v>
      </c>
      <c r="E235" s="14" t="s">
        <v>1457</v>
      </c>
      <c r="F235" s="15" t="s">
        <v>1445</v>
      </c>
      <c r="G235" s="14" t="s">
        <v>1458</v>
      </c>
      <c r="H235" s="14" t="s">
        <v>96</v>
      </c>
      <c r="I235" s="14" t="s">
        <v>1502</v>
      </c>
      <c r="J235" s="14" t="s">
        <v>1402</v>
      </c>
      <c r="K235" s="17" t="s">
        <v>1505</v>
      </c>
      <c r="L235" s="16" t="s">
        <v>1499</v>
      </c>
      <c r="M235" s="16" t="s">
        <v>1500</v>
      </c>
      <c r="N235" s="16" t="s">
        <v>1450</v>
      </c>
      <c r="O235" s="16" t="s">
        <v>1501</v>
      </c>
      <c r="P235" s="16" t="s">
        <v>1451</v>
      </c>
      <c r="Q235" s="16" t="s">
        <v>1398</v>
      </c>
      <c r="R235" s="16">
        <v>2</v>
      </c>
      <c r="S235" s="16" t="s">
        <v>1453</v>
      </c>
      <c r="T235" s="16" t="s">
        <v>1454</v>
      </c>
      <c r="U235" s="16" t="s">
        <v>1406</v>
      </c>
      <c r="V235" s="16">
        <v>13</v>
      </c>
      <c r="W235" s="16" t="b">
        <v>1</v>
      </c>
      <c r="X235" s="16">
        <v>240806</v>
      </c>
      <c r="Y235" s="16" t="s">
        <v>1405</v>
      </c>
      <c r="Z235" s="16">
        <v>0</v>
      </c>
      <c r="AA235" s="16">
        <v>0</v>
      </c>
      <c r="AB235" s="16" t="s">
        <v>1405</v>
      </c>
      <c r="AC235" s="16" t="s">
        <v>1405</v>
      </c>
      <c r="AD235" s="16">
        <v>0</v>
      </c>
      <c r="AE235" s="16" t="s">
        <v>1405</v>
      </c>
      <c r="AF235" s="16" t="s">
        <v>1405</v>
      </c>
    </row>
    <row r="236" spans="1:32" x14ac:dyDescent="0.2">
      <c r="A236" s="3" t="s">
        <v>2092</v>
      </c>
      <c r="B236" s="12" t="s">
        <v>1497</v>
      </c>
      <c r="C236" s="6">
        <v>235</v>
      </c>
      <c r="D236" s="12">
        <v>54</v>
      </c>
      <c r="E236" s="12" t="s">
        <v>1444</v>
      </c>
      <c r="F236" s="12" t="s">
        <v>1445</v>
      </c>
      <c r="G236" s="12" t="s">
        <v>1446</v>
      </c>
      <c r="H236" s="12" t="s">
        <v>97</v>
      </c>
      <c r="I236" s="12" t="s">
        <v>1412</v>
      </c>
      <c r="J236" s="12" t="s">
        <v>1402</v>
      </c>
      <c r="K236" s="17" t="s">
        <v>1506</v>
      </c>
      <c r="L236" s="13" t="s">
        <v>1499</v>
      </c>
      <c r="M236" s="13" t="s">
        <v>1500</v>
      </c>
      <c r="N236" s="13" t="s">
        <v>1450</v>
      </c>
      <c r="O236" s="13" t="s">
        <v>1501</v>
      </c>
      <c r="P236" s="13" t="s">
        <v>1451</v>
      </c>
      <c r="Q236" s="13" t="s">
        <v>1399</v>
      </c>
      <c r="R236" s="13">
        <v>3</v>
      </c>
      <c r="S236" s="13" t="s">
        <v>1453</v>
      </c>
      <c r="T236" s="13" t="s">
        <v>1454</v>
      </c>
      <c r="U236" s="13" t="s">
        <v>1406</v>
      </c>
      <c r="V236" s="13">
        <v>13</v>
      </c>
      <c r="W236" s="13" t="b">
        <v>1</v>
      </c>
      <c r="X236" s="13">
        <v>240806</v>
      </c>
      <c r="Y236" s="13" t="s">
        <v>1405</v>
      </c>
      <c r="Z236" s="13">
        <v>0</v>
      </c>
      <c r="AA236" s="13">
        <v>0</v>
      </c>
      <c r="AB236" s="13" t="s">
        <v>1405</v>
      </c>
      <c r="AC236" s="13" t="s">
        <v>1405</v>
      </c>
      <c r="AD236" s="13">
        <v>0</v>
      </c>
      <c r="AE236" s="13" t="s">
        <v>1405</v>
      </c>
      <c r="AF236" s="13" t="s">
        <v>1405</v>
      </c>
    </row>
    <row r="237" spans="1:32" x14ac:dyDescent="0.2">
      <c r="A237" s="3" t="s">
        <v>2093</v>
      </c>
      <c r="B237" s="14" t="s">
        <v>1497</v>
      </c>
      <c r="C237" s="6">
        <v>236</v>
      </c>
      <c r="D237" s="14">
        <v>54</v>
      </c>
      <c r="E237" s="14" t="s">
        <v>1457</v>
      </c>
      <c r="F237" s="15" t="s">
        <v>1445</v>
      </c>
      <c r="G237" s="14" t="s">
        <v>1458</v>
      </c>
      <c r="H237" s="14" t="s">
        <v>97</v>
      </c>
      <c r="I237" s="14" t="s">
        <v>1502</v>
      </c>
      <c r="J237" s="14" t="s">
        <v>1402</v>
      </c>
      <c r="K237" s="17" t="s">
        <v>1507</v>
      </c>
      <c r="L237" s="16" t="s">
        <v>1499</v>
      </c>
      <c r="M237" s="16" t="s">
        <v>1500</v>
      </c>
      <c r="N237" s="16" t="s">
        <v>1450</v>
      </c>
      <c r="O237" s="16" t="s">
        <v>1501</v>
      </c>
      <c r="P237" s="16" t="s">
        <v>1451</v>
      </c>
      <c r="Q237" s="16" t="s">
        <v>1399</v>
      </c>
      <c r="R237" s="16">
        <v>3</v>
      </c>
      <c r="S237" s="16" t="s">
        <v>1453</v>
      </c>
      <c r="T237" s="16" t="s">
        <v>1454</v>
      </c>
      <c r="U237" s="16" t="s">
        <v>1406</v>
      </c>
      <c r="V237" s="16">
        <v>13</v>
      </c>
      <c r="W237" s="16" t="b">
        <v>1</v>
      </c>
      <c r="X237" s="16">
        <v>240806</v>
      </c>
      <c r="Y237" s="16" t="s">
        <v>1405</v>
      </c>
      <c r="Z237" s="16">
        <v>0</v>
      </c>
      <c r="AA237" s="16">
        <v>0</v>
      </c>
      <c r="AB237" s="16" t="s">
        <v>1405</v>
      </c>
      <c r="AC237" s="16" t="s">
        <v>1405</v>
      </c>
      <c r="AD237" s="16">
        <v>0</v>
      </c>
      <c r="AE237" s="16" t="s">
        <v>1405</v>
      </c>
      <c r="AF237" s="16" t="s">
        <v>1405</v>
      </c>
    </row>
    <row r="238" spans="1:32" x14ac:dyDescent="0.2">
      <c r="A238" s="3" t="s">
        <v>2094</v>
      </c>
      <c r="B238" s="12" t="s">
        <v>1497</v>
      </c>
      <c r="C238" s="6">
        <v>237</v>
      </c>
      <c r="D238" s="12">
        <v>55</v>
      </c>
      <c r="E238" s="12" t="s">
        <v>1444</v>
      </c>
      <c r="F238" s="12" t="s">
        <v>1445</v>
      </c>
      <c r="G238" s="12" t="s">
        <v>1446</v>
      </c>
      <c r="H238" s="12" t="s">
        <v>98</v>
      </c>
      <c r="I238" s="12" t="s">
        <v>1412</v>
      </c>
      <c r="J238" s="12" t="s">
        <v>1402</v>
      </c>
      <c r="K238" s="17" t="s">
        <v>1508</v>
      </c>
      <c r="L238" s="13" t="s">
        <v>1499</v>
      </c>
      <c r="M238" s="13" t="s">
        <v>1500</v>
      </c>
      <c r="N238" s="13" t="s">
        <v>1450</v>
      </c>
      <c r="O238" s="13" t="s">
        <v>1501</v>
      </c>
      <c r="P238" s="13" t="s">
        <v>1451</v>
      </c>
      <c r="Q238" s="13" t="s">
        <v>1400</v>
      </c>
      <c r="R238" s="13">
        <v>4</v>
      </c>
      <c r="S238" s="13" t="s">
        <v>1453</v>
      </c>
      <c r="T238" s="13" t="s">
        <v>1454</v>
      </c>
      <c r="U238" s="13" t="s">
        <v>1406</v>
      </c>
      <c r="V238" s="13">
        <v>13</v>
      </c>
      <c r="W238" s="13" t="b">
        <v>1</v>
      </c>
      <c r="X238" s="13">
        <v>240806</v>
      </c>
      <c r="Y238" s="13" t="s">
        <v>1405</v>
      </c>
      <c r="Z238" s="13">
        <v>0</v>
      </c>
      <c r="AA238" s="13">
        <v>0</v>
      </c>
      <c r="AB238" s="13" t="s">
        <v>1405</v>
      </c>
      <c r="AC238" s="13" t="s">
        <v>1405</v>
      </c>
      <c r="AD238" s="13">
        <v>0</v>
      </c>
      <c r="AE238" s="13" t="s">
        <v>1405</v>
      </c>
      <c r="AF238" s="13" t="s">
        <v>1405</v>
      </c>
    </row>
    <row r="239" spans="1:32" x14ac:dyDescent="0.2">
      <c r="A239" s="3" t="s">
        <v>2095</v>
      </c>
      <c r="B239" s="14" t="s">
        <v>1497</v>
      </c>
      <c r="C239" s="6">
        <v>238</v>
      </c>
      <c r="D239" s="14">
        <v>55</v>
      </c>
      <c r="E239" s="14" t="s">
        <v>1457</v>
      </c>
      <c r="F239" s="15" t="s">
        <v>1445</v>
      </c>
      <c r="G239" s="14" t="s">
        <v>1458</v>
      </c>
      <c r="H239" s="14" t="s">
        <v>98</v>
      </c>
      <c r="I239" s="14" t="s">
        <v>1502</v>
      </c>
      <c r="J239" s="14" t="s">
        <v>1402</v>
      </c>
      <c r="K239" s="17" t="s">
        <v>1509</v>
      </c>
      <c r="L239" s="16" t="s">
        <v>1499</v>
      </c>
      <c r="M239" s="16" t="s">
        <v>1500</v>
      </c>
      <c r="N239" s="16" t="s">
        <v>1450</v>
      </c>
      <c r="O239" s="16" t="s">
        <v>1501</v>
      </c>
      <c r="P239" s="16" t="s">
        <v>1451</v>
      </c>
      <c r="Q239" s="16" t="s">
        <v>1400</v>
      </c>
      <c r="R239" s="16">
        <v>4</v>
      </c>
      <c r="S239" s="16" t="s">
        <v>1453</v>
      </c>
      <c r="T239" s="16" t="s">
        <v>1454</v>
      </c>
      <c r="U239" s="16" t="s">
        <v>1406</v>
      </c>
      <c r="V239" s="16">
        <v>13</v>
      </c>
      <c r="W239" s="16" t="b">
        <v>1</v>
      </c>
      <c r="X239" s="16">
        <v>240806</v>
      </c>
      <c r="Y239" s="16" t="s">
        <v>1405</v>
      </c>
      <c r="Z239" s="16">
        <v>0</v>
      </c>
      <c r="AA239" s="16">
        <v>0</v>
      </c>
      <c r="AB239" s="16" t="s">
        <v>1405</v>
      </c>
      <c r="AC239" s="16" t="s">
        <v>1405</v>
      </c>
      <c r="AD239" s="16">
        <v>0</v>
      </c>
      <c r="AE239" s="16" t="s">
        <v>1405</v>
      </c>
      <c r="AF239" s="16" t="s">
        <v>1405</v>
      </c>
    </row>
    <row r="240" spans="1:32" x14ac:dyDescent="0.2">
      <c r="A240" s="3" t="s">
        <v>2096</v>
      </c>
      <c r="B240" s="12" t="s">
        <v>1497</v>
      </c>
      <c r="C240" s="6">
        <v>239</v>
      </c>
      <c r="D240" s="12">
        <v>56</v>
      </c>
      <c r="E240" s="12" t="s">
        <v>1444</v>
      </c>
      <c r="F240" s="12" t="s">
        <v>1445</v>
      </c>
      <c r="G240" s="12" t="s">
        <v>1446</v>
      </c>
      <c r="H240" s="12" t="s">
        <v>99</v>
      </c>
      <c r="I240" s="12" t="s">
        <v>1412</v>
      </c>
      <c r="J240" s="12" t="s">
        <v>1402</v>
      </c>
      <c r="K240" s="17" t="s">
        <v>1510</v>
      </c>
      <c r="L240" s="13" t="s">
        <v>1511</v>
      </c>
      <c r="M240" s="13" t="s">
        <v>1512</v>
      </c>
      <c r="N240" s="13" t="s">
        <v>1450</v>
      </c>
      <c r="O240" s="13" t="s">
        <v>1501</v>
      </c>
      <c r="P240" s="13" t="s">
        <v>1451</v>
      </c>
      <c r="Q240" s="13" t="s">
        <v>1396</v>
      </c>
      <c r="R240" s="13">
        <v>1</v>
      </c>
      <c r="S240" s="13" t="s">
        <v>1453</v>
      </c>
      <c r="T240" s="13" t="s">
        <v>1454</v>
      </c>
      <c r="U240" s="13" t="s">
        <v>1406</v>
      </c>
      <c r="V240" s="13">
        <v>13</v>
      </c>
      <c r="W240" s="13" t="b">
        <v>1</v>
      </c>
      <c r="X240" s="13">
        <v>240806</v>
      </c>
      <c r="Y240" s="13" t="s">
        <v>1405</v>
      </c>
      <c r="Z240" s="13">
        <v>0</v>
      </c>
      <c r="AA240" s="13">
        <v>0</v>
      </c>
      <c r="AB240" s="13" t="s">
        <v>1405</v>
      </c>
      <c r="AC240" s="13" t="s">
        <v>1405</v>
      </c>
      <c r="AD240" s="13">
        <v>0</v>
      </c>
      <c r="AE240" s="13" t="s">
        <v>1405</v>
      </c>
      <c r="AF240" s="13" t="s">
        <v>1405</v>
      </c>
    </row>
    <row r="241" spans="1:32" x14ac:dyDescent="0.2">
      <c r="A241" s="3" t="s">
        <v>2097</v>
      </c>
      <c r="B241" s="14" t="s">
        <v>1497</v>
      </c>
      <c r="C241" s="6">
        <v>240</v>
      </c>
      <c r="D241" s="14">
        <v>56</v>
      </c>
      <c r="E241" s="14" t="s">
        <v>1457</v>
      </c>
      <c r="F241" s="15" t="s">
        <v>1445</v>
      </c>
      <c r="G241" s="14" t="s">
        <v>1458</v>
      </c>
      <c r="H241" s="14" t="s">
        <v>99</v>
      </c>
      <c r="I241" s="14" t="s">
        <v>1502</v>
      </c>
      <c r="J241" s="14" t="s">
        <v>1402</v>
      </c>
      <c r="K241" s="17" t="s">
        <v>1513</v>
      </c>
      <c r="L241" s="16" t="s">
        <v>1511</v>
      </c>
      <c r="M241" s="16" t="s">
        <v>1512</v>
      </c>
      <c r="N241" s="16" t="s">
        <v>1450</v>
      </c>
      <c r="O241" s="16" t="s">
        <v>1501</v>
      </c>
      <c r="P241" s="16" t="s">
        <v>1451</v>
      </c>
      <c r="Q241" s="16" t="s">
        <v>1396</v>
      </c>
      <c r="R241" s="16">
        <v>1</v>
      </c>
      <c r="S241" s="16" t="s">
        <v>1453</v>
      </c>
      <c r="T241" s="16" t="s">
        <v>1454</v>
      </c>
      <c r="U241" s="16" t="s">
        <v>1406</v>
      </c>
      <c r="V241" s="16">
        <v>13</v>
      </c>
      <c r="W241" s="16" t="b">
        <v>1</v>
      </c>
      <c r="X241" s="16">
        <v>240806</v>
      </c>
      <c r="Y241" s="16" t="s">
        <v>1405</v>
      </c>
      <c r="Z241" s="16">
        <v>0</v>
      </c>
      <c r="AA241" s="16">
        <v>0</v>
      </c>
      <c r="AB241" s="16" t="s">
        <v>1405</v>
      </c>
      <c r="AC241" s="16" t="s">
        <v>1405</v>
      </c>
      <c r="AD241" s="16">
        <v>0</v>
      </c>
      <c r="AE241" s="16" t="s">
        <v>1405</v>
      </c>
      <c r="AF241" s="16" t="s">
        <v>1405</v>
      </c>
    </row>
    <row r="242" spans="1:32" x14ac:dyDescent="0.2">
      <c r="A242" s="3" t="s">
        <v>2098</v>
      </c>
      <c r="B242" s="12" t="s">
        <v>1497</v>
      </c>
      <c r="C242" s="6">
        <v>241</v>
      </c>
      <c r="D242" s="12">
        <v>57</v>
      </c>
      <c r="E242" s="12" t="s">
        <v>1444</v>
      </c>
      <c r="F242" s="12" t="s">
        <v>1445</v>
      </c>
      <c r="G242" s="12" t="s">
        <v>1446</v>
      </c>
      <c r="H242" s="12" t="s">
        <v>100</v>
      </c>
      <c r="I242" s="12" t="s">
        <v>1412</v>
      </c>
      <c r="J242" s="12" t="s">
        <v>1402</v>
      </c>
      <c r="K242" s="17" t="s">
        <v>1514</v>
      </c>
      <c r="L242" s="13" t="s">
        <v>1511</v>
      </c>
      <c r="M242" s="13" t="s">
        <v>1512</v>
      </c>
      <c r="N242" s="13" t="s">
        <v>1450</v>
      </c>
      <c r="O242" s="13" t="s">
        <v>1501</v>
      </c>
      <c r="P242" s="13" t="s">
        <v>1451</v>
      </c>
      <c r="Q242" s="13" t="s">
        <v>1398</v>
      </c>
      <c r="R242" s="13">
        <v>2</v>
      </c>
      <c r="S242" s="13" t="s">
        <v>1453</v>
      </c>
      <c r="T242" s="13" t="s">
        <v>1454</v>
      </c>
      <c r="U242" s="13" t="s">
        <v>1406</v>
      </c>
      <c r="V242" s="13">
        <v>13</v>
      </c>
      <c r="W242" s="13" t="b">
        <v>1</v>
      </c>
      <c r="X242" s="13">
        <v>240806</v>
      </c>
      <c r="Y242" s="13" t="s">
        <v>1405</v>
      </c>
      <c r="Z242" s="13">
        <v>0</v>
      </c>
      <c r="AA242" s="13">
        <v>0</v>
      </c>
      <c r="AB242" s="13" t="s">
        <v>1405</v>
      </c>
      <c r="AC242" s="13" t="s">
        <v>1405</v>
      </c>
      <c r="AD242" s="13">
        <v>0</v>
      </c>
      <c r="AE242" s="13" t="s">
        <v>1405</v>
      </c>
      <c r="AF242" s="13" t="s">
        <v>1405</v>
      </c>
    </row>
    <row r="243" spans="1:32" x14ac:dyDescent="0.2">
      <c r="A243" s="3" t="s">
        <v>2099</v>
      </c>
      <c r="B243" s="14" t="s">
        <v>1497</v>
      </c>
      <c r="C243" s="6">
        <v>242</v>
      </c>
      <c r="D243" s="14">
        <v>57</v>
      </c>
      <c r="E243" s="14" t="s">
        <v>1457</v>
      </c>
      <c r="F243" s="15" t="s">
        <v>1445</v>
      </c>
      <c r="G243" s="14" t="s">
        <v>1458</v>
      </c>
      <c r="H243" s="14" t="s">
        <v>100</v>
      </c>
      <c r="I243" s="14" t="s">
        <v>1502</v>
      </c>
      <c r="J243" s="14" t="s">
        <v>1402</v>
      </c>
      <c r="K243" s="17" t="s">
        <v>1515</v>
      </c>
      <c r="L243" s="16" t="s">
        <v>1511</v>
      </c>
      <c r="M243" s="16" t="s">
        <v>1512</v>
      </c>
      <c r="N243" s="16" t="s">
        <v>1450</v>
      </c>
      <c r="O243" s="16" t="s">
        <v>1501</v>
      </c>
      <c r="P243" s="16" t="s">
        <v>1451</v>
      </c>
      <c r="Q243" s="16" t="s">
        <v>1398</v>
      </c>
      <c r="R243" s="16">
        <v>2</v>
      </c>
      <c r="S243" s="16" t="s">
        <v>1453</v>
      </c>
      <c r="T243" s="16" t="s">
        <v>1454</v>
      </c>
      <c r="U243" s="16" t="s">
        <v>1406</v>
      </c>
      <c r="V243" s="16">
        <v>13</v>
      </c>
      <c r="W243" s="16" t="b">
        <v>1</v>
      </c>
      <c r="X243" s="16">
        <v>240806</v>
      </c>
      <c r="Y243" s="16" t="s">
        <v>1405</v>
      </c>
      <c r="Z243" s="16">
        <v>0</v>
      </c>
      <c r="AA243" s="16">
        <v>0</v>
      </c>
      <c r="AB243" s="16" t="s">
        <v>1405</v>
      </c>
      <c r="AC243" s="16" t="s">
        <v>1405</v>
      </c>
      <c r="AD243" s="16">
        <v>0</v>
      </c>
      <c r="AE243" s="16" t="s">
        <v>1405</v>
      </c>
      <c r="AF243" s="16" t="s">
        <v>1405</v>
      </c>
    </row>
    <row r="244" spans="1:32" x14ac:dyDescent="0.2">
      <c r="A244" s="3" t="s">
        <v>2100</v>
      </c>
      <c r="B244" s="12" t="s">
        <v>1497</v>
      </c>
      <c r="C244" s="6">
        <v>243</v>
      </c>
      <c r="D244" s="12">
        <v>58</v>
      </c>
      <c r="E244" s="12" t="s">
        <v>1444</v>
      </c>
      <c r="F244" s="12" t="s">
        <v>1445</v>
      </c>
      <c r="G244" s="12" t="s">
        <v>1446</v>
      </c>
      <c r="H244" s="12" t="s">
        <v>101</v>
      </c>
      <c r="I244" s="12" t="s">
        <v>1412</v>
      </c>
      <c r="J244" s="12" t="s">
        <v>1402</v>
      </c>
      <c r="K244" s="17" t="s">
        <v>1516</v>
      </c>
      <c r="L244" s="13" t="s">
        <v>1511</v>
      </c>
      <c r="M244" s="13" t="s">
        <v>1512</v>
      </c>
      <c r="N244" s="13" t="s">
        <v>1450</v>
      </c>
      <c r="O244" s="13" t="s">
        <v>1501</v>
      </c>
      <c r="P244" s="13" t="s">
        <v>1451</v>
      </c>
      <c r="Q244" s="13" t="s">
        <v>1399</v>
      </c>
      <c r="R244" s="13">
        <v>3</v>
      </c>
      <c r="S244" s="13" t="s">
        <v>1453</v>
      </c>
      <c r="T244" s="13" t="s">
        <v>1454</v>
      </c>
      <c r="U244" s="13" t="s">
        <v>1406</v>
      </c>
      <c r="V244" s="13">
        <v>13</v>
      </c>
      <c r="W244" s="13" t="b">
        <v>1</v>
      </c>
      <c r="X244" s="13">
        <v>240806</v>
      </c>
      <c r="Y244" s="13" t="s">
        <v>1405</v>
      </c>
      <c r="Z244" s="13">
        <v>0</v>
      </c>
      <c r="AA244" s="13">
        <v>0</v>
      </c>
      <c r="AB244" s="13" t="s">
        <v>1405</v>
      </c>
      <c r="AC244" s="13" t="s">
        <v>1405</v>
      </c>
      <c r="AD244" s="13">
        <v>0</v>
      </c>
      <c r="AE244" s="13" t="s">
        <v>1405</v>
      </c>
      <c r="AF244" s="13" t="s">
        <v>1405</v>
      </c>
    </row>
    <row r="245" spans="1:32" x14ac:dyDescent="0.2">
      <c r="A245" s="3" t="s">
        <v>2101</v>
      </c>
      <c r="B245" s="14" t="s">
        <v>1497</v>
      </c>
      <c r="C245" s="6">
        <v>244</v>
      </c>
      <c r="D245" s="14">
        <v>58</v>
      </c>
      <c r="E245" s="14" t="s">
        <v>1457</v>
      </c>
      <c r="F245" s="15" t="s">
        <v>1445</v>
      </c>
      <c r="G245" s="14" t="s">
        <v>1458</v>
      </c>
      <c r="H245" s="14" t="s">
        <v>101</v>
      </c>
      <c r="I245" s="14" t="s">
        <v>1502</v>
      </c>
      <c r="J245" s="14" t="s">
        <v>1402</v>
      </c>
      <c r="K245" s="17" t="s">
        <v>1517</v>
      </c>
      <c r="L245" s="16" t="s">
        <v>1511</v>
      </c>
      <c r="M245" s="16" t="s">
        <v>1512</v>
      </c>
      <c r="N245" s="16" t="s">
        <v>1450</v>
      </c>
      <c r="O245" s="16" t="s">
        <v>1501</v>
      </c>
      <c r="P245" s="16" t="s">
        <v>1451</v>
      </c>
      <c r="Q245" s="16" t="s">
        <v>1399</v>
      </c>
      <c r="R245" s="16">
        <v>3</v>
      </c>
      <c r="S245" s="16" t="s">
        <v>1453</v>
      </c>
      <c r="T245" s="16" t="s">
        <v>1454</v>
      </c>
      <c r="U245" s="16" t="s">
        <v>1406</v>
      </c>
      <c r="V245" s="16">
        <v>13</v>
      </c>
      <c r="W245" s="16" t="b">
        <v>1</v>
      </c>
      <c r="X245" s="16">
        <v>240806</v>
      </c>
      <c r="Y245" s="16" t="s">
        <v>1405</v>
      </c>
      <c r="Z245" s="16">
        <v>0</v>
      </c>
      <c r="AA245" s="16">
        <v>0</v>
      </c>
      <c r="AB245" s="16" t="s">
        <v>1405</v>
      </c>
      <c r="AC245" s="16" t="s">
        <v>1405</v>
      </c>
      <c r="AD245" s="16">
        <v>0</v>
      </c>
      <c r="AE245" s="16" t="s">
        <v>1405</v>
      </c>
      <c r="AF245" s="16" t="s">
        <v>1405</v>
      </c>
    </row>
    <row r="246" spans="1:32" x14ac:dyDescent="0.2">
      <c r="A246" s="3" t="s">
        <v>2102</v>
      </c>
      <c r="B246" s="12" t="s">
        <v>1497</v>
      </c>
      <c r="C246" s="6">
        <v>245</v>
      </c>
      <c r="D246" s="12">
        <v>59</v>
      </c>
      <c r="E246" s="12" t="s">
        <v>1444</v>
      </c>
      <c r="F246" s="12" t="s">
        <v>1445</v>
      </c>
      <c r="G246" s="12" t="s">
        <v>1446</v>
      </c>
      <c r="H246" s="12" t="s">
        <v>102</v>
      </c>
      <c r="I246" s="12" t="s">
        <v>1412</v>
      </c>
      <c r="J246" s="12" t="s">
        <v>1402</v>
      </c>
      <c r="K246" s="17" t="s">
        <v>1518</v>
      </c>
      <c r="L246" s="13" t="s">
        <v>1511</v>
      </c>
      <c r="M246" s="13" t="s">
        <v>1512</v>
      </c>
      <c r="N246" s="13" t="s">
        <v>1450</v>
      </c>
      <c r="O246" s="13" t="s">
        <v>1501</v>
      </c>
      <c r="P246" s="13" t="s">
        <v>1451</v>
      </c>
      <c r="Q246" s="13" t="s">
        <v>1400</v>
      </c>
      <c r="R246" s="13">
        <v>4</v>
      </c>
      <c r="S246" s="13" t="s">
        <v>1453</v>
      </c>
      <c r="T246" s="13" t="s">
        <v>1454</v>
      </c>
      <c r="U246" s="13" t="s">
        <v>1406</v>
      </c>
      <c r="V246" s="13">
        <v>13</v>
      </c>
      <c r="W246" s="13" t="b">
        <v>1</v>
      </c>
      <c r="X246" s="13">
        <v>240806</v>
      </c>
      <c r="Y246" s="13" t="s">
        <v>1405</v>
      </c>
      <c r="Z246" s="13">
        <v>0</v>
      </c>
      <c r="AA246" s="13">
        <v>0</v>
      </c>
      <c r="AB246" s="13" t="s">
        <v>1405</v>
      </c>
      <c r="AC246" s="13" t="s">
        <v>1405</v>
      </c>
      <c r="AD246" s="13">
        <v>0</v>
      </c>
      <c r="AE246" s="13" t="s">
        <v>1405</v>
      </c>
      <c r="AF246" s="13" t="s">
        <v>1405</v>
      </c>
    </row>
    <row r="247" spans="1:32" x14ac:dyDescent="0.2">
      <c r="A247" s="3" t="s">
        <v>2103</v>
      </c>
      <c r="B247" s="14" t="s">
        <v>1497</v>
      </c>
      <c r="C247" s="6">
        <v>246</v>
      </c>
      <c r="D247" s="14">
        <v>59</v>
      </c>
      <c r="E247" s="14" t="s">
        <v>1457</v>
      </c>
      <c r="F247" s="15" t="s">
        <v>1445</v>
      </c>
      <c r="G247" s="14" t="s">
        <v>1458</v>
      </c>
      <c r="H247" s="14" t="s">
        <v>102</v>
      </c>
      <c r="I247" s="14" t="s">
        <v>1502</v>
      </c>
      <c r="J247" s="14" t="s">
        <v>1402</v>
      </c>
      <c r="K247" s="17" t="s">
        <v>1519</v>
      </c>
      <c r="L247" s="16" t="s">
        <v>1511</v>
      </c>
      <c r="M247" s="16" t="s">
        <v>1512</v>
      </c>
      <c r="N247" s="16" t="s">
        <v>1450</v>
      </c>
      <c r="O247" s="16" t="s">
        <v>1501</v>
      </c>
      <c r="P247" s="16" t="s">
        <v>1451</v>
      </c>
      <c r="Q247" s="16" t="s">
        <v>1400</v>
      </c>
      <c r="R247" s="16">
        <v>4</v>
      </c>
      <c r="S247" s="16" t="s">
        <v>1453</v>
      </c>
      <c r="T247" s="16" t="s">
        <v>1454</v>
      </c>
      <c r="U247" s="16" t="s">
        <v>1406</v>
      </c>
      <c r="V247" s="16">
        <v>13</v>
      </c>
      <c r="W247" s="16" t="b">
        <v>1</v>
      </c>
      <c r="X247" s="16">
        <v>240806</v>
      </c>
      <c r="Y247" s="16" t="s">
        <v>1405</v>
      </c>
      <c r="Z247" s="16">
        <v>0</v>
      </c>
      <c r="AA247" s="16">
        <v>0</v>
      </c>
      <c r="AB247" s="16" t="s">
        <v>1405</v>
      </c>
      <c r="AC247" s="16" t="s">
        <v>1405</v>
      </c>
      <c r="AD247" s="16">
        <v>0</v>
      </c>
      <c r="AE247" s="16" t="s">
        <v>1405</v>
      </c>
      <c r="AF247" s="16" t="s">
        <v>1405</v>
      </c>
    </row>
    <row r="248" spans="1:32" x14ac:dyDescent="0.2">
      <c r="A248" s="3" t="s">
        <v>2104</v>
      </c>
      <c r="B248" s="12" t="s">
        <v>1497</v>
      </c>
      <c r="C248" s="6">
        <v>247</v>
      </c>
      <c r="D248" s="12">
        <v>60</v>
      </c>
      <c r="E248" s="12" t="s">
        <v>1444</v>
      </c>
      <c r="F248" s="12" t="s">
        <v>1445</v>
      </c>
      <c r="G248" s="12" t="s">
        <v>1446</v>
      </c>
      <c r="H248" s="12" t="s">
        <v>103</v>
      </c>
      <c r="I248" s="12" t="s">
        <v>1412</v>
      </c>
      <c r="J248" s="12" t="s">
        <v>1402</v>
      </c>
      <c r="K248" s="17" t="s">
        <v>1520</v>
      </c>
      <c r="L248" s="13" t="s">
        <v>1521</v>
      </c>
      <c r="M248" s="13" t="s">
        <v>1522</v>
      </c>
      <c r="N248" s="13" t="s">
        <v>1450</v>
      </c>
      <c r="O248" s="13" t="s">
        <v>1501</v>
      </c>
      <c r="P248" s="13" t="s">
        <v>1451</v>
      </c>
      <c r="Q248" s="13" t="s">
        <v>1396</v>
      </c>
      <c r="R248" s="13">
        <v>1</v>
      </c>
      <c r="S248" s="13" t="s">
        <v>1453</v>
      </c>
      <c r="T248" s="13" t="s">
        <v>1454</v>
      </c>
      <c r="U248" s="13" t="s">
        <v>1406</v>
      </c>
      <c r="V248" s="13">
        <v>13</v>
      </c>
      <c r="W248" s="13" t="b">
        <v>1</v>
      </c>
      <c r="X248" s="13">
        <v>240806</v>
      </c>
      <c r="Y248" s="13" t="s">
        <v>1405</v>
      </c>
      <c r="Z248" s="13">
        <v>0</v>
      </c>
      <c r="AA248" s="13">
        <v>0</v>
      </c>
      <c r="AB248" s="13" t="s">
        <v>1405</v>
      </c>
      <c r="AC248" s="13" t="s">
        <v>1405</v>
      </c>
      <c r="AD248" s="13">
        <v>0</v>
      </c>
      <c r="AE248" s="13" t="s">
        <v>1405</v>
      </c>
      <c r="AF248" s="13" t="s">
        <v>1405</v>
      </c>
    </row>
    <row r="249" spans="1:32" x14ac:dyDescent="0.2">
      <c r="A249" s="3" t="s">
        <v>2105</v>
      </c>
      <c r="B249" s="14" t="s">
        <v>1497</v>
      </c>
      <c r="C249" s="6">
        <v>248</v>
      </c>
      <c r="D249" s="14">
        <v>60</v>
      </c>
      <c r="E249" s="14" t="s">
        <v>1457</v>
      </c>
      <c r="F249" s="15" t="s">
        <v>1445</v>
      </c>
      <c r="G249" s="14" t="s">
        <v>1458</v>
      </c>
      <c r="H249" s="14" t="s">
        <v>103</v>
      </c>
      <c r="I249" s="14" t="s">
        <v>1502</v>
      </c>
      <c r="J249" s="14" t="s">
        <v>1402</v>
      </c>
      <c r="K249" s="17" t="s">
        <v>1523</v>
      </c>
      <c r="L249" s="16" t="s">
        <v>1521</v>
      </c>
      <c r="M249" s="16" t="s">
        <v>1522</v>
      </c>
      <c r="N249" s="16" t="s">
        <v>1450</v>
      </c>
      <c r="O249" s="16" t="s">
        <v>1501</v>
      </c>
      <c r="P249" s="16" t="s">
        <v>1451</v>
      </c>
      <c r="Q249" s="16" t="s">
        <v>1396</v>
      </c>
      <c r="R249" s="16">
        <v>1</v>
      </c>
      <c r="S249" s="16" t="s">
        <v>1453</v>
      </c>
      <c r="T249" s="16" t="s">
        <v>1454</v>
      </c>
      <c r="U249" s="16" t="s">
        <v>1406</v>
      </c>
      <c r="V249" s="16">
        <v>13</v>
      </c>
      <c r="W249" s="16" t="b">
        <v>1</v>
      </c>
      <c r="X249" s="16">
        <v>240806</v>
      </c>
      <c r="Y249" s="16" t="s">
        <v>1405</v>
      </c>
      <c r="Z249" s="16">
        <v>0</v>
      </c>
      <c r="AA249" s="16">
        <v>0</v>
      </c>
      <c r="AB249" s="16" t="s">
        <v>1405</v>
      </c>
      <c r="AC249" s="16" t="s">
        <v>1405</v>
      </c>
      <c r="AD249" s="16">
        <v>0</v>
      </c>
      <c r="AE249" s="16" t="s">
        <v>1405</v>
      </c>
      <c r="AF249" s="16" t="s">
        <v>1405</v>
      </c>
    </row>
    <row r="250" spans="1:32" x14ac:dyDescent="0.2">
      <c r="A250" s="3" t="s">
        <v>2106</v>
      </c>
      <c r="B250" s="12" t="s">
        <v>1497</v>
      </c>
      <c r="C250" s="6">
        <v>249</v>
      </c>
      <c r="D250" s="12">
        <v>61</v>
      </c>
      <c r="E250" s="12" t="s">
        <v>1444</v>
      </c>
      <c r="F250" s="12" t="s">
        <v>1445</v>
      </c>
      <c r="G250" s="12" t="s">
        <v>1446</v>
      </c>
      <c r="H250" s="12" t="s">
        <v>105</v>
      </c>
      <c r="I250" s="12" t="s">
        <v>1412</v>
      </c>
      <c r="J250" s="12" t="s">
        <v>1402</v>
      </c>
      <c r="K250" s="17" t="s">
        <v>1524</v>
      </c>
      <c r="L250" s="13" t="s">
        <v>1521</v>
      </c>
      <c r="M250" s="13" t="s">
        <v>1522</v>
      </c>
      <c r="N250" s="13" t="s">
        <v>1450</v>
      </c>
      <c r="O250" s="13" t="s">
        <v>1501</v>
      </c>
      <c r="P250" s="13" t="s">
        <v>1451</v>
      </c>
      <c r="Q250" s="13" t="s">
        <v>1398</v>
      </c>
      <c r="R250" s="13">
        <v>2</v>
      </c>
      <c r="S250" s="13" t="s">
        <v>1453</v>
      </c>
      <c r="T250" s="13" t="s">
        <v>1454</v>
      </c>
      <c r="U250" s="13" t="s">
        <v>1406</v>
      </c>
      <c r="V250" s="13">
        <v>13</v>
      </c>
      <c r="W250" s="13" t="b">
        <v>1</v>
      </c>
      <c r="X250" s="13">
        <v>240806</v>
      </c>
      <c r="Y250" s="13" t="s">
        <v>1405</v>
      </c>
      <c r="Z250" s="13">
        <v>0</v>
      </c>
      <c r="AA250" s="13">
        <v>0</v>
      </c>
      <c r="AB250" s="13" t="s">
        <v>1405</v>
      </c>
      <c r="AC250" s="13" t="s">
        <v>1405</v>
      </c>
      <c r="AD250" s="13">
        <v>0</v>
      </c>
      <c r="AE250" s="13" t="s">
        <v>1405</v>
      </c>
      <c r="AF250" s="13" t="s">
        <v>1405</v>
      </c>
    </row>
    <row r="251" spans="1:32" x14ac:dyDescent="0.2">
      <c r="A251" s="3" t="s">
        <v>2107</v>
      </c>
      <c r="B251" s="14" t="s">
        <v>1497</v>
      </c>
      <c r="C251" s="6">
        <v>250</v>
      </c>
      <c r="D251" s="14">
        <v>61</v>
      </c>
      <c r="E251" s="14" t="s">
        <v>1457</v>
      </c>
      <c r="F251" s="15" t="s">
        <v>1445</v>
      </c>
      <c r="G251" s="14" t="s">
        <v>1458</v>
      </c>
      <c r="H251" s="14" t="s">
        <v>105</v>
      </c>
      <c r="I251" s="14" t="s">
        <v>1502</v>
      </c>
      <c r="J251" s="14" t="s">
        <v>1402</v>
      </c>
      <c r="K251" s="17" t="s">
        <v>1525</v>
      </c>
      <c r="L251" s="16" t="s">
        <v>1521</v>
      </c>
      <c r="M251" s="16" t="s">
        <v>1522</v>
      </c>
      <c r="N251" s="16" t="s">
        <v>1450</v>
      </c>
      <c r="O251" s="16" t="s">
        <v>1501</v>
      </c>
      <c r="P251" s="16" t="s">
        <v>1451</v>
      </c>
      <c r="Q251" s="16" t="s">
        <v>1398</v>
      </c>
      <c r="R251" s="16">
        <v>2</v>
      </c>
      <c r="S251" s="16" t="s">
        <v>1453</v>
      </c>
      <c r="T251" s="16" t="s">
        <v>1454</v>
      </c>
      <c r="U251" s="16" t="s">
        <v>1406</v>
      </c>
      <c r="V251" s="16">
        <v>13</v>
      </c>
      <c r="W251" s="16" t="b">
        <v>1</v>
      </c>
      <c r="X251" s="16">
        <v>240806</v>
      </c>
      <c r="Y251" s="16" t="s">
        <v>1405</v>
      </c>
      <c r="Z251" s="16">
        <v>0</v>
      </c>
      <c r="AA251" s="16">
        <v>0</v>
      </c>
      <c r="AB251" s="16" t="s">
        <v>1405</v>
      </c>
      <c r="AC251" s="16" t="s">
        <v>1405</v>
      </c>
      <c r="AD251" s="16">
        <v>0</v>
      </c>
      <c r="AE251" s="16" t="s">
        <v>1405</v>
      </c>
      <c r="AF251" s="16" t="s">
        <v>1405</v>
      </c>
    </row>
    <row r="252" spans="1:32" x14ac:dyDescent="0.2">
      <c r="A252" s="3" t="s">
        <v>2108</v>
      </c>
      <c r="B252" s="12" t="s">
        <v>1497</v>
      </c>
      <c r="C252" s="6">
        <v>251</v>
      </c>
      <c r="D252" s="12">
        <v>62</v>
      </c>
      <c r="E252" s="12" t="s">
        <v>1444</v>
      </c>
      <c r="F252" s="12" t="s">
        <v>1445</v>
      </c>
      <c r="G252" s="12" t="s">
        <v>1446</v>
      </c>
      <c r="H252" s="12" t="s">
        <v>106</v>
      </c>
      <c r="I252" s="12" t="s">
        <v>1412</v>
      </c>
      <c r="J252" s="12" t="s">
        <v>1402</v>
      </c>
      <c r="K252" s="17" t="s">
        <v>1526</v>
      </c>
      <c r="L252" s="13" t="s">
        <v>1521</v>
      </c>
      <c r="M252" s="13" t="s">
        <v>1522</v>
      </c>
      <c r="N252" s="13" t="s">
        <v>1450</v>
      </c>
      <c r="O252" s="13" t="s">
        <v>1501</v>
      </c>
      <c r="P252" s="13" t="s">
        <v>1451</v>
      </c>
      <c r="Q252" s="13" t="s">
        <v>1399</v>
      </c>
      <c r="R252" s="13">
        <v>3</v>
      </c>
      <c r="S252" s="13" t="s">
        <v>1453</v>
      </c>
      <c r="T252" s="13" t="s">
        <v>1454</v>
      </c>
      <c r="U252" s="13" t="s">
        <v>1406</v>
      </c>
      <c r="V252" s="13">
        <v>13</v>
      </c>
      <c r="W252" s="13" t="b">
        <v>1</v>
      </c>
      <c r="X252" s="13">
        <v>240806</v>
      </c>
      <c r="Y252" s="13" t="s">
        <v>1405</v>
      </c>
      <c r="Z252" s="13">
        <v>0</v>
      </c>
      <c r="AA252" s="13">
        <v>0</v>
      </c>
      <c r="AB252" s="13" t="s">
        <v>1405</v>
      </c>
      <c r="AC252" s="13" t="s">
        <v>1405</v>
      </c>
      <c r="AD252" s="13">
        <v>0</v>
      </c>
      <c r="AE252" s="13" t="s">
        <v>1405</v>
      </c>
      <c r="AF252" s="13" t="s">
        <v>1405</v>
      </c>
    </row>
    <row r="253" spans="1:32" x14ac:dyDescent="0.2">
      <c r="A253" s="3" t="s">
        <v>2109</v>
      </c>
      <c r="B253" s="14" t="s">
        <v>1497</v>
      </c>
      <c r="C253" s="6">
        <v>252</v>
      </c>
      <c r="D253" s="14">
        <v>62</v>
      </c>
      <c r="E253" s="14" t="s">
        <v>1457</v>
      </c>
      <c r="F253" s="15" t="s">
        <v>1445</v>
      </c>
      <c r="G253" s="14" t="s">
        <v>1458</v>
      </c>
      <c r="H253" s="14" t="s">
        <v>106</v>
      </c>
      <c r="I253" s="14" t="s">
        <v>1502</v>
      </c>
      <c r="J253" s="14" t="s">
        <v>1402</v>
      </c>
      <c r="K253" s="17" t="s">
        <v>1527</v>
      </c>
      <c r="L253" s="16" t="s">
        <v>1521</v>
      </c>
      <c r="M253" s="16" t="s">
        <v>1522</v>
      </c>
      <c r="N253" s="16" t="s">
        <v>1450</v>
      </c>
      <c r="O253" s="16" t="s">
        <v>1501</v>
      </c>
      <c r="P253" s="16" t="s">
        <v>1451</v>
      </c>
      <c r="Q253" s="16" t="s">
        <v>1399</v>
      </c>
      <c r="R253" s="16">
        <v>3</v>
      </c>
      <c r="S253" s="16" t="s">
        <v>1453</v>
      </c>
      <c r="T253" s="16" t="s">
        <v>1454</v>
      </c>
      <c r="U253" s="16" t="s">
        <v>1406</v>
      </c>
      <c r="V253" s="16">
        <v>13</v>
      </c>
      <c r="W253" s="16" t="b">
        <v>1</v>
      </c>
      <c r="X253" s="16">
        <v>240806</v>
      </c>
      <c r="Y253" s="16" t="s">
        <v>1405</v>
      </c>
      <c r="Z253" s="16">
        <v>0</v>
      </c>
      <c r="AA253" s="16">
        <v>0</v>
      </c>
      <c r="AB253" s="16" t="s">
        <v>1405</v>
      </c>
      <c r="AC253" s="16" t="s">
        <v>1405</v>
      </c>
      <c r="AD253" s="16">
        <v>0</v>
      </c>
      <c r="AE253" s="16" t="s">
        <v>1405</v>
      </c>
      <c r="AF253" s="16" t="s">
        <v>1405</v>
      </c>
    </row>
    <row r="254" spans="1:32" x14ac:dyDescent="0.2">
      <c r="A254" s="3" t="s">
        <v>2110</v>
      </c>
      <c r="B254" s="12" t="s">
        <v>1497</v>
      </c>
      <c r="C254" s="6">
        <v>253</v>
      </c>
      <c r="D254" s="12">
        <v>63</v>
      </c>
      <c r="E254" s="12" t="s">
        <v>1444</v>
      </c>
      <c r="F254" s="12" t="s">
        <v>1445</v>
      </c>
      <c r="G254" s="12" t="s">
        <v>1446</v>
      </c>
      <c r="H254" s="12" t="s">
        <v>107</v>
      </c>
      <c r="I254" s="12" t="s">
        <v>1412</v>
      </c>
      <c r="J254" s="12" t="s">
        <v>1402</v>
      </c>
      <c r="K254" s="17" t="s">
        <v>1528</v>
      </c>
      <c r="L254" s="13" t="s">
        <v>1521</v>
      </c>
      <c r="M254" s="13" t="s">
        <v>1522</v>
      </c>
      <c r="N254" s="13" t="s">
        <v>1450</v>
      </c>
      <c r="O254" s="13" t="s">
        <v>1501</v>
      </c>
      <c r="P254" s="13" t="s">
        <v>1451</v>
      </c>
      <c r="Q254" s="13" t="s">
        <v>1400</v>
      </c>
      <c r="R254" s="13">
        <v>4</v>
      </c>
      <c r="S254" s="13" t="s">
        <v>1453</v>
      </c>
      <c r="T254" s="13" t="s">
        <v>1454</v>
      </c>
      <c r="U254" s="13" t="s">
        <v>1406</v>
      </c>
      <c r="V254" s="13">
        <v>13</v>
      </c>
      <c r="W254" s="13" t="b">
        <v>1</v>
      </c>
      <c r="X254" s="13">
        <v>240806</v>
      </c>
      <c r="Y254" s="13" t="s">
        <v>1405</v>
      </c>
      <c r="Z254" s="13">
        <v>0</v>
      </c>
      <c r="AA254" s="13">
        <v>0</v>
      </c>
      <c r="AB254" s="13" t="s">
        <v>1405</v>
      </c>
      <c r="AC254" s="13" t="s">
        <v>1405</v>
      </c>
      <c r="AD254" s="13">
        <v>0</v>
      </c>
      <c r="AE254" s="13" t="s">
        <v>1405</v>
      </c>
      <c r="AF254" s="13" t="s">
        <v>1405</v>
      </c>
    </row>
    <row r="255" spans="1:32" x14ac:dyDescent="0.2">
      <c r="A255" s="3" t="s">
        <v>2111</v>
      </c>
      <c r="B255" s="14" t="s">
        <v>1497</v>
      </c>
      <c r="C255" s="6">
        <v>254</v>
      </c>
      <c r="D255" s="14">
        <v>63</v>
      </c>
      <c r="E255" s="14" t="s">
        <v>1457</v>
      </c>
      <c r="F255" s="15" t="s">
        <v>1445</v>
      </c>
      <c r="G255" s="14" t="s">
        <v>1458</v>
      </c>
      <c r="H255" s="14" t="s">
        <v>107</v>
      </c>
      <c r="I255" s="14" t="s">
        <v>1502</v>
      </c>
      <c r="J255" s="14" t="s">
        <v>1402</v>
      </c>
      <c r="K255" s="17" t="s">
        <v>1529</v>
      </c>
      <c r="L255" s="16" t="s">
        <v>1521</v>
      </c>
      <c r="M255" s="16" t="s">
        <v>1522</v>
      </c>
      <c r="N255" s="16" t="s">
        <v>1450</v>
      </c>
      <c r="O255" s="16" t="s">
        <v>1501</v>
      </c>
      <c r="P255" s="16" t="s">
        <v>1451</v>
      </c>
      <c r="Q255" s="16" t="s">
        <v>1400</v>
      </c>
      <c r="R255" s="16">
        <v>4</v>
      </c>
      <c r="S255" s="16" t="s">
        <v>1453</v>
      </c>
      <c r="T255" s="16" t="s">
        <v>1454</v>
      </c>
      <c r="U255" s="16" t="s">
        <v>1406</v>
      </c>
      <c r="V255" s="16">
        <v>13</v>
      </c>
      <c r="W255" s="16" t="b">
        <v>1</v>
      </c>
      <c r="X255" s="16">
        <v>240806</v>
      </c>
      <c r="Y255" s="16" t="s">
        <v>1405</v>
      </c>
      <c r="Z255" s="16">
        <v>0</v>
      </c>
      <c r="AA255" s="16">
        <v>0</v>
      </c>
      <c r="AB255" s="16" t="s">
        <v>1405</v>
      </c>
      <c r="AC255" s="16" t="s">
        <v>1405</v>
      </c>
      <c r="AD255" s="16">
        <v>0</v>
      </c>
      <c r="AE255" s="16" t="s">
        <v>1405</v>
      </c>
      <c r="AF255" s="16" t="s">
        <v>1405</v>
      </c>
    </row>
    <row r="256" spans="1:32" x14ac:dyDescent="0.2">
      <c r="A256" s="3" t="s">
        <v>2112</v>
      </c>
      <c r="B256" s="12" t="s">
        <v>1497</v>
      </c>
      <c r="C256" s="6">
        <v>255</v>
      </c>
      <c r="D256" s="12">
        <v>64</v>
      </c>
      <c r="E256" s="12" t="s">
        <v>1444</v>
      </c>
      <c r="F256" s="12" t="s">
        <v>1445</v>
      </c>
      <c r="G256" s="12" t="s">
        <v>1446</v>
      </c>
      <c r="H256" s="12" t="s">
        <v>108</v>
      </c>
      <c r="I256" s="12" t="s">
        <v>1412</v>
      </c>
      <c r="J256" s="12" t="s">
        <v>1402</v>
      </c>
      <c r="K256" s="17" t="s">
        <v>1530</v>
      </c>
      <c r="L256" s="13" t="s">
        <v>1499</v>
      </c>
      <c r="M256" s="13" t="s">
        <v>1531</v>
      </c>
      <c r="N256" s="13" t="s">
        <v>1450</v>
      </c>
      <c r="O256" s="13" t="s">
        <v>1532</v>
      </c>
      <c r="P256" s="13" t="s">
        <v>1451</v>
      </c>
      <c r="Q256" s="13" t="s">
        <v>1396</v>
      </c>
      <c r="R256" s="13">
        <v>1</v>
      </c>
      <c r="S256" s="13" t="s">
        <v>1453</v>
      </c>
      <c r="T256" s="13" t="s">
        <v>1454</v>
      </c>
      <c r="U256" s="13" t="s">
        <v>1406</v>
      </c>
      <c r="V256" s="13">
        <v>13</v>
      </c>
      <c r="W256" s="13" t="b">
        <v>1</v>
      </c>
      <c r="X256" s="13">
        <v>240806</v>
      </c>
      <c r="Y256" s="13" t="s">
        <v>1405</v>
      </c>
      <c r="Z256" s="13">
        <v>0</v>
      </c>
      <c r="AA256" s="13">
        <v>0</v>
      </c>
      <c r="AB256" s="13" t="s">
        <v>1405</v>
      </c>
      <c r="AC256" s="13" t="s">
        <v>1405</v>
      </c>
      <c r="AD256" s="13">
        <v>0</v>
      </c>
      <c r="AE256" s="13" t="s">
        <v>1405</v>
      </c>
      <c r="AF256" s="13" t="s">
        <v>1405</v>
      </c>
    </row>
    <row r="257" spans="1:32" x14ac:dyDescent="0.2">
      <c r="A257" s="3" t="s">
        <v>2113</v>
      </c>
      <c r="B257" s="14" t="s">
        <v>1497</v>
      </c>
      <c r="C257" s="6">
        <v>256</v>
      </c>
      <c r="D257" s="14">
        <v>64</v>
      </c>
      <c r="E257" s="14" t="s">
        <v>1457</v>
      </c>
      <c r="F257" s="15" t="s">
        <v>1445</v>
      </c>
      <c r="G257" s="14" t="s">
        <v>1458</v>
      </c>
      <c r="H257" s="14" t="s">
        <v>108</v>
      </c>
      <c r="I257" s="14" t="s">
        <v>1502</v>
      </c>
      <c r="J257" s="14" t="s">
        <v>1402</v>
      </c>
      <c r="K257" s="17" t="s">
        <v>1533</v>
      </c>
      <c r="L257" s="16" t="s">
        <v>1499</v>
      </c>
      <c r="M257" s="16" t="s">
        <v>1531</v>
      </c>
      <c r="N257" s="16" t="s">
        <v>1450</v>
      </c>
      <c r="O257" s="16" t="s">
        <v>1532</v>
      </c>
      <c r="P257" s="16" t="s">
        <v>1451</v>
      </c>
      <c r="Q257" s="16" t="s">
        <v>1396</v>
      </c>
      <c r="R257" s="16">
        <v>1</v>
      </c>
      <c r="S257" s="16" t="s">
        <v>1453</v>
      </c>
      <c r="T257" s="16" t="s">
        <v>1454</v>
      </c>
      <c r="U257" s="16" t="s">
        <v>1406</v>
      </c>
      <c r="V257" s="16">
        <v>13</v>
      </c>
      <c r="W257" s="16" t="b">
        <v>1</v>
      </c>
      <c r="X257" s="16">
        <v>240806</v>
      </c>
      <c r="Y257" s="16" t="s">
        <v>1405</v>
      </c>
      <c r="Z257" s="16">
        <v>0</v>
      </c>
      <c r="AA257" s="16">
        <v>0</v>
      </c>
      <c r="AB257" s="16" t="s">
        <v>1405</v>
      </c>
      <c r="AC257" s="16" t="s">
        <v>1405</v>
      </c>
      <c r="AD257" s="16">
        <v>0</v>
      </c>
      <c r="AE257" s="16" t="s">
        <v>1405</v>
      </c>
      <c r="AF257" s="16" t="s">
        <v>1405</v>
      </c>
    </row>
    <row r="258" spans="1:32" x14ac:dyDescent="0.2">
      <c r="A258" s="3" t="s">
        <v>2114</v>
      </c>
      <c r="B258" s="12" t="s">
        <v>1497</v>
      </c>
      <c r="C258" s="6">
        <v>257</v>
      </c>
      <c r="D258" s="12">
        <v>65</v>
      </c>
      <c r="E258" s="12" t="s">
        <v>1444</v>
      </c>
      <c r="F258" s="12" t="s">
        <v>1445</v>
      </c>
      <c r="G258" s="12" t="s">
        <v>1446</v>
      </c>
      <c r="H258" s="12" t="s">
        <v>109</v>
      </c>
      <c r="I258" s="12" t="s">
        <v>1412</v>
      </c>
      <c r="J258" s="12" t="s">
        <v>1402</v>
      </c>
      <c r="K258" s="17" t="s">
        <v>1534</v>
      </c>
      <c r="L258" s="13" t="s">
        <v>1499</v>
      </c>
      <c r="M258" s="13" t="s">
        <v>1531</v>
      </c>
      <c r="N258" s="13" t="s">
        <v>1450</v>
      </c>
      <c r="O258" s="13" t="s">
        <v>1532</v>
      </c>
      <c r="P258" s="13" t="s">
        <v>1451</v>
      </c>
      <c r="Q258" s="13" t="s">
        <v>1398</v>
      </c>
      <c r="R258" s="13">
        <v>2</v>
      </c>
      <c r="S258" s="13" t="s">
        <v>1453</v>
      </c>
      <c r="T258" s="13" t="s">
        <v>1454</v>
      </c>
      <c r="U258" s="13" t="s">
        <v>1406</v>
      </c>
      <c r="V258" s="13">
        <v>13</v>
      </c>
      <c r="W258" s="13" t="b">
        <v>1</v>
      </c>
      <c r="X258" s="13">
        <v>240806</v>
      </c>
      <c r="Y258" s="13" t="s">
        <v>1405</v>
      </c>
      <c r="Z258" s="13">
        <v>0</v>
      </c>
      <c r="AA258" s="13">
        <v>0</v>
      </c>
      <c r="AB258" s="13" t="s">
        <v>1405</v>
      </c>
      <c r="AC258" s="13" t="s">
        <v>1405</v>
      </c>
      <c r="AD258" s="13">
        <v>0</v>
      </c>
      <c r="AE258" s="13" t="s">
        <v>1405</v>
      </c>
      <c r="AF258" s="13" t="s">
        <v>1405</v>
      </c>
    </row>
    <row r="259" spans="1:32" x14ac:dyDescent="0.2">
      <c r="A259" s="3" t="s">
        <v>2115</v>
      </c>
      <c r="B259" s="14" t="s">
        <v>1497</v>
      </c>
      <c r="C259" s="6">
        <v>258</v>
      </c>
      <c r="D259" s="14">
        <v>65</v>
      </c>
      <c r="E259" s="14" t="s">
        <v>1457</v>
      </c>
      <c r="F259" s="15" t="s">
        <v>1445</v>
      </c>
      <c r="G259" s="14" t="s">
        <v>1458</v>
      </c>
      <c r="H259" s="14" t="s">
        <v>109</v>
      </c>
      <c r="I259" s="14" t="s">
        <v>1502</v>
      </c>
      <c r="J259" s="14" t="s">
        <v>1402</v>
      </c>
      <c r="K259" s="17" t="s">
        <v>1535</v>
      </c>
      <c r="L259" s="16" t="s">
        <v>1499</v>
      </c>
      <c r="M259" s="16" t="s">
        <v>1531</v>
      </c>
      <c r="N259" s="16" t="s">
        <v>1450</v>
      </c>
      <c r="O259" s="16" t="s">
        <v>1532</v>
      </c>
      <c r="P259" s="16" t="s">
        <v>1451</v>
      </c>
      <c r="Q259" s="16" t="s">
        <v>1398</v>
      </c>
      <c r="R259" s="16">
        <v>2</v>
      </c>
      <c r="S259" s="16" t="s">
        <v>1453</v>
      </c>
      <c r="T259" s="16" t="s">
        <v>1454</v>
      </c>
      <c r="U259" s="16" t="s">
        <v>1406</v>
      </c>
      <c r="V259" s="16">
        <v>13</v>
      </c>
      <c r="W259" s="16" t="b">
        <v>1</v>
      </c>
      <c r="X259" s="16">
        <v>240806</v>
      </c>
      <c r="Y259" s="16" t="s">
        <v>1405</v>
      </c>
      <c r="Z259" s="16">
        <v>0</v>
      </c>
      <c r="AA259" s="16">
        <v>0</v>
      </c>
      <c r="AB259" s="16" t="s">
        <v>1405</v>
      </c>
      <c r="AC259" s="16" t="s">
        <v>1405</v>
      </c>
      <c r="AD259" s="16">
        <v>0</v>
      </c>
      <c r="AE259" s="16" t="s">
        <v>1405</v>
      </c>
      <c r="AF259" s="16" t="s">
        <v>1405</v>
      </c>
    </row>
    <row r="260" spans="1:32" x14ac:dyDescent="0.2">
      <c r="A260" s="3" t="s">
        <v>2116</v>
      </c>
      <c r="B260" s="12" t="s">
        <v>1497</v>
      </c>
      <c r="C260" s="6">
        <v>259</v>
      </c>
      <c r="D260" s="12">
        <v>66</v>
      </c>
      <c r="E260" s="12" t="s">
        <v>1444</v>
      </c>
      <c r="F260" s="12" t="s">
        <v>1445</v>
      </c>
      <c r="G260" s="12" t="s">
        <v>1446</v>
      </c>
      <c r="H260" s="12" t="s">
        <v>110</v>
      </c>
      <c r="I260" s="12" t="s">
        <v>1412</v>
      </c>
      <c r="J260" s="12" t="s">
        <v>1402</v>
      </c>
      <c r="K260" s="17" t="s">
        <v>1536</v>
      </c>
      <c r="L260" s="13" t="s">
        <v>1499</v>
      </c>
      <c r="M260" s="13" t="s">
        <v>1531</v>
      </c>
      <c r="N260" s="13" t="s">
        <v>1450</v>
      </c>
      <c r="O260" s="13" t="s">
        <v>1532</v>
      </c>
      <c r="P260" s="13" t="s">
        <v>1451</v>
      </c>
      <c r="Q260" s="13" t="s">
        <v>1399</v>
      </c>
      <c r="R260" s="13">
        <v>3</v>
      </c>
      <c r="S260" s="13" t="s">
        <v>1453</v>
      </c>
      <c r="T260" s="13" t="s">
        <v>1454</v>
      </c>
      <c r="U260" s="13" t="s">
        <v>1406</v>
      </c>
      <c r="V260" s="13">
        <v>13</v>
      </c>
      <c r="W260" s="13" t="b">
        <v>1</v>
      </c>
      <c r="X260" s="13">
        <v>240806</v>
      </c>
      <c r="Y260" s="13" t="s">
        <v>1405</v>
      </c>
      <c r="Z260" s="13">
        <v>0</v>
      </c>
      <c r="AA260" s="13">
        <v>0</v>
      </c>
      <c r="AB260" s="13" t="s">
        <v>1405</v>
      </c>
      <c r="AC260" s="13" t="s">
        <v>1405</v>
      </c>
      <c r="AD260" s="13">
        <v>0</v>
      </c>
      <c r="AE260" s="13" t="s">
        <v>1405</v>
      </c>
      <c r="AF260" s="13" t="s">
        <v>1405</v>
      </c>
    </row>
    <row r="261" spans="1:32" x14ac:dyDescent="0.2">
      <c r="A261" s="3" t="s">
        <v>2117</v>
      </c>
      <c r="B261" s="14" t="s">
        <v>1497</v>
      </c>
      <c r="C261" s="6">
        <v>260</v>
      </c>
      <c r="D261" s="14">
        <v>66</v>
      </c>
      <c r="E261" s="14" t="s">
        <v>1457</v>
      </c>
      <c r="F261" s="15" t="s">
        <v>1445</v>
      </c>
      <c r="G261" s="14" t="s">
        <v>1458</v>
      </c>
      <c r="H261" s="14" t="s">
        <v>110</v>
      </c>
      <c r="I261" s="14" t="s">
        <v>1502</v>
      </c>
      <c r="J261" s="14" t="s">
        <v>1402</v>
      </c>
      <c r="K261" s="17" t="s">
        <v>1537</v>
      </c>
      <c r="L261" s="16" t="s">
        <v>1499</v>
      </c>
      <c r="M261" s="16" t="s">
        <v>1531</v>
      </c>
      <c r="N261" s="16" t="s">
        <v>1450</v>
      </c>
      <c r="O261" s="16" t="s">
        <v>1532</v>
      </c>
      <c r="P261" s="16" t="s">
        <v>1451</v>
      </c>
      <c r="Q261" s="16" t="s">
        <v>1399</v>
      </c>
      <c r="R261" s="16">
        <v>3</v>
      </c>
      <c r="S261" s="16" t="s">
        <v>1453</v>
      </c>
      <c r="T261" s="16" t="s">
        <v>1454</v>
      </c>
      <c r="U261" s="16" t="s">
        <v>1406</v>
      </c>
      <c r="V261" s="16">
        <v>13</v>
      </c>
      <c r="W261" s="16" t="b">
        <v>1</v>
      </c>
      <c r="X261" s="16">
        <v>240806</v>
      </c>
      <c r="Y261" s="16" t="s">
        <v>1405</v>
      </c>
      <c r="Z261" s="16">
        <v>0</v>
      </c>
      <c r="AA261" s="16">
        <v>0</v>
      </c>
      <c r="AB261" s="16" t="s">
        <v>1405</v>
      </c>
      <c r="AC261" s="16" t="s">
        <v>1405</v>
      </c>
      <c r="AD261" s="16">
        <v>0</v>
      </c>
      <c r="AE261" s="16" t="s">
        <v>1405</v>
      </c>
      <c r="AF261" s="16" t="s">
        <v>1405</v>
      </c>
    </row>
    <row r="262" spans="1:32" x14ac:dyDescent="0.2">
      <c r="A262" s="3" t="s">
        <v>2118</v>
      </c>
      <c r="B262" s="12" t="s">
        <v>1497</v>
      </c>
      <c r="C262" s="6">
        <v>261</v>
      </c>
      <c r="D262" s="12">
        <v>67</v>
      </c>
      <c r="E262" s="12" t="s">
        <v>1444</v>
      </c>
      <c r="F262" s="12" t="s">
        <v>1445</v>
      </c>
      <c r="G262" s="12" t="s">
        <v>1446</v>
      </c>
      <c r="H262" s="12" t="s">
        <v>111</v>
      </c>
      <c r="I262" s="12" t="s">
        <v>1412</v>
      </c>
      <c r="J262" s="12" t="s">
        <v>1402</v>
      </c>
      <c r="K262" s="17" t="s">
        <v>1538</v>
      </c>
      <c r="L262" s="13" t="s">
        <v>1499</v>
      </c>
      <c r="M262" s="13" t="s">
        <v>1531</v>
      </c>
      <c r="N262" s="13" t="s">
        <v>1450</v>
      </c>
      <c r="O262" s="13" t="s">
        <v>1532</v>
      </c>
      <c r="P262" s="13" t="s">
        <v>1451</v>
      </c>
      <c r="Q262" s="13" t="s">
        <v>1400</v>
      </c>
      <c r="R262" s="13">
        <v>4</v>
      </c>
      <c r="S262" s="13" t="s">
        <v>1453</v>
      </c>
      <c r="T262" s="13" t="s">
        <v>1454</v>
      </c>
      <c r="U262" s="13" t="s">
        <v>1406</v>
      </c>
      <c r="V262" s="13">
        <v>13</v>
      </c>
      <c r="W262" s="13" t="b">
        <v>1</v>
      </c>
      <c r="X262" s="13">
        <v>240806</v>
      </c>
      <c r="Y262" s="13" t="s">
        <v>1405</v>
      </c>
      <c r="Z262" s="13">
        <v>0</v>
      </c>
      <c r="AA262" s="13">
        <v>0</v>
      </c>
      <c r="AB262" s="13" t="s">
        <v>1405</v>
      </c>
      <c r="AC262" s="13" t="s">
        <v>1405</v>
      </c>
      <c r="AD262" s="13">
        <v>0</v>
      </c>
      <c r="AE262" s="13" t="s">
        <v>1405</v>
      </c>
      <c r="AF262" s="13" t="s">
        <v>1405</v>
      </c>
    </row>
    <row r="263" spans="1:32" x14ac:dyDescent="0.2">
      <c r="A263" s="3" t="s">
        <v>2119</v>
      </c>
      <c r="B263" s="14" t="s">
        <v>1497</v>
      </c>
      <c r="C263" s="6">
        <v>262</v>
      </c>
      <c r="D263" s="14">
        <v>67</v>
      </c>
      <c r="E263" s="14" t="s">
        <v>1457</v>
      </c>
      <c r="F263" s="15" t="s">
        <v>1445</v>
      </c>
      <c r="G263" s="14" t="s">
        <v>1458</v>
      </c>
      <c r="H263" s="14" t="s">
        <v>111</v>
      </c>
      <c r="I263" s="14" t="s">
        <v>1502</v>
      </c>
      <c r="J263" s="14" t="s">
        <v>1402</v>
      </c>
      <c r="K263" s="17" t="s">
        <v>1539</v>
      </c>
      <c r="L263" s="16" t="s">
        <v>1499</v>
      </c>
      <c r="M263" s="16" t="s">
        <v>1531</v>
      </c>
      <c r="N263" s="16" t="s">
        <v>1450</v>
      </c>
      <c r="O263" s="16" t="s">
        <v>1532</v>
      </c>
      <c r="P263" s="16" t="s">
        <v>1451</v>
      </c>
      <c r="Q263" s="16" t="s">
        <v>1400</v>
      </c>
      <c r="R263" s="16">
        <v>4</v>
      </c>
      <c r="S263" s="16" t="s">
        <v>1453</v>
      </c>
      <c r="T263" s="16" t="s">
        <v>1454</v>
      </c>
      <c r="U263" s="16" t="s">
        <v>1406</v>
      </c>
      <c r="V263" s="16">
        <v>13</v>
      </c>
      <c r="W263" s="16" t="b">
        <v>1</v>
      </c>
      <c r="X263" s="16">
        <v>240806</v>
      </c>
      <c r="Y263" s="16" t="s">
        <v>1405</v>
      </c>
      <c r="Z263" s="16">
        <v>0</v>
      </c>
      <c r="AA263" s="16">
        <v>0</v>
      </c>
      <c r="AB263" s="16" t="s">
        <v>1405</v>
      </c>
      <c r="AC263" s="16" t="s">
        <v>1405</v>
      </c>
      <c r="AD263" s="16">
        <v>0</v>
      </c>
      <c r="AE263" s="16" t="s">
        <v>1405</v>
      </c>
      <c r="AF263" s="16" t="s">
        <v>1405</v>
      </c>
    </row>
    <row r="264" spans="1:32" x14ac:dyDescent="0.2">
      <c r="A264" s="3" t="s">
        <v>2120</v>
      </c>
      <c r="B264" s="12" t="s">
        <v>1497</v>
      </c>
      <c r="C264" s="6">
        <v>263</v>
      </c>
      <c r="D264" s="12">
        <v>68</v>
      </c>
      <c r="E264" s="12" t="s">
        <v>1444</v>
      </c>
      <c r="F264" s="12" t="s">
        <v>1445</v>
      </c>
      <c r="G264" s="12" t="s">
        <v>1446</v>
      </c>
      <c r="H264" s="12" t="s">
        <v>112</v>
      </c>
      <c r="I264" s="12" t="s">
        <v>1412</v>
      </c>
      <c r="J264" s="12" t="s">
        <v>1402</v>
      </c>
      <c r="K264" s="17" t="s">
        <v>1540</v>
      </c>
      <c r="L264" s="13" t="s">
        <v>1499</v>
      </c>
      <c r="M264" s="13" t="s">
        <v>1531</v>
      </c>
      <c r="N264" s="13" t="s">
        <v>1450</v>
      </c>
      <c r="O264" s="13" t="s">
        <v>1532</v>
      </c>
      <c r="P264" s="13" t="s">
        <v>1451</v>
      </c>
      <c r="Q264" s="13" t="s">
        <v>1541</v>
      </c>
      <c r="R264" s="13">
        <v>5</v>
      </c>
      <c r="S264" s="13" t="s">
        <v>1453</v>
      </c>
      <c r="T264" s="13" t="s">
        <v>1454</v>
      </c>
      <c r="U264" s="13" t="s">
        <v>1406</v>
      </c>
      <c r="V264" s="13">
        <v>13</v>
      </c>
      <c r="W264" s="13" t="b">
        <v>1</v>
      </c>
      <c r="X264" s="13">
        <v>240806</v>
      </c>
      <c r="Y264" s="13" t="s">
        <v>1405</v>
      </c>
      <c r="Z264" s="13">
        <v>0</v>
      </c>
      <c r="AA264" s="13">
        <v>0</v>
      </c>
      <c r="AB264" s="13" t="s">
        <v>1405</v>
      </c>
      <c r="AC264" s="13" t="s">
        <v>1405</v>
      </c>
      <c r="AD264" s="13">
        <v>0</v>
      </c>
      <c r="AE264" s="13" t="s">
        <v>1405</v>
      </c>
      <c r="AF264" s="13" t="s">
        <v>1405</v>
      </c>
    </row>
    <row r="265" spans="1:32" x14ac:dyDescent="0.2">
      <c r="A265" s="3" t="s">
        <v>2121</v>
      </c>
      <c r="B265" s="14" t="s">
        <v>1497</v>
      </c>
      <c r="C265" s="6">
        <v>264</v>
      </c>
      <c r="D265" s="14">
        <v>68</v>
      </c>
      <c r="E265" s="14" t="s">
        <v>1457</v>
      </c>
      <c r="F265" s="15" t="s">
        <v>1445</v>
      </c>
      <c r="G265" s="14" t="s">
        <v>1458</v>
      </c>
      <c r="H265" s="14" t="s">
        <v>112</v>
      </c>
      <c r="I265" s="14" t="s">
        <v>1502</v>
      </c>
      <c r="J265" s="14" t="s">
        <v>1402</v>
      </c>
      <c r="K265" s="17" t="s">
        <v>1542</v>
      </c>
      <c r="L265" s="16" t="s">
        <v>1499</v>
      </c>
      <c r="M265" s="16" t="s">
        <v>1531</v>
      </c>
      <c r="N265" s="16" t="s">
        <v>1450</v>
      </c>
      <c r="O265" s="16" t="s">
        <v>1532</v>
      </c>
      <c r="P265" s="16" t="s">
        <v>1451</v>
      </c>
      <c r="Q265" s="16" t="s">
        <v>1541</v>
      </c>
      <c r="R265" s="16">
        <v>5</v>
      </c>
      <c r="S265" s="16" t="s">
        <v>1453</v>
      </c>
      <c r="T265" s="16" t="s">
        <v>1454</v>
      </c>
      <c r="U265" s="16" t="s">
        <v>1406</v>
      </c>
      <c r="V265" s="16">
        <v>13</v>
      </c>
      <c r="W265" s="16" t="b">
        <v>1</v>
      </c>
      <c r="X265" s="16">
        <v>240806</v>
      </c>
      <c r="Y265" s="16" t="s">
        <v>1405</v>
      </c>
      <c r="Z265" s="16">
        <v>0</v>
      </c>
      <c r="AA265" s="16">
        <v>0</v>
      </c>
      <c r="AB265" s="16" t="s">
        <v>1405</v>
      </c>
      <c r="AC265" s="16" t="s">
        <v>1405</v>
      </c>
      <c r="AD265" s="16">
        <v>0</v>
      </c>
      <c r="AE265" s="16" t="s">
        <v>1405</v>
      </c>
      <c r="AF265" s="16" t="s">
        <v>1405</v>
      </c>
    </row>
    <row r="266" spans="1:32" x14ac:dyDescent="0.2">
      <c r="A266" s="3" t="s">
        <v>2122</v>
      </c>
      <c r="B266" s="12" t="s">
        <v>1497</v>
      </c>
      <c r="C266" s="6">
        <v>265</v>
      </c>
      <c r="D266" s="12">
        <v>69</v>
      </c>
      <c r="E266" s="12" t="s">
        <v>1444</v>
      </c>
      <c r="F266" s="12" t="s">
        <v>1445</v>
      </c>
      <c r="G266" s="12" t="s">
        <v>1446</v>
      </c>
      <c r="H266" s="12" t="s">
        <v>113</v>
      </c>
      <c r="I266" s="12" t="s">
        <v>1412</v>
      </c>
      <c r="J266" s="12" t="s">
        <v>1402</v>
      </c>
      <c r="K266" s="17" t="s">
        <v>1543</v>
      </c>
      <c r="L266" s="13" t="s">
        <v>1511</v>
      </c>
      <c r="M266" s="13" t="s">
        <v>1544</v>
      </c>
      <c r="N266" s="13" t="s">
        <v>1450</v>
      </c>
      <c r="O266" s="13" t="s">
        <v>1532</v>
      </c>
      <c r="P266" s="13" t="s">
        <v>1451</v>
      </c>
      <c r="Q266" s="13" t="s">
        <v>1396</v>
      </c>
      <c r="R266" s="13">
        <v>1</v>
      </c>
      <c r="S266" s="13" t="s">
        <v>1453</v>
      </c>
      <c r="T266" s="13" t="s">
        <v>1454</v>
      </c>
      <c r="U266" s="13" t="s">
        <v>1406</v>
      </c>
      <c r="V266" s="13">
        <v>13</v>
      </c>
      <c r="W266" s="13" t="b">
        <v>1</v>
      </c>
      <c r="X266" s="13">
        <v>240806</v>
      </c>
      <c r="Y266" s="13" t="s">
        <v>1405</v>
      </c>
      <c r="Z266" s="13">
        <v>0</v>
      </c>
      <c r="AA266" s="13">
        <v>0</v>
      </c>
      <c r="AB266" s="13" t="s">
        <v>1405</v>
      </c>
      <c r="AC266" s="13" t="s">
        <v>1405</v>
      </c>
      <c r="AD266" s="13">
        <v>0</v>
      </c>
      <c r="AE266" s="13" t="s">
        <v>1405</v>
      </c>
      <c r="AF266" s="13" t="s">
        <v>1405</v>
      </c>
    </row>
    <row r="267" spans="1:32" x14ac:dyDescent="0.2">
      <c r="A267" s="3" t="s">
        <v>2123</v>
      </c>
      <c r="B267" s="14" t="s">
        <v>1497</v>
      </c>
      <c r="C267" s="6">
        <v>266</v>
      </c>
      <c r="D267" s="14">
        <v>69</v>
      </c>
      <c r="E267" s="14" t="s">
        <v>1457</v>
      </c>
      <c r="F267" s="15" t="s">
        <v>1445</v>
      </c>
      <c r="G267" s="14" t="s">
        <v>1458</v>
      </c>
      <c r="H267" s="14" t="s">
        <v>113</v>
      </c>
      <c r="I267" s="14" t="s">
        <v>1502</v>
      </c>
      <c r="J267" s="14" t="s">
        <v>1402</v>
      </c>
      <c r="K267" s="17" t="s">
        <v>1545</v>
      </c>
      <c r="L267" s="16" t="s">
        <v>1511</v>
      </c>
      <c r="M267" s="16" t="s">
        <v>1544</v>
      </c>
      <c r="N267" s="16" t="s">
        <v>1450</v>
      </c>
      <c r="O267" s="16" t="s">
        <v>1532</v>
      </c>
      <c r="P267" s="16" t="s">
        <v>1451</v>
      </c>
      <c r="Q267" s="16" t="s">
        <v>1396</v>
      </c>
      <c r="R267" s="16">
        <v>1</v>
      </c>
      <c r="S267" s="16" t="s">
        <v>1453</v>
      </c>
      <c r="T267" s="16" t="s">
        <v>1454</v>
      </c>
      <c r="U267" s="16" t="s">
        <v>1406</v>
      </c>
      <c r="V267" s="16">
        <v>13</v>
      </c>
      <c r="W267" s="16" t="b">
        <v>1</v>
      </c>
      <c r="X267" s="16">
        <v>240806</v>
      </c>
      <c r="Y267" s="16" t="s">
        <v>1405</v>
      </c>
      <c r="Z267" s="16">
        <v>0</v>
      </c>
      <c r="AA267" s="16">
        <v>0</v>
      </c>
      <c r="AB267" s="16" t="s">
        <v>1405</v>
      </c>
      <c r="AC267" s="16" t="s">
        <v>1405</v>
      </c>
      <c r="AD267" s="16">
        <v>0</v>
      </c>
      <c r="AE267" s="16" t="s">
        <v>1405</v>
      </c>
      <c r="AF267" s="16" t="s">
        <v>1405</v>
      </c>
    </row>
    <row r="268" spans="1:32" x14ac:dyDescent="0.2">
      <c r="A268" s="3" t="s">
        <v>2124</v>
      </c>
      <c r="B268" s="12" t="s">
        <v>1497</v>
      </c>
      <c r="C268" s="6">
        <v>267</v>
      </c>
      <c r="D268" s="12">
        <v>70</v>
      </c>
      <c r="E268" s="12" t="s">
        <v>1444</v>
      </c>
      <c r="F268" s="12" t="s">
        <v>1445</v>
      </c>
      <c r="G268" s="12" t="s">
        <v>1446</v>
      </c>
      <c r="H268" s="12" t="s">
        <v>114</v>
      </c>
      <c r="I268" s="12" t="s">
        <v>1412</v>
      </c>
      <c r="J268" s="12" t="s">
        <v>1402</v>
      </c>
      <c r="K268" s="17" t="s">
        <v>1546</v>
      </c>
      <c r="L268" s="13" t="s">
        <v>1511</v>
      </c>
      <c r="M268" s="13" t="s">
        <v>1544</v>
      </c>
      <c r="N268" s="13" t="s">
        <v>1450</v>
      </c>
      <c r="O268" s="13" t="s">
        <v>1532</v>
      </c>
      <c r="P268" s="13" t="s">
        <v>1451</v>
      </c>
      <c r="Q268" s="13" t="s">
        <v>1398</v>
      </c>
      <c r="R268" s="13">
        <v>2</v>
      </c>
      <c r="S268" s="13" t="s">
        <v>1453</v>
      </c>
      <c r="T268" s="13" t="s">
        <v>1454</v>
      </c>
      <c r="U268" s="13" t="s">
        <v>1406</v>
      </c>
      <c r="V268" s="13">
        <v>13</v>
      </c>
      <c r="W268" s="13" t="b">
        <v>1</v>
      </c>
      <c r="X268" s="13">
        <v>240806</v>
      </c>
      <c r="Y268" s="13" t="s">
        <v>1405</v>
      </c>
      <c r="Z268" s="13">
        <v>0</v>
      </c>
      <c r="AA268" s="13">
        <v>0</v>
      </c>
      <c r="AB268" s="13" t="s">
        <v>1405</v>
      </c>
      <c r="AC268" s="13" t="s">
        <v>1405</v>
      </c>
      <c r="AD268" s="13">
        <v>0</v>
      </c>
      <c r="AE268" s="13" t="s">
        <v>1405</v>
      </c>
      <c r="AF268" s="13" t="s">
        <v>1405</v>
      </c>
    </row>
    <row r="269" spans="1:32" x14ac:dyDescent="0.2">
      <c r="A269" s="3" t="s">
        <v>2125</v>
      </c>
      <c r="B269" s="14" t="s">
        <v>1497</v>
      </c>
      <c r="C269" s="6">
        <v>268</v>
      </c>
      <c r="D269" s="14">
        <v>70</v>
      </c>
      <c r="E269" s="14" t="s">
        <v>1457</v>
      </c>
      <c r="F269" s="15" t="s">
        <v>1445</v>
      </c>
      <c r="G269" s="14" t="s">
        <v>1458</v>
      </c>
      <c r="H269" s="14" t="s">
        <v>114</v>
      </c>
      <c r="I269" s="14" t="s">
        <v>1502</v>
      </c>
      <c r="J269" s="14" t="s">
        <v>1402</v>
      </c>
      <c r="K269" s="17" t="s">
        <v>1547</v>
      </c>
      <c r="L269" s="16" t="s">
        <v>1511</v>
      </c>
      <c r="M269" s="16" t="s">
        <v>1544</v>
      </c>
      <c r="N269" s="16" t="s">
        <v>1450</v>
      </c>
      <c r="O269" s="16" t="s">
        <v>1532</v>
      </c>
      <c r="P269" s="16" t="s">
        <v>1451</v>
      </c>
      <c r="Q269" s="16" t="s">
        <v>1398</v>
      </c>
      <c r="R269" s="16">
        <v>2</v>
      </c>
      <c r="S269" s="16" t="s">
        <v>1453</v>
      </c>
      <c r="T269" s="16" t="s">
        <v>1454</v>
      </c>
      <c r="U269" s="16" t="s">
        <v>1406</v>
      </c>
      <c r="V269" s="16">
        <v>13</v>
      </c>
      <c r="W269" s="16" t="b">
        <v>1</v>
      </c>
      <c r="X269" s="16">
        <v>240806</v>
      </c>
      <c r="Y269" s="16" t="s">
        <v>1405</v>
      </c>
      <c r="Z269" s="16">
        <v>0</v>
      </c>
      <c r="AA269" s="16">
        <v>0</v>
      </c>
      <c r="AB269" s="16" t="s">
        <v>1405</v>
      </c>
      <c r="AC269" s="16" t="s">
        <v>1405</v>
      </c>
      <c r="AD269" s="16">
        <v>0</v>
      </c>
      <c r="AE269" s="16" t="s">
        <v>1405</v>
      </c>
      <c r="AF269" s="16" t="s">
        <v>1405</v>
      </c>
    </row>
    <row r="270" spans="1:32" x14ac:dyDescent="0.2">
      <c r="A270" s="3" t="s">
        <v>2126</v>
      </c>
      <c r="B270" s="12" t="s">
        <v>1497</v>
      </c>
      <c r="C270" s="6">
        <v>269</v>
      </c>
      <c r="D270" s="12">
        <v>71</v>
      </c>
      <c r="E270" s="12" t="s">
        <v>1444</v>
      </c>
      <c r="F270" s="12" t="s">
        <v>1445</v>
      </c>
      <c r="G270" s="12" t="s">
        <v>1446</v>
      </c>
      <c r="H270" s="12" t="s">
        <v>115</v>
      </c>
      <c r="I270" s="12" t="s">
        <v>1412</v>
      </c>
      <c r="J270" s="12" t="s">
        <v>1402</v>
      </c>
      <c r="K270" s="17" t="s">
        <v>1548</v>
      </c>
      <c r="L270" s="13" t="s">
        <v>1511</v>
      </c>
      <c r="M270" s="13" t="s">
        <v>1544</v>
      </c>
      <c r="N270" s="13" t="s">
        <v>1450</v>
      </c>
      <c r="O270" s="13" t="s">
        <v>1532</v>
      </c>
      <c r="P270" s="13" t="s">
        <v>1451</v>
      </c>
      <c r="Q270" s="13" t="s">
        <v>1399</v>
      </c>
      <c r="R270" s="13">
        <v>3</v>
      </c>
      <c r="S270" s="13" t="s">
        <v>1453</v>
      </c>
      <c r="T270" s="13" t="s">
        <v>1454</v>
      </c>
      <c r="U270" s="13" t="s">
        <v>1406</v>
      </c>
      <c r="V270" s="13">
        <v>13</v>
      </c>
      <c r="W270" s="13" t="b">
        <v>1</v>
      </c>
      <c r="X270" s="13">
        <v>240806</v>
      </c>
      <c r="Y270" s="13" t="s">
        <v>1405</v>
      </c>
      <c r="Z270" s="13">
        <v>0</v>
      </c>
      <c r="AA270" s="13">
        <v>0</v>
      </c>
      <c r="AB270" s="13" t="s">
        <v>1405</v>
      </c>
      <c r="AC270" s="13" t="s">
        <v>1405</v>
      </c>
      <c r="AD270" s="13">
        <v>0</v>
      </c>
      <c r="AE270" s="13" t="s">
        <v>1405</v>
      </c>
      <c r="AF270" s="13" t="s">
        <v>1405</v>
      </c>
    </row>
    <row r="271" spans="1:32" x14ac:dyDescent="0.2">
      <c r="A271" s="3" t="s">
        <v>2127</v>
      </c>
      <c r="B271" s="14" t="s">
        <v>1497</v>
      </c>
      <c r="C271" s="6">
        <v>270</v>
      </c>
      <c r="D271" s="14">
        <v>71</v>
      </c>
      <c r="E271" s="14" t="s">
        <v>1457</v>
      </c>
      <c r="F271" s="15" t="s">
        <v>1445</v>
      </c>
      <c r="G271" s="14" t="s">
        <v>1458</v>
      </c>
      <c r="H271" s="14" t="s">
        <v>115</v>
      </c>
      <c r="I271" s="14" t="s">
        <v>1502</v>
      </c>
      <c r="J271" s="14" t="s">
        <v>1402</v>
      </c>
      <c r="K271" s="17" t="s">
        <v>1549</v>
      </c>
      <c r="L271" s="16" t="s">
        <v>1511</v>
      </c>
      <c r="M271" s="16" t="s">
        <v>1544</v>
      </c>
      <c r="N271" s="16" t="s">
        <v>1450</v>
      </c>
      <c r="O271" s="16" t="s">
        <v>1532</v>
      </c>
      <c r="P271" s="16" t="s">
        <v>1451</v>
      </c>
      <c r="Q271" s="16" t="s">
        <v>1399</v>
      </c>
      <c r="R271" s="16">
        <v>3</v>
      </c>
      <c r="S271" s="16" t="s">
        <v>1453</v>
      </c>
      <c r="T271" s="16" t="s">
        <v>1454</v>
      </c>
      <c r="U271" s="16" t="s">
        <v>1406</v>
      </c>
      <c r="V271" s="16">
        <v>13</v>
      </c>
      <c r="W271" s="16" t="b">
        <v>1</v>
      </c>
      <c r="X271" s="16">
        <v>240806</v>
      </c>
      <c r="Y271" s="16" t="s">
        <v>1405</v>
      </c>
      <c r="Z271" s="16">
        <v>0</v>
      </c>
      <c r="AA271" s="16">
        <v>0</v>
      </c>
      <c r="AB271" s="16" t="s">
        <v>1405</v>
      </c>
      <c r="AC271" s="16" t="s">
        <v>1405</v>
      </c>
      <c r="AD271" s="16">
        <v>0</v>
      </c>
      <c r="AE271" s="16" t="s">
        <v>1405</v>
      </c>
      <c r="AF271" s="16" t="s">
        <v>1405</v>
      </c>
    </row>
    <row r="272" spans="1:32" x14ac:dyDescent="0.2">
      <c r="A272" s="3" t="s">
        <v>2128</v>
      </c>
      <c r="B272" s="12" t="s">
        <v>1497</v>
      </c>
      <c r="C272" s="6">
        <v>271</v>
      </c>
      <c r="D272" s="12">
        <v>72</v>
      </c>
      <c r="E272" s="12" t="s">
        <v>1444</v>
      </c>
      <c r="F272" s="12" t="s">
        <v>1445</v>
      </c>
      <c r="G272" s="12" t="s">
        <v>1446</v>
      </c>
      <c r="H272" s="12" t="s">
        <v>116</v>
      </c>
      <c r="I272" s="12" t="s">
        <v>1412</v>
      </c>
      <c r="J272" s="12" t="s">
        <v>1402</v>
      </c>
      <c r="K272" s="17" t="s">
        <v>1550</v>
      </c>
      <c r="L272" s="13" t="s">
        <v>1511</v>
      </c>
      <c r="M272" s="13" t="s">
        <v>1544</v>
      </c>
      <c r="N272" s="13" t="s">
        <v>1450</v>
      </c>
      <c r="O272" s="13" t="s">
        <v>1532</v>
      </c>
      <c r="P272" s="13" t="s">
        <v>1451</v>
      </c>
      <c r="Q272" s="13" t="s">
        <v>1400</v>
      </c>
      <c r="R272" s="13">
        <v>4</v>
      </c>
      <c r="S272" s="13" t="s">
        <v>1453</v>
      </c>
      <c r="T272" s="13" t="s">
        <v>1454</v>
      </c>
      <c r="U272" s="13" t="s">
        <v>1406</v>
      </c>
      <c r="V272" s="13">
        <v>13</v>
      </c>
      <c r="W272" s="13" t="b">
        <v>1</v>
      </c>
      <c r="X272" s="13">
        <v>240806</v>
      </c>
      <c r="Y272" s="13" t="s">
        <v>1405</v>
      </c>
      <c r="Z272" s="13">
        <v>0</v>
      </c>
      <c r="AA272" s="13">
        <v>0</v>
      </c>
      <c r="AB272" s="13" t="s">
        <v>1405</v>
      </c>
      <c r="AC272" s="13" t="s">
        <v>1405</v>
      </c>
      <c r="AD272" s="13">
        <v>0</v>
      </c>
      <c r="AE272" s="13" t="s">
        <v>1405</v>
      </c>
      <c r="AF272" s="13" t="s">
        <v>1405</v>
      </c>
    </row>
    <row r="273" spans="1:32" x14ac:dyDescent="0.2">
      <c r="A273" s="3" t="s">
        <v>2129</v>
      </c>
      <c r="B273" s="14" t="s">
        <v>1497</v>
      </c>
      <c r="C273" s="6">
        <v>272</v>
      </c>
      <c r="D273" s="14">
        <v>72</v>
      </c>
      <c r="E273" s="14" t="s">
        <v>1457</v>
      </c>
      <c r="F273" s="15" t="s">
        <v>1445</v>
      </c>
      <c r="G273" s="14" t="s">
        <v>1458</v>
      </c>
      <c r="H273" s="14" t="s">
        <v>116</v>
      </c>
      <c r="I273" s="14" t="s">
        <v>1502</v>
      </c>
      <c r="J273" s="14" t="s">
        <v>1402</v>
      </c>
      <c r="K273" s="17" t="s">
        <v>1551</v>
      </c>
      <c r="L273" s="16" t="s">
        <v>1511</v>
      </c>
      <c r="M273" s="16" t="s">
        <v>1544</v>
      </c>
      <c r="N273" s="16" t="s">
        <v>1450</v>
      </c>
      <c r="O273" s="16" t="s">
        <v>1532</v>
      </c>
      <c r="P273" s="16" t="s">
        <v>1451</v>
      </c>
      <c r="Q273" s="16" t="s">
        <v>1400</v>
      </c>
      <c r="R273" s="16">
        <v>4</v>
      </c>
      <c r="S273" s="16" t="s">
        <v>1453</v>
      </c>
      <c r="T273" s="16" t="s">
        <v>1454</v>
      </c>
      <c r="U273" s="16" t="s">
        <v>1406</v>
      </c>
      <c r="V273" s="16">
        <v>13</v>
      </c>
      <c r="W273" s="16" t="b">
        <v>1</v>
      </c>
      <c r="X273" s="16">
        <v>240806</v>
      </c>
      <c r="Y273" s="16" t="s">
        <v>1405</v>
      </c>
      <c r="Z273" s="16">
        <v>0</v>
      </c>
      <c r="AA273" s="16">
        <v>0</v>
      </c>
      <c r="AB273" s="16" t="s">
        <v>1405</v>
      </c>
      <c r="AC273" s="16" t="s">
        <v>1405</v>
      </c>
      <c r="AD273" s="16">
        <v>0</v>
      </c>
      <c r="AE273" s="16" t="s">
        <v>1405</v>
      </c>
      <c r="AF273" s="16" t="s">
        <v>1405</v>
      </c>
    </row>
    <row r="274" spans="1:32" x14ac:dyDescent="0.2">
      <c r="A274" s="3" t="s">
        <v>2130</v>
      </c>
      <c r="B274" s="12" t="s">
        <v>1497</v>
      </c>
      <c r="C274" s="6">
        <v>273</v>
      </c>
      <c r="D274" s="12">
        <v>73</v>
      </c>
      <c r="E274" s="12" t="s">
        <v>1444</v>
      </c>
      <c r="F274" s="12" t="s">
        <v>1445</v>
      </c>
      <c r="G274" s="12" t="s">
        <v>1446</v>
      </c>
      <c r="H274" s="12" t="s">
        <v>118</v>
      </c>
      <c r="I274" s="12" t="s">
        <v>1412</v>
      </c>
      <c r="J274" s="12" t="s">
        <v>1402</v>
      </c>
      <c r="K274" s="17" t="s">
        <v>1552</v>
      </c>
      <c r="L274" s="13" t="s">
        <v>1511</v>
      </c>
      <c r="M274" s="13" t="s">
        <v>1544</v>
      </c>
      <c r="N274" s="13" t="s">
        <v>1450</v>
      </c>
      <c r="O274" s="13" t="s">
        <v>1532</v>
      </c>
      <c r="P274" s="13" t="s">
        <v>1451</v>
      </c>
      <c r="Q274" s="13" t="s">
        <v>1541</v>
      </c>
      <c r="R274" s="13">
        <v>5</v>
      </c>
      <c r="S274" s="13" t="s">
        <v>1453</v>
      </c>
      <c r="T274" s="13" t="s">
        <v>1454</v>
      </c>
      <c r="U274" s="13" t="s">
        <v>1406</v>
      </c>
      <c r="V274" s="13">
        <v>13</v>
      </c>
      <c r="W274" s="13" t="b">
        <v>1</v>
      </c>
      <c r="X274" s="13">
        <v>240806</v>
      </c>
      <c r="Y274" s="13" t="s">
        <v>1405</v>
      </c>
      <c r="Z274" s="13">
        <v>0</v>
      </c>
      <c r="AA274" s="13">
        <v>0</v>
      </c>
      <c r="AB274" s="13" t="s">
        <v>1405</v>
      </c>
      <c r="AC274" s="13" t="s">
        <v>1405</v>
      </c>
      <c r="AD274" s="13">
        <v>0</v>
      </c>
      <c r="AE274" s="13" t="s">
        <v>1405</v>
      </c>
      <c r="AF274" s="13" t="s">
        <v>1405</v>
      </c>
    </row>
    <row r="275" spans="1:32" x14ac:dyDescent="0.2">
      <c r="A275" s="3" t="s">
        <v>2131</v>
      </c>
      <c r="B275" s="14" t="s">
        <v>1497</v>
      </c>
      <c r="C275" s="6">
        <v>274</v>
      </c>
      <c r="D275" s="14">
        <v>73</v>
      </c>
      <c r="E275" s="14" t="s">
        <v>1457</v>
      </c>
      <c r="F275" s="15" t="s">
        <v>1445</v>
      </c>
      <c r="G275" s="14" t="s">
        <v>1458</v>
      </c>
      <c r="H275" s="14" t="s">
        <v>118</v>
      </c>
      <c r="I275" s="14" t="s">
        <v>1502</v>
      </c>
      <c r="J275" s="14" t="s">
        <v>1402</v>
      </c>
      <c r="K275" s="17" t="s">
        <v>1553</v>
      </c>
      <c r="L275" s="16" t="s">
        <v>1511</v>
      </c>
      <c r="M275" s="16" t="s">
        <v>1544</v>
      </c>
      <c r="N275" s="16" t="s">
        <v>1450</v>
      </c>
      <c r="O275" s="16" t="s">
        <v>1532</v>
      </c>
      <c r="P275" s="16" t="s">
        <v>1451</v>
      </c>
      <c r="Q275" s="16" t="s">
        <v>1541</v>
      </c>
      <c r="R275" s="16">
        <v>5</v>
      </c>
      <c r="S275" s="16" t="s">
        <v>1453</v>
      </c>
      <c r="T275" s="16" t="s">
        <v>1454</v>
      </c>
      <c r="U275" s="16" t="s">
        <v>1406</v>
      </c>
      <c r="V275" s="16">
        <v>13</v>
      </c>
      <c r="W275" s="16" t="b">
        <v>1</v>
      </c>
      <c r="X275" s="16">
        <v>240806</v>
      </c>
      <c r="Y275" s="16" t="s">
        <v>1405</v>
      </c>
      <c r="Z275" s="16">
        <v>0</v>
      </c>
      <c r="AA275" s="16">
        <v>0</v>
      </c>
      <c r="AB275" s="16" t="s">
        <v>1405</v>
      </c>
      <c r="AC275" s="16" t="s">
        <v>1405</v>
      </c>
      <c r="AD275" s="16">
        <v>0</v>
      </c>
      <c r="AE275" s="16" t="s">
        <v>1405</v>
      </c>
      <c r="AF275" s="16" t="s">
        <v>1405</v>
      </c>
    </row>
    <row r="276" spans="1:32" x14ac:dyDescent="0.2">
      <c r="A276" s="3" t="s">
        <v>2132</v>
      </c>
      <c r="B276" s="12" t="s">
        <v>1497</v>
      </c>
      <c r="C276" s="6">
        <v>275</v>
      </c>
      <c r="D276" s="12">
        <v>74</v>
      </c>
      <c r="E276" s="12" t="s">
        <v>1444</v>
      </c>
      <c r="F276" s="12" t="s">
        <v>1445</v>
      </c>
      <c r="G276" s="12" t="s">
        <v>1446</v>
      </c>
      <c r="H276" s="12" t="s">
        <v>119</v>
      </c>
      <c r="I276" s="12" t="s">
        <v>1412</v>
      </c>
      <c r="J276" s="12" t="s">
        <v>1402</v>
      </c>
      <c r="K276" s="17" t="s">
        <v>1554</v>
      </c>
      <c r="L276" s="13" t="s">
        <v>1521</v>
      </c>
      <c r="M276" s="13" t="s">
        <v>1555</v>
      </c>
      <c r="N276" s="13" t="s">
        <v>1450</v>
      </c>
      <c r="O276" s="13" t="s">
        <v>1532</v>
      </c>
      <c r="P276" s="13" t="s">
        <v>1451</v>
      </c>
      <c r="Q276" s="13" t="s">
        <v>1396</v>
      </c>
      <c r="R276" s="13">
        <v>1</v>
      </c>
      <c r="S276" s="13" t="s">
        <v>1453</v>
      </c>
      <c r="T276" s="13" t="s">
        <v>1454</v>
      </c>
      <c r="U276" s="13" t="s">
        <v>1406</v>
      </c>
      <c r="V276" s="13">
        <v>13</v>
      </c>
      <c r="W276" s="13" t="b">
        <v>1</v>
      </c>
      <c r="X276" s="13">
        <v>240806</v>
      </c>
      <c r="Y276" s="13" t="s">
        <v>1405</v>
      </c>
      <c r="Z276" s="13">
        <v>0</v>
      </c>
      <c r="AA276" s="13">
        <v>0</v>
      </c>
      <c r="AB276" s="13" t="s">
        <v>1405</v>
      </c>
      <c r="AC276" s="13" t="s">
        <v>1405</v>
      </c>
      <c r="AD276" s="13">
        <v>0</v>
      </c>
      <c r="AE276" s="13" t="s">
        <v>1405</v>
      </c>
      <c r="AF276" s="13" t="s">
        <v>1405</v>
      </c>
    </row>
    <row r="277" spans="1:32" x14ac:dyDescent="0.2">
      <c r="A277" s="3" t="s">
        <v>2133</v>
      </c>
      <c r="B277" s="14" t="s">
        <v>1497</v>
      </c>
      <c r="C277" s="6">
        <v>276</v>
      </c>
      <c r="D277" s="14">
        <v>74</v>
      </c>
      <c r="E277" s="14" t="s">
        <v>1457</v>
      </c>
      <c r="F277" s="15" t="s">
        <v>1445</v>
      </c>
      <c r="G277" s="14" t="s">
        <v>1458</v>
      </c>
      <c r="H277" s="14" t="s">
        <v>119</v>
      </c>
      <c r="I277" s="14" t="s">
        <v>1502</v>
      </c>
      <c r="J277" s="14" t="s">
        <v>1402</v>
      </c>
      <c r="K277" s="17" t="s">
        <v>1556</v>
      </c>
      <c r="L277" s="16" t="s">
        <v>1521</v>
      </c>
      <c r="M277" s="16" t="s">
        <v>1555</v>
      </c>
      <c r="N277" s="16" t="s">
        <v>1450</v>
      </c>
      <c r="O277" s="16" t="s">
        <v>1532</v>
      </c>
      <c r="P277" s="16" t="s">
        <v>1451</v>
      </c>
      <c r="Q277" s="16" t="s">
        <v>1396</v>
      </c>
      <c r="R277" s="16">
        <v>1</v>
      </c>
      <c r="S277" s="16" t="s">
        <v>1453</v>
      </c>
      <c r="T277" s="16" t="s">
        <v>1454</v>
      </c>
      <c r="U277" s="16" t="s">
        <v>1406</v>
      </c>
      <c r="V277" s="16">
        <v>13</v>
      </c>
      <c r="W277" s="16" t="b">
        <v>1</v>
      </c>
      <c r="X277" s="16">
        <v>240806</v>
      </c>
      <c r="Y277" s="16" t="s">
        <v>1405</v>
      </c>
      <c r="Z277" s="16">
        <v>0</v>
      </c>
      <c r="AA277" s="16">
        <v>0</v>
      </c>
      <c r="AB277" s="16" t="s">
        <v>1405</v>
      </c>
      <c r="AC277" s="16" t="s">
        <v>1405</v>
      </c>
      <c r="AD277" s="16">
        <v>0</v>
      </c>
      <c r="AE277" s="16" t="s">
        <v>1405</v>
      </c>
      <c r="AF277" s="16" t="s">
        <v>1405</v>
      </c>
    </row>
    <row r="278" spans="1:32" x14ac:dyDescent="0.2">
      <c r="A278" s="3" t="s">
        <v>2134</v>
      </c>
      <c r="B278" s="12" t="s">
        <v>1497</v>
      </c>
      <c r="C278" s="6">
        <v>277</v>
      </c>
      <c r="D278" s="12">
        <v>75</v>
      </c>
      <c r="E278" s="12" t="s">
        <v>1444</v>
      </c>
      <c r="F278" s="12" t="s">
        <v>1445</v>
      </c>
      <c r="G278" s="12" t="s">
        <v>1446</v>
      </c>
      <c r="H278" s="12" t="s">
        <v>120</v>
      </c>
      <c r="I278" s="12" t="s">
        <v>1412</v>
      </c>
      <c r="J278" s="12" t="s">
        <v>1402</v>
      </c>
      <c r="K278" s="17" t="s">
        <v>1557</v>
      </c>
      <c r="L278" s="13" t="s">
        <v>1521</v>
      </c>
      <c r="M278" s="13" t="s">
        <v>1555</v>
      </c>
      <c r="N278" s="13" t="s">
        <v>1450</v>
      </c>
      <c r="O278" s="13" t="s">
        <v>1532</v>
      </c>
      <c r="P278" s="13" t="s">
        <v>1451</v>
      </c>
      <c r="Q278" s="13" t="s">
        <v>1398</v>
      </c>
      <c r="R278" s="13">
        <v>2</v>
      </c>
      <c r="S278" s="13" t="s">
        <v>1453</v>
      </c>
      <c r="T278" s="13" t="s">
        <v>1454</v>
      </c>
      <c r="U278" s="13" t="s">
        <v>1406</v>
      </c>
      <c r="V278" s="13">
        <v>13</v>
      </c>
      <c r="W278" s="13" t="b">
        <v>1</v>
      </c>
      <c r="X278" s="13">
        <v>240806</v>
      </c>
      <c r="Y278" s="13" t="s">
        <v>1405</v>
      </c>
      <c r="Z278" s="13">
        <v>0</v>
      </c>
      <c r="AA278" s="13">
        <v>0</v>
      </c>
      <c r="AB278" s="13" t="s">
        <v>1405</v>
      </c>
      <c r="AC278" s="13" t="s">
        <v>1405</v>
      </c>
      <c r="AD278" s="13">
        <v>0</v>
      </c>
      <c r="AE278" s="13" t="s">
        <v>1405</v>
      </c>
      <c r="AF278" s="13" t="s">
        <v>1405</v>
      </c>
    </row>
    <row r="279" spans="1:32" x14ac:dyDescent="0.2">
      <c r="A279" s="3" t="s">
        <v>2135</v>
      </c>
      <c r="B279" s="14" t="s">
        <v>1497</v>
      </c>
      <c r="C279" s="6">
        <v>278</v>
      </c>
      <c r="D279" s="14">
        <v>75</v>
      </c>
      <c r="E279" s="14" t="s">
        <v>1457</v>
      </c>
      <c r="F279" s="15" t="s">
        <v>1445</v>
      </c>
      <c r="G279" s="14" t="s">
        <v>1458</v>
      </c>
      <c r="H279" s="14" t="s">
        <v>120</v>
      </c>
      <c r="I279" s="14" t="s">
        <v>1502</v>
      </c>
      <c r="J279" s="14" t="s">
        <v>1402</v>
      </c>
      <c r="K279" s="17" t="s">
        <v>1558</v>
      </c>
      <c r="L279" s="16" t="s">
        <v>1521</v>
      </c>
      <c r="M279" s="16" t="s">
        <v>1555</v>
      </c>
      <c r="N279" s="16" t="s">
        <v>1450</v>
      </c>
      <c r="O279" s="16" t="s">
        <v>1532</v>
      </c>
      <c r="P279" s="16" t="s">
        <v>1451</v>
      </c>
      <c r="Q279" s="16" t="s">
        <v>1398</v>
      </c>
      <c r="R279" s="16">
        <v>2</v>
      </c>
      <c r="S279" s="16" t="s">
        <v>1453</v>
      </c>
      <c r="T279" s="16" t="s">
        <v>1454</v>
      </c>
      <c r="U279" s="16" t="s">
        <v>1406</v>
      </c>
      <c r="V279" s="16">
        <v>13</v>
      </c>
      <c r="W279" s="16" t="b">
        <v>1</v>
      </c>
      <c r="X279" s="16">
        <v>240806</v>
      </c>
      <c r="Y279" s="16" t="s">
        <v>1405</v>
      </c>
      <c r="Z279" s="16">
        <v>0</v>
      </c>
      <c r="AA279" s="16">
        <v>0</v>
      </c>
      <c r="AB279" s="16" t="s">
        <v>1405</v>
      </c>
      <c r="AC279" s="16" t="s">
        <v>1405</v>
      </c>
      <c r="AD279" s="16">
        <v>0</v>
      </c>
      <c r="AE279" s="16" t="s">
        <v>1405</v>
      </c>
      <c r="AF279" s="16" t="s">
        <v>1405</v>
      </c>
    </row>
    <row r="280" spans="1:32" x14ac:dyDescent="0.2">
      <c r="A280" s="3" t="s">
        <v>2136</v>
      </c>
      <c r="B280" s="12" t="s">
        <v>1497</v>
      </c>
      <c r="C280" s="6">
        <v>279</v>
      </c>
      <c r="D280" s="12">
        <v>76</v>
      </c>
      <c r="E280" s="12" t="s">
        <v>1444</v>
      </c>
      <c r="F280" s="12" t="s">
        <v>1445</v>
      </c>
      <c r="G280" s="12" t="s">
        <v>1446</v>
      </c>
      <c r="H280" s="12" t="s">
        <v>121</v>
      </c>
      <c r="I280" s="12" t="s">
        <v>1412</v>
      </c>
      <c r="J280" s="12" t="s">
        <v>1402</v>
      </c>
      <c r="K280" s="17" t="s">
        <v>1559</v>
      </c>
      <c r="L280" s="13" t="s">
        <v>1521</v>
      </c>
      <c r="M280" s="13" t="s">
        <v>1555</v>
      </c>
      <c r="N280" s="13" t="s">
        <v>1450</v>
      </c>
      <c r="O280" s="13" t="s">
        <v>1532</v>
      </c>
      <c r="P280" s="13" t="s">
        <v>1451</v>
      </c>
      <c r="Q280" s="13" t="s">
        <v>1399</v>
      </c>
      <c r="R280" s="13">
        <v>3</v>
      </c>
      <c r="S280" s="13" t="s">
        <v>1453</v>
      </c>
      <c r="T280" s="13" t="s">
        <v>1454</v>
      </c>
      <c r="U280" s="13" t="s">
        <v>1406</v>
      </c>
      <c r="V280" s="13">
        <v>13</v>
      </c>
      <c r="W280" s="13" t="b">
        <v>1</v>
      </c>
      <c r="X280" s="13">
        <v>240806</v>
      </c>
      <c r="Y280" s="13" t="s">
        <v>1405</v>
      </c>
      <c r="Z280" s="13">
        <v>0</v>
      </c>
      <c r="AA280" s="13">
        <v>0</v>
      </c>
      <c r="AB280" s="13" t="s">
        <v>1405</v>
      </c>
      <c r="AC280" s="13" t="s">
        <v>1405</v>
      </c>
      <c r="AD280" s="13">
        <v>0</v>
      </c>
      <c r="AE280" s="13" t="s">
        <v>1405</v>
      </c>
      <c r="AF280" s="13" t="s">
        <v>1405</v>
      </c>
    </row>
    <row r="281" spans="1:32" x14ac:dyDescent="0.2">
      <c r="A281" s="3" t="s">
        <v>2137</v>
      </c>
      <c r="B281" s="14" t="s">
        <v>1497</v>
      </c>
      <c r="C281" s="6">
        <v>280</v>
      </c>
      <c r="D281" s="14">
        <v>76</v>
      </c>
      <c r="E281" s="14" t="s">
        <v>1457</v>
      </c>
      <c r="F281" s="15" t="s">
        <v>1445</v>
      </c>
      <c r="G281" s="14" t="s">
        <v>1458</v>
      </c>
      <c r="H281" s="14" t="s">
        <v>121</v>
      </c>
      <c r="I281" s="14" t="s">
        <v>1502</v>
      </c>
      <c r="J281" s="14" t="s">
        <v>1402</v>
      </c>
      <c r="K281" s="17" t="s">
        <v>1560</v>
      </c>
      <c r="L281" s="16" t="s">
        <v>1521</v>
      </c>
      <c r="M281" s="16" t="s">
        <v>1555</v>
      </c>
      <c r="N281" s="16" t="s">
        <v>1450</v>
      </c>
      <c r="O281" s="16" t="s">
        <v>1532</v>
      </c>
      <c r="P281" s="16" t="s">
        <v>1451</v>
      </c>
      <c r="Q281" s="16" t="s">
        <v>1399</v>
      </c>
      <c r="R281" s="16">
        <v>3</v>
      </c>
      <c r="S281" s="16" t="s">
        <v>1453</v>
      </c>
      <c r="T281" s="16" t="s">
        <v>1454</v>
      </c>
      <c r="U281" s="16" t="s">
        <v>1406</v>
      </c>
      <c r="V281" s="16">
        <v>13</v>
      </c>
      <c r="W281" s="16" t="b">
        <v>1</v>
      </c>
      <c r="X281" s="16">
        <v>240806</v>
      </c>
      <c r="Y281" s="16" t="s">
        <v>1405</v>
      </c>
      <c r="Z281" s="16">
        <v>0</v>
      </c>
      <c r="AA281" s="16">
        <v>0</v>
      </c>
      <c r="AB281" s="16" t="s">
        <v>1405</v>
      </c>
      <c r="AC281" s="16" t="s">
        <v>1405</v>
      </c>
      <c r="AD281" s="16">
        <v>0</v>
      </c>
      <c r="AE281" s="16" t="s">
        <v>1405</v>
      </c>
      <c r="AF281" s="16" t="s">
        <v>1405</v>
      </c>
    </row>
    <row r="282" spans="1:32" x14ac:dyDescent="0.2">
      <c r="A282" s="3" t="s">
        <v>2138</v>
      </c>
      <c r="B282" s="12" t="s">
        <v>1497</v>
      </c>
      <c r="C282" s="6">
        <v>281</v>
      </c>
      <c r="D282" s="12">
        <v>77</v>
      </c>
      <c r="E282" s="12" t="s">
        <v>1444</v>
      </c>
      <c r="F282" s="12" t="s">
        <v>1445</v>
      </c>
      <c r="G282" s="12" t="s">
        <v>1446</v>
      </c>
      <c r="H282" s="12" t="s">
        <v>122</v>
      </c>
      <c r="I282" s="12" t="s">
        <v>1412</v>
      </c>
      <c r="J282" s="12" t="s">
        <v>1402</v>
      </c>
      <c r="K282" s="17" t="s">
        <v>1561</v>
      </c>
      <c r="L282" s="13" t="s">
        <v>1521</v>
      </c>
      <c r="M282" s="13" t="s">
        <v>1555</v>
      </c>
      <c r="N282" s="13" t="s">
        <v>1450</v>
      </c>
      <c r="O282" s="13" t="s">
        <v>1532</v>
      </c>
      <c r="P282" s="13" t="s">
        <v>1451</v>
      </c>
      <c r="Q282" s="13" t="s">
        <v>1400</v>
      </c>
      <c r="R282" s="13">
        <v>4</v>
      </c>
      <c r="S282" s="13" t="s">
        <v>1453</v>
      </c>
      <c r="T282" s="13" t="s">
        <v>1454</v>
      </c>
      <c r="U282" s="13" t="s">
        <v>1406</v>
      </c>
      <c r="V282" s="13">
        <v>13</v>
      </c>
      <c r="W282" s="13" t="b">
        <v>1</v>
      </c>
      <c r="X282" s="13">
        <v>240806</v>
      </c>
      <c r="Y282" s="13" t="s">
        <v>1405</v>
      </c>
      <c r="Z282" s="13">
        <v>0</v>
      </c>
      <c r="AA282" s="13">
        <v>0</v>
      </c>
      <c r="AB282" s="13" t="s">
        <v>1405</v>
      </c>
      <c r="AC282" s="13" t="s">
        <v>1405</v>
      </c>
      <c r="AD282" s="13">
        <v>0</v>
      </c>
      <c r="AE282" s="13" t="s">
        <v>1405</v>
      </c>
      <c r="AF282" s="13" t="s">
        <v>1405</v>
      </c>
    </row>
    <row r="283" spans="1:32" x14ac:dyDescent="0.2">
      <c r="A283" s="3" t="s">
        <v>2139</v>
      </c>
      <c r="B283" s="14" t="s">
        <v>1497</v>
      </c>
      <c r="C283" s="6">
        <v>282</v>
      </c>
      <c r="D283" s="14">
        <v>77</v>
      </c>
      <c r="E283" s="14" t="s">
        <v>1457</v>
      </c>
      <c r="F283" s="15" t="s">
        <v>1445</v>
      </c>
      <c r="G283" s="14" t="s">
        <v>1458</v>
      </c>
      <c r="H283" s="14" t="s">
        <v>122</v>
      </c>
      <c r="I283" s="14" t="s">
        <v>1502</v>
      </c>
      <c r="J283" s="14" t="s">
        <v>1402</v>
      </c>
      <c r="K283" s="17" t="s">
        <v>1562</v>
      </c>
      <c r="L283" s="16" t="s">
        <v>1521</v>
      </c>
      <c r="M283" s="16" t="s">
        <v>1555</v>
      </c>
      <c r="N283" s="16" t="s">
        <v>1450</v>
      </c>
      <c r="O283" s="16" t="s">
        <v>1532</v>
      </c>
      <c r="P283" s="16" t="s">
        <v>1451</v>
      </c>
      <c r="Q283" s="16" t="s">
        <v>1400</v>
      </c>
      <c r="R283" s="16">
        <v>4</v>
      </c>
      <c r="S283" s="16" t="s">
        <v>1453</v>
      </c>
      <c r="T283" s="16" t="s">
        <v>1454</v>
      </c>
      <c r="U283" s="16" t="s">
        <v>1406</v>
      </c>
      <c r="V283" s="16">
        <v>13</v>
      </c>
      <c r="W283" s="16" t="b">
        <v>1</v>
      </c>
      <c r="X283" s="16">
        <v>240806</v>
      </c>
      <c r="Y283" s="16" t="s">
        <v>1405</v>
      </c>
      <c r="Z283" s="16">
        <v>0</v>
      </c>
      <c r="AA283" s="16">
        <v>0</v>
      </c>
      <c r="AB283" s="16" t="s">
        <v>1405</v>
      </c>
      <c r="AC283" s="16" t="s">
        <v>1405</v>
      </c>
      <c r="AD283" s="16">
        <v>0</v>
      </c>
      <c r="AE283" s="16" t="s">
        <v>1405</v>
      </c>
      <c r="AF283" s="16" t="s">
        <v>1405</v>
      </c>
    </row>
    <row r="284" spans="1:32" x14ac:dyDescent="0.2">
      <c r="A284" s="3" t="s">
        <v>2140</v>
      </c>
      <c r="B284" s="12" t="s">
        <v>1497</v>
      </c>
      <c r="C284" s="6">
        <v>283</v>
      </c>
      <c r="D284" s="12">
        <v>78</v>
      </c>
      <c r="E284" s="12" t="s">
        <v>1444</v>
      </c>
      <c r="F284" s="12" t="s">
        <v>1445</v>
      </c>
      <c r="G284" s="12" t="s">
        <v>1446</v>
      </c>
      <c r="H284" s="12" t="s">
        <v>123</v>
      </c>
      <c r="I284" s="12" t="s">
        <v>1412</v>
      </c>
      <c r="J284" s="12" t="s">
        <v>1402</v>
      </c>
      <c r="K284" s="17" t="s">
        <v>1563</v>
      </c>
      <c r="L284" s="13" t="s">
        <v>1521</v>
      </c>
      <c r="M284" s="13" t="s">
        <v>1564</v>
      </c>
      <c r="N284" s="13" t="s">
        <v>1450</v>
      </c>
      <c r="O284" s="13" t="s">
        <v>1532</v>
      </c>
      <c r="P284" s="13" t="s">
        <v>1451</v>
      </c>
      <c r="Q284" s="13" t="s">
        <v>1396</v>
      </c>
      <c r="R284" s="13">
        <v>6</v>
      </c>
      <c r="S284" s="13" t="s">
        <v>1453</v>
      </c>
      <c r="T284" s="13" t="s">
        <v>1454</v>
      </c>
      <c r="U284" s="13" t="s">
        <v>1406</v>
      </c>
      <c r="V284" s="13">
        <v>13</v>
      </c>
      <c r="W284" s="13" t="b">
        <v>1</v>
      </c>
      <c r="X284" s="13">
        <v>240806</v>
      </c>
      <c r="Y284" s="13" t="s">
        <v>1405</v>
      </c>
      <c r="Z284" s="13">
        <v>0</v>
      </c>
      <c r="AA284" s="13">
        <v>0</v>
      </c>
      <c r="AB284" s="13" t="s">
        <v>1405</v>
      </c>
      <c r="AC284" s="13" t="s">
        <v>1405</v>
      </c>
      <c r="AD284" s="13">
        <v>0</v>
      </c>
      <c r="AE284" s="13" t="s">
        <v>1405</v>
      </c>
      <c r="AF284" s="13" t="s">
        <v>1405</v>
      </c>
    </row>
    <row r="285" spans="1:32" x14ac:dyDescent="0.2">
      <c r="A285" s="3" t="s">
        <v>2141</v>
      </c>
      <c r="B285" s="14" t="s">
        <v>1497</v>
      </c>
      <c r="C285" s="6">
        <v>284</v>
      </c>
      <c r="D285" s="14">
        <v>78</v>
      </c>
      <c r="E285" s="14" t="s">
        <v>1457</v>
      </c>
      <c r="F285" s="15" t="s">
        <v>1445</v>
      </c>
      <c r="G285" s="14" t="s">
        <v>1458</v>
      </c>
      <c r="H285" s="14" t="s">
        <v>123</v>
      </c>
      <c r="I285" s="14" t="s">
        <v>1502</v>
      </c>
      <c r="J285" s="14" t="s">
        <v>1402</v>
      </c>
      <c r="K285" s="17" t="s">
        <v>1565</v>
      </c>
      <c r="L285" s="16" t="s">
        <v>1521</v>
      </c>
      <c r="M285" s="16" t="s">
        <v>1564</v>
      </c>
      <c r="N285" s="16" t="s">
        <v>1450</v>
      </c>
      <c r="O285" s="16" t="s">
        <v>1532</v>
      </c>
      <c r="P285" s="16" t="s">
        <v>1451</v>
      </c>
      <c r="Q285" s="16" t="s">
        <v>1396</v>
      </c>
      <c r="R285" s="16">
        <v>6</v>
      </c>
      <c r="S285" s="16" t="s">
        <v>1453</v>
      </c>
      <c r="T285" s="16" t="s">
        <v>1454</v>
      </c>
      <c r="U285" s="16" t="s">
        <v>1406</v>
      </c>
      <c r="V285" s="16">
        <v>13</v>
      </c>
      <c r="W285" s="16" t="b">
        <v>1</v>
      </c>
      <c r="X285" s="16">
        <v>240806</v>
      </c>
      <c r="Y285" s="16" t="s">
        <v>1405</v>
      </c>
      <c r="Z285" s="16">
        <v>0</v>
      </c>
      <c r="AA285" s="16">
        <v>0</v>
      </c>
      <c r="AB285" s="16" t="s">
        <v>1405</v>
      </c>
      <c r="AC285" s="16" t="s">
        <v>1405</v>
      </c>
      <c r="AD285" s="16">
        <v>0</v>
      </c>
      <c r="AE285" s="16" t="s">
        <v>1405</v>
      </c>
      <c r="AF285" s="16" t="s">
        <v>1405</v>
      </c>
    </row>
    <row r="286" spans="1:32" x14ac:dyDescent="0.2">
      <c r="A286" s="3" t="s">
        <v>2142</v>
      </c>
      <c r="B286" s="12" t="s">
        <v>1497</v>
      </c>
      <c r="C286" s="6">
        <v>285</v>
      </c>
      <c r="D286" s="12">
        <v>79</v>
      </c>
      <c r="E286" s="12" t="s">
        <v>1444</v>
      </c>
      <c r="F286" s="12" t="s">
        <v>1445</v>
      </c>
      <c r="G286" s="12" t="s">
        <v>1446</v>
      </c>
      <c r="H286" s="12" t="s">
        <v>124</v>
      </c>
      <c r="I286" s="12" t="s">
        <v>1412</v>
      </c>
      <c r="J286" s="12" t="s">
        <v>1402</v>
      </c>
      <c r="K286" s="17" t="s">
        <v>1566</v>
      </c>
      <c r="L286" s="13" t="s">
        <v>1521</v>
      </c>
      <c r="M286" s="13" t="s">
        <v>1564</v>
      </c>
      <c r="N286" s="13" t="s">
        <v>1450</v>
      </c>
      <c r="O286" s="13" t="s">
        <v>1532</v>
      </c>
      <c r="P286" s="13" t="s">
        <v>1451</v>
      </c>
      <c r="Q286" s="13" t="s">
        <v>1398</v>
      </c>
      <c r="R286" s="13">
        <v>7</v>
      </c>
      <c r="S286" s="13" t="s">
        <v>1453</v>
      </c>
      <c r="T286" s="13" t="s">
        <v>1454</v>
      </c>
      <c r="U286" s="13" t="s">
        <v>1406</v>
      </c>
      <c r="V286" s="13">
        <v>13</v>
      </c>
      <c r="W286" s="13" t="b">
        <v>1</v>
      </c>
      <c r="X286" s="13">
        <v>240806</v>
      </c>
      <c r="Y286" s="13" t="s">
        <v>1405</v>
      </c>
      <c r="Z286" s="13">
        <v>0</v>
      </c>
      <c r="AA286" s="13">
        <v>0</v>
      </c>
      <c r="AB286" s="13" t="s">
        <v>1405</v>
      </c>
      <c r="AC286" s="13" t="s">
        <v>1405</v>
      </c>
      <c r="AD286" s="13">
        <v>0</v>
      </c>
      <c r="AE286" s="13" t="s">
        <v>1405</v>
      </c>
      <c r="AF286" s="13" t="s">
        <v>1405</v>
      </c>
    </row>
    <row r="287" spans="1:32" x14ac:dyDescent="0.2">
      <c r="A287" s="3" t="s">
        <v>2143</v>
      </c>
      <c r="B287" s="14" t="s">
        <v>1497</v>
      </c>
      <c r="C287" s="6">
        <v>286</v>
      </c>
      <c r="D287" s="14">
        <v>79</v>
      </c>
      <c r="E287" s="14" t="s">
        <v>1457</v>
      </c>
      <c r="F287" s="15" t="s">
        <v>1445</v>
      </c>
      <c r="G287" s="14" t="s">
        <v>1458</v>
      </c>
      <c r="H287" s="14" t="s">
        <v>124</v>
      </c>
      <c r="I287" s="14" t="s">
        <v>1502</v>
      </c>
      <c r="J287" s="14" t="s">
        <v>1402</v>
      </c>
      <c r="K287" s="17" t="s">
        <v>1567</v>
      </c>
      <c r="L287" s="16" t="s">
        <v>1521</v>
      </c>
      <c r="M287" s="16" t="s">
        <v>1564</v>
      </c>
      <c r="N287" s="16" t="s">
        <v>1450</v>
      </c>
      <c r="O287" s="16" t="s">
        <v>1532</v>
      </c>
      <c r="P287" s="16" t="s">
        <v>1451</v>
      </c>
      <c r="Q287" s="16" t="s">
        <v>1398</v>
      </c>
      <c r="R287" s="16">
        <v>7</v>
      </c>
      <c r="S287" s="16" t="s">
        <v>1453</v>
      </c>
      <c r="T287" s="16" t="s">
        <v>1454</v>
      </c>
      <c r="U287" s="16" t="s">
        <v>1406</v>
      </c>
      <c r="V287" s="16">
        <v>13</v>
      </c>
      <c r="W287" s="16" t="b">
        <v>1</v>
      </c>
      <c r="X287" s="16">
        <v>240806</v>
      </c>
      <c r="Y287" s="16" t="s">
        <v>1405</v>
      </c>
      <c r="Z287" s="16">
        <v>0</v>
      </c>
      <c r="AA287" s="16">
        <v>0</v>
      </c>
      <c r="AB287" s="16" t="s">
        <v>1405</v>
      </c>
      <c r="AC287" s="16" t="s">
        <v>1405</v>
      </c>
      <c r="AD287" s="16">
        <v>0</v>
      </c>
      <c r="AE287" s="16" t="s">
        <v>1405</v>
      </c>
      <c r="AF287" s="16" t="s">
        <v>1405</v>
      </c>
    </row>
    <row r="288" spans="1:32" x14ac:dyDescent="0.2">
      <c r="A288" s="3" t="s">
        <v>2144</v>
      </c>
      <c r="B288" s="12" t="s">
        <v>1497</v>
      </c>
      <c r="C288" s="6">
        <v>287</v>
      </c>
      <c r="D288" s="12">
        <v>80</v>
      </c>
      <c r="E288" s="12" t="s">
        <v>1444</v>
      </c>
      <c r="F288" s="12" t="s">
        <v>1445</v>
      </c>
      <c r="G288" s="12" t="s">
        <v>1446</v>
      </c>
      <c r="H288" s="12" t="s">
        <v>125</v>
      </c>
      <c r="I288" s="12" t="s">
        <v>1412</v>
      </c>
      <c r="J288" s="12" t="s">
        <v>1402</v>
      </c>
      <c r="K288" s="17" t="s">
        <v>1568</v>
      </c>
      <c r="L288" s="13" t="s">
        <v>1521</v>
      </c>
      <c r="M288" s="13" t="s">
        <v>1564</v>
      </c>
      <c r="N288" s="13" t="s">
        <v>1450</v>
      </c>
      <c r="O288" s="13" t="s">
        <v>1532</v>
      </c>
      <c r="P288" s="13" t="s">
        <v>1451</v>
      </c>
      <c r="Q288" s="13" t="s">
        <v>1399</v>
      </c>
      <c r="R288" s="13">
        <v>8</v>
      </c>
      <c r="S288" s="13" t="s">
        <v>1453</v>
      </c>
      <c r="T288" s="13" t="s">
        <v>1454</v>
      </c>
      <c r="U288" s="13" t="s">
        <v>1406</v>
      </c>
      <c r="V288" s="13">
        <v>13</v>
      </c>
      <c r="W288" s="13" t="b">
        <v>1</v>
      </c>
      <c r="X288" s="13">
        <v>240806</v>
      </c>
      <c r="Y288" s="13" t="s">
        <v>1405</v>
      </c>
      <c r="Z288" s="13">
        <v>0</v>
      </c>
      <c r="AA288" s="13">
        <v>0</v>
      </c>
      <c r="AB288" s="13" t="s">
        <v>1405</v>
      </c>
      <c r="AC288" s="13" t="s">
        <v>1405</v>
      </c>
      <c r="AD288" s="13">
        <v>0</v>
      </c>
      <c r="AE288" s="13" t="s">
        <v>1405</v>
      </c>
      <c r="AF288" s="13" t="s">
        <v>1405</v>
      </c>
    </row>
    <row r="289" spans="1:32" x14ac:dyDescent="0.2">
      <c r="A289" s="3" t="s">
        <v>2145</v>
      </c>
      <c r="B289" s="14" t="s">
        <v>1497</v>
      </c>
      <c r="C289" s="6">
        <v>288</v>
      </c>
      <c r="D289" s="14">
        <v>80</v>
      </c>
      <c r="E289" s="14" t="s">
        <v>1457</v>
      </c>
      <c r="F289" s="15" t="s">
        <v>1445</v>
      </c>
      <c r="G289" s="14" t="s">
        <v>1458</v>
      </c>
      <c r="H289" s="14" t="s">
        <v>125</v>
      </c>
      <c r="I289" s="14" t="s">
        <v>1502</v>
      </c>
      <c r="J289" s="14" t="s">
        <v>1402</v>
      </c>
      <c r="K289" s="17" t="s">
        <v>1569</v>
      </c>
      <c r="L289" s="16" t="s">
        <v>1521</v>
      </c>
      <c r="M289" s="16" t="s">
        <v>1564</v>
      </c>
      <c r="N289" s="16" t="s">
        <v>1450</v>
      </c>
      <c r="O289" s="16" t="s">
        <v>1532</v>
      </c>
      <c r="P289" s="16" t="s">
        <v>1451</v>
      </c>
      <c r="Q289" s="16" t="s">
        <v>1399</v>
      </c>
      <c r="R289" s="16">
        <v>8</v>
      </c>
      <c r="S289" s="16" t="s">
        <v>1453</v>
      </c>
      <c r="T289" s="16" t="s">
        <v>1454</v>
      </c>
      <c r="U289" s="16" t="s">
        <v>1406</v>
      </c>
      <c r="V289" s="16">
        <v>13</v>
      </c>
      <c r="W289" s="16" t="b">
        <v>1</v>
      </c>
      <c r="X289" s="16">
        <v>240806</v>
      </c>
      <c r="Y289" s="16" t="s">
        <v>1405</v>
      </c>
      <c r="Z289" s="16">
        <v>0</v>
      </c>
      <c r="AA289" s="16">
        <v>0</v>
      </c>
      <c r="AB289" s="16" t="s">
        <v>1405</v>
      </c>
      <c r="AC289" s="16" t="s">
        <v>1405</v>
      </c>
      <c r="AD289" s="16">
        <v>0</v>
      </c>
      <c r="AE289" s="16" t="s">
        <v>1405</v>
      </c>
      <c r="AF289" s="16" t="s">
        <v>1405</v>
      </c>
    </row>
    <row r="290" spans="1:32" x14ac:dyDescent="0.2">
      <c r="A290" s="3" t="s">
        <v>2146</v>
      </c>
      <c r="B290" s="12" t="s">
        <v>1497</v>
      </c>
      <c r="C290" s="6">
        <v>289</v>
      </c>
      <c r="D290" s="12">
        <v>81</v>
      </c>
      <c r="E290" s="12" t="s">
        <v>1444</v>
      </c>
      <c r="F290" s="12" t="s">
        <v>1445</v>
      </c>
      <c r="G290" s="12" t="s">
        <v>1446</v>
      </c>
      <c r="H290" s="12" t="s">
        <v>126</v>
      </c>
      <c r="I290" s="12" t="s">
        <v>1412</v>
      </c>
      <c r="J290" s="12" t="s">
        <v>1402</v>
      </c>
      <c r="K290" s="17" t="s">
        <v>1570</v>
      </c>
      <c r="L290" s="13" t="s">
        <v>1521</v>
      </c>
      <c r="M290" s="13" t="s">
        <v>1564</v>
      </c>
      <c r="N290" s="13" t="s">
        <v>1450</v>
      </c>
      <c r="O290" s="13" t="s">
        <v>1532</v>
      </c>
      <c r="P290" s="13" t="s">
        <v>1451</v>
      </c>
      <c r="Q290" s="13" t="s">
        <v>1400</v>
      </c>
      <c r="R290" s="13">
        <v>9</v>
      </c>
      <c r="S290" s="13" t="s">
        <v>1453</v>
      </c>
      <c r="T290" s="13" t="s">
        <v>1454</v>
      </c>
      <c r="U290" s="13" t="s">
        <v>1406</v>
      </c>
      <c r="V290" s="13">
        <v>13</v>
      </c>
      <c r="W290" s="13" t="b">
        <v>1</v>
      </c>
      <c r="X290" s="13">
        <v>240806</v>
      </c>
      <c r="Y290" s="13" t="s">
        <v>1405</v>
      </c>
      <c r="Z290" s="13">
        <v>0</v>
      </c>
      <c r="AA290" s="13">
        <v>0</v>
      </c>
      <c r="AB290" s="13" t="s">
        <v>1405</v>
      </c>
      <c r="AC290" s="13" t="s">
        <v>1405</v>
      </c>
      <c r="AD290" s="13">
        <v>0</v>
      </c>
      <c r="AE290" s="13" t="s">
        <v>1405</v>
      </c>
      <c r="AF290" s="13" t="s">
        <v>1405</v>
      </c>
    </row>
    <row r="291" spans="1:32" x14ac:dyDescent="0.2">
      <c r="A291" s="3" t="s">
        <v>2147</v>
      </c>
      <c r="B291" s="14" t="s">
        <v>1497</v>
      </c>
      <c r="C291" s="6">
        <v>290</v>
      </c>
      <c r="D291" s="14">
        <v>81</v>
      </c>
      <c r="E291" s="14" t="s">
        <v>1457</v>
      </c>
      <c r="F291" s="15" t="s">
        <v>1445</v>
      </c>
      <c r="G291" s="14" t="s">
        <v>1458</v>
      </c>
      <c r="H291" s="14" t="s">
        <v>126</v>
      </c>
      <c r="I291" s="14" t="s">
        <v>1502</v>
      </c>
      <c r="J291" s="14" t="s">
        <v>1402</v>
      </c>
      <c r="K291" s="17" t="s">
        <v>1571</v>
      </c>
      <c r="L291" s="16" t="s">
        <v>1521</v>
      </c>
      <c r="M291" s="16" t="s">
        <v>1564</v>
      </c>
      <c r="N291" s="16" t="s">
        <v>1450</v>
      </c>
      <c r="O291" s="16" t="s">
        <v>1532</v>
      </c>
      <c r="P291" s="16" t="s">
        <v>1451</v>
      </c>
      <c r="Q291" s="16" t="s">
        <v>1400</v>
      </c>
      <c r="R291" s="16">
        <v>9</v>
      </c>
      <c r="S291" s="16" t="s">
        <v>1453</v>
      </c>
      <c r="T291" s="16" t="s">
        <v>1454</v>
      </c>
      <c r="U291" s="16" t="s">
        <v>1406</v>
      </c>
      <c r="V291" s="16">
        <v>13</v>
      </c>
      <c r="W291" s="16" t="b">
        <v>1</v>
      </c>
      <c r="X291" s="16">
        <v>240806</v>
      </c>
      <c r="Y291" s="16" t="s">
        <v>1405</v>
      </c>
      <c r="Z291" s="16">
        <v>0</v>
      </c>
      <c r="AA291" s="16">
        <v>0</v>
      </c>
      <c r="AB291" s="16" t="s">
        <v>1405</v>
      </c>
      <c r="AC291" s="16" t="s">
        <v>1405</v>
      </c>
      <c r="AD291" s="16">
        <v>0</v>
      </c>
      <c r="AE291" s="16" t="s">
        <v>1405</v>
      </c>
      <c r="AF291" s="16" t="s">
        <v>1405</v>
      </c>
    </row>
    <row r="292" spans="1:32" x14ac:dyDescent="0.2">
      <c r="A292" s="3" t="s">
        <v>2148</v>
      </c>
      <c r="B292" s="12" t="s">
        <v>1497</v>
      </c>
      <c r="C292" s="6">
        <v>291</v>
      </c>
      <c r="D292" s="12">
        <v>82</v>
      </c>
      <c r="E292" s="12" t="s">
        <v>1444</v>
      </c>
      <c r="F292" s="12" t="s">
        <v>1445</v>
      </c>
      <c r="G292" s="12" t="s">
        <v>1446</v>
      </c>
      <c r="H292" s="12" t="s">
        <v>127</v>
      </c>
      <c r="I292" s="12" t="s">
        <v>1412</v>
      </c>
      <c r="J292" s="12" t="s">
        <v>1402</v>
      </c>
      <c r="K292" s="17" t="s">
        <v>1572</v>
      </c>
      <c r="L292" s="13" t="s">
        <v>1521</v>
      </c>
      <c r="M292" s="13" t="s">
        <v>1564</v>
      </c>
      <c r="N292" s="13" t="s">
        <v>1450</v>
      </c>
      <c r="O292" s="13" t="s">
        <v>1532</v>
      </c>
      <c r="P292" s="13" t="s">
        <v>1451</v>
      </c>
      <c r="Q292" s="13" t="s">
        <v>1541</v>
      </c>
      <c r="R292" s="13">
        <v>10</v>
      </c>
      <c r="S292" s="13" t="s">
        <v>1453</v>
      </c>
      <c r="T292" s="13" t="s">
        <v>1454</v>
      </c>
      <c r="U292" s="13" t="s">
        <v>1406</v>
      </c>
      <c r="V292" s="13">
        <v>13</v>
      </c>
      <c r="W292" s="13" t="b">
        <v>1</v>
      </c>
      <c r="X292" s="13">
        <v>240806</v>
      </c>
      <c r="Y292" s="13" t="s">
        <v>1405</v>
      </c>
      <c r="Z292" s="13">
        <v>0</v>
      </c>
      <c r="AA292" s="13">
        <v>0</v>
      </c>
      <c r="AB292" s="13" t="s">
        <v>1405</v>
      </c>
      <c r="AC292" s="13" t="s">
        <v>1405</v>
      </c>
      <c r="AD292" s="13">
        <v>0</v>
      </c>
      <c r="AE292" s="13" t="s">
        <v>1405</v>
      </c>
      <c r="AF292" s="13" t="s">
        <v>1405</v>
      </c>
    </row>
    <row r="293" spans="1:32" x14ac:dyDescent="0.2">
      <c r="A293" s="3" t="s">
        <v>2149</v>
      </c>
      <c r="B293" s="14" t="s">
        <v>1497</v>
      </c>
      <c r="C293" s="6">
        <v>292</v>
      </c>
      <c r="D293" s="14">
        <v>82</v>
      </c>
      <c r="E293" s="14" t="s">
        <v>1457</v>
      </c>
      <c r="F293" s="15" t="s">
        <v>1445</v>
      </c>
      <c r="G293" s="14" t="s">
        <v>1458</v>
      </c>
      <c r="H293" s="14" t="s">
        <v>127</v>
      </c>
      <c r="I293" s="14" t="s">
        <v>1502</v>
      </c>
      <c r="J293" s="14" t="s">
        <v>1402</v>
      </c>
      <c r="K293" s="17" t="s">
        <v>1573</v>
      </c>
      <c r="L293" s="16" t="s">
        <v>1521</v>
      </c>
      <c r="M293" s="16" t="s">
        <v>1564</v>
      </c>
      <c r="N293" s="16" t="s">
        <v>1450</v>
      </c>
      <c r="O293" s="16" t="s">
        <v>1532</v>
      </c>
      <c r="P293" s="16" t="s">
        <v>1451</v>
      </c>
      <c r="Q293" s="16" t="s">
        <v>1541</v>
      </c>
      <c r="R293" s="16">
        <v>10</v>
      </c>
      <c r="S293" s="16" t="s">
        <v>1453</v>
      </c>
      <c r="T293" s="16" t="s">
        <v>1454</v>
      </c>
      <c r="U293" s="16" t="s">
        <v>1406</v>
      </c>
      <c r="V293" s="16">
        <v>13</v>
      </c>
      <c r="W293" s="16" t="b">
        <v>1</v>
      </c>
      <c r="X293" s="16">
        <v>240806</v>
      </c>
      <c r="Y293" s="16" t="s">
        <v>1405</v>
      </c>
      <c r="Z293" s="16">
        <v>0</v>
      </c>
      <c r="AA293" s="16">
        <v>0</v>
      </c>
      <c r="AB293" s="16" t="s">
        <v>1405</v>
      </c>
      <c r="AC293" s="16" t="s">
        <v>1405</v>
      </c>
      <c r="AD293" s="16">
        <v>0</v>
      </c>
      <c r="AE293" s="16" t="s">
        <v>1405</v>
      </c>
      <c r="AF293" s="16" t="s">
        <v>1405</v>
      </c>
    </row>
    <row r="294" spans="1:32" x14ac:dyDescent="0.2">
      <c r="A294" s="3" t="s">
        <v>2150</v>
      </c>
      <c r="B294" s="12" t="s">
        <v>1497</v>
      </c>
      <c r="C294" s="6">
        <v>293</v>
      </c>
      <c r="D294" s="12">
        <v>83</v>
      </c>
      <c r="E294" s="12" t="s">
        <v>1444</v>
      </c>
      <c r="F294" s="12" t="s">
        <v>1445</v>
      </c>
      <c r="G294" s="12" t="s">
        <v>1446</v>
      </c>
      <c r="H294" s="12" t="s">
        <v>128</v>
      </c>
      <c r="I294" s="12" t="s">
        <v>1412</v>
      </c>
      <c r="J294" s="12" t="s">
        <v>1402</v>
      </c>
      <c r="K294" s="17" t="s">
        <v>1574</v>
      </c>
      <c r="L294" s="13" t="s">
        <v>1521</v>
      </c>
      <c r="M294" s="13" t="s">
        <v>1575</v>
      </c>
      <c r="N294" s="13" t="s">
        <v>1450</v>
      </c>
      <c r="O294" s="13" t="s">
        <v>1532</v>
      </c>
      <c r="P294" s="13" t="s">
        <v>1451</v>
      </c>
      <c r="Q294" s="13" t="s">
        <v>1396</v>
      </c>
      <c r="R294" s="13">
        <v>11</v>
      </c>
      <c r="S294" s="13" t="s">
        <v>1453</v>
      </c>
      <c r="T294" s="13" t="s">
        <v>1454</v>
      </c>
      <c r="U294" s="13" t="s">
        <v>1406</v>
      </c>
      <c r="V294" s="13">
        <v>13</v>
      </c>
      <c r="W294" s="13" t="b">
        <v>1</v>
      </c>
      <c r="X294" s="13">
        <v>240806</v>
      </c>
      <c r="Y294" s="13" t="s">
        <v>1405</v>
      </c>
      <c r="Z294" s="13">
        <v>0</v>
      </c>
      <c r="AA294" s="13">
        <v>0</v>
      </c>
      <c r="AB294" s="13" t="s">
        <v>1405</v>
      </c>
      <c r="AC294" s="13" t="s">
        <v>1405</v>
      </c>
      <c r="AD294" s="13">
        <v>0</v>
      </c>
      <c r="AE294" s="13" t="s">
        <v>1405</v>
      </c>
      <c r="AF294" s="13" t="s">
        <v>1405</v>
      </c>
    </row>
    <row r="295" spans="1:32" x14ac:dyDescent="0.2">
      <c r="A295" s="3" t="s">
        <v>2151</v>
      </c>
      <c r="B295" s="14" t="s">
        <v>1497</v>
      </c>
      <c r="C295" s="6">
        <v>294</v>
      </c>
      <c r="D295" s="14">
        <v>83</v>
      </c>
      <c r="E295" s="14" t="s">
        <v>1457</v>
      </c>
      <c r="F295" s="15" t="s">
        <v>1445</v>
      </c>
      <c r="G295" s="14" t="s">
        <v>1458</v>
      </c>
      <c r="H295" s="14" t="s">
        <v>128</v>
      </c>
      <c r="I295" s="14" t="s">
        <v>1502</v>
      </c>
      <c r="J295" s="14" t="s">
        <v>1402</v>
      </c>
      <c r="K295" s="17" t="s">
        <v>1576</v>
      </c>
      <c r="L295" s="16" t="s">
        <v>1521</v>
      </c>
      <c r="M295" s="16" t="s">
        <v>1575</v>
      </c>
      <c r="N295" s="16" t="s">
        <v>1450</v>
      </c>
      <c r="O295" s="16" t="s">
        <v>1532</v>
      </c>
      <c r="P295" s="16" t="s">
        <v>1451</v>
      </c>
      <c r="Q295" s="16" t="s">
        <v>1396</v>
      </c>
      <c r="R295" s="16">
        <v>11</v>
      </c>
      <c r="S295" s="16" t="s">
        <v>1453</v>
      </c>
      <c r="T295" s="16" t="s">
        <v>1454</v>
      </c>
      <c r="U295" s="16" t="s">
        <v>1406</v>
      </c>
      <c r="V295" s="16">
        <v>13</v>
      </c>
      <c r="W295" s="16" t="b">
        <v>1</v>
      </c>
      <c r="X295" s="16">
        <v>240806</v>
      </c>
      <c r="Y295" s="16" t="s">
        <v>1405</v>
      </c>
      <c r="Z295" s="16">
        <v>0</v>
      </c>
      <c r="AA295" s="16">
        <v>0</v>
      </c>
      <c r="AB295" s="16" t="s">
        <v>1405</v>
      </c>
      <c r="AC295" s="16" t="s">
        <v>1405</v>
      </c>
      <c r="AD295" s="16">
        <v>0</v>
      </c>
      <c r="AE295" s="16" t="s">
        <v>1405</v>
      </c>
      <c r="AF295" s="16" t="s">
        <v>1405</v>
      </c>
    </row>
    <row r="296" spans="1:32" x14ac:dyDescent="0.2">
      <c r="A296" s="3" t="s">
        <v>2152</v>
      </c>
      <c r="B296" s="12" t="s">
        <v>1497</v>
      </c>
      <c r="C296" s="6">
        <v>295</v>
      </c>
      <c r="D296" s="12">
        <v>84</v>
      </c>
      <c r="E296" s="12" t="s">
        <v>1444</v>
      </c>
      <c r="F296" s="12" t="s">
        <v>1445</v>
      </c>
      <c r="G296" s="12" t="s">
        <v>1446</v>
      </c>
      <c r="H296" s="12" t="s">
        <v>129</v>
      </c>
      <c r="I296" s="12" t="s">
        <v>1412</v>
      </c>
      <c r="J296" s="12" t="s">
        <v>1402</v>
      </c>
      <c r="K296" s="17" t="s">
        <v>1577</v>
      </c>
      <c r="L296" s="13" t="s">
        <v>1521</v>
      </c>
      <c r="M296" s="13" t="s">
        <v>1575</v>
      </c>
      <c r="N296" s="13" t="s">
        <v>1450</v>
      </c>
      <c r="O296" s="13" t="s">
        <v>1532</v>
      </c>
      <c r="P296" s="13" t="s">
        <v>1451</v>
      </c>
      <c r="Q296" s="13" t="s">
        <v>1398</v>
      </c>
      <c r="R296" s="13">
        <v>12</v>
      </c>
      <c r="S296" s="13" t="s">
        <v>1453</v>
      </c>
      <c r="T296" s="13" t="s">
        <v>1454</v>
      </c>
      <c r="U296" s="13" t="s">
        <v>1406</v>
      </c>
      <c r="V296" s="13">
        <v>13</v>
      </c>
      <c r="W296" s="13" t="b">
        <v>1</v>
      </c>
      <c r="X296" s="13">
        <v>240806</v>
      </c>
      <c r="Y296" s="13" t="s">
        <v>1405</v>
      </c>
      <c r="Z296" s="13">
        <v>0</v>
      </c>
      <c r="AA296" s="13">
        <v>0</v>
      </c>
      <c r="AB296" s="13" t="s">
        <v>1405</v>
      </c>
      <c r="AC296" s="13" t="s">
        <v>1405</v>
      </c>
      <c r="AD296" s="13">
        <v>0</v>
      </c>
      <c r="AE296" s="13" t="s">
        <v>1405</v>
      </c>
      <c r="AF296" s="13" t="s">
        <v>1405</v>
      </c>
    </row>
    <row r="297" spans="1:32" x14ac:dyDescent="0.2">
      <c r="A297" s="3" t="s">
        <v>2153</v>
      </c>
      <c r="B297" s="14" t="s">
        <v>1497</v>
      </c>
      <c r="C297" s="6">
        <v>296</v>
      </c>
      <c r="D297" s="14">
        <v>84</v>
      </c>
      <c r="E297" s="14" t="s">
        <v>1457</v>
      </c>
      <c r="F297" s="15" t="s">
        <v>1445</v>
      </c>
      <c r="G297" s="14" t="s">
        <v>1458</v>
      </c>
      <c r="H297" s="14" t="s">
        <v>129</v>
      </c>
      <c r="I297" s="14" t="s">
        <v>1502</v>
      </c>
      <c r="J297" s="14" t="s">
        <v>1402</v>
      </c>
      <c r="K297" s="17" t="s">
        <v>1578</v>
      </c>
      <c r="L297" s="16" t="s">
        <v>1521</v>
      </c>
      <c r="M297" s="16" t="s">
        <v>1575</v>
      </c>
      <c r="N297" s="16" t="s">
        <v>1450</v>
      </c>
      <c r="O297" s="16" t="s">
        <v>1532</v>
      </c>
      <c r="P297" s="16" t="s">
        <v>1451</v>
      </c>
      <c r="Q297" s="16" t="s">
        <v>1398</v>
      </c>
      <c r="R297" s="16">
        <v>12</v>
      </c>
      <c r="S297" s="16" t="s">
        <v>1453</v>
      </c>
      <c r="T297" s="16" t="s">
        <v>1454</v>
      </c>
      <c r="U297" s="16" t="s">
        <v>1406</v>
      </c>
      <c r="V297" s="16">
        <v>13</v>
      </c>
      <c r="W297" s="16" t="b">
        <v>1</v>
      </c>
      <c r="X297" s="16">
        <v>240806</v>
      </c>
      <c r="Y297" s="16" t="s">
        <v>1405</v>
      </c>
      <c r="Z297" s="16">
        <v>0</v>
      </c>
      <c r="AA297" s="16">
        <v>0</v>
      </c>
      <c r="AB297" s="16" t="s">
        <v>1405</v>
      </c>
      <c r="AC297" s="16" t="s">
        <v>1405</v>
      </c>
      <c r="AD297" s="16">
        <v>0</v>
      </c>
      <c r="AE297" s="16" t="s">
        <v>1405</v>
      </c>
      <c r="AF297" s="16" t="s">
        <v>1405</v>
      </c>
    </row>
    <row r="298" spans="1:32" x14ac:dyDescent="0.2">
      <c r="A298" s="3" t="s">
        <v>2154</v>
      </c>
      <c r="B298" s="12" t="s">
        <v>1497</v>
      </c>
      <c r="C298" s="6">
        <v>297</v>
      </c>
      <c r="D298" s="12">
        <v>85</v>
      </c>
      <c r="E298" s="12" t="s">
        <v>1444</v>
      </c>
      <c r="F298" s="12" t="s">
        <v>1445</v>
      </c>
      <c r="G298" s="12" t="s">
        <v>1446</v>
      </c>
      <c r="H298" s="12" t="s">
        <v>131</v>
      </c>
      <c r="I298" s="12" t="s">
        <v>1412</v>
      </c>
      <c r="J298" s="12" t="s">
        <v>1402</v>
      </c>
      <c r="K298" s="17" t="s">
        <v>1579</v>
      </c>
      <c r="L298" s="13" t="s">
        <v>1499</v>
      </c>
      <c r="M298" s="13" t="s">
        <v>1580</v>
      </c>
      <c r="N298" s="13" t="s">
        <v>1450</v>
      </c>
      <c r="O298" s="13" t="s">
        <v>1581</v>
      </c>
      <c r="P298" s="13" t="s">
        <v>1451</v>
      </c>
      <c r="Q298" s="13" t="s">
        <v>1396</v>
      </c>
      <c r="R298" s="13">
        <v>1</v>
      </c>
      <c r="S298" s="13" t="s">
        <v>1453</v>
      </c>
      <c r="T298" s="13" t="s">
        <v>1454</v>
      </c>
      <c r="U298" s="13" t="s">
        <v>1406</v>
      </c>
      <c r="V298" s="13">
        <v>13</v>
      </c>
      <c r="W298" s="13" t="b">
        <v>1</v>
      </c>
      <c r="X298" s="13">
        <v>240806</v>
      </c>
      <c r="Y298" s="13" t="s">
        <v>1405</v>
      </c>
      <c r="Z298" s="13">
        <v>0</v>
      </c>
      <c r="AA298" s="13">
        <v>0</v>
      </c>
      <c r="AB298" s="13" t="s">
        <v>1405</v>
      </c>
      <c r="AC298" s="13" t="s">
        <v>1405</v>
      </c>
      <c r="AD298" s="13">
        <v>0</v>
      </c>
      <c r="AE298" s="13" t="s">
        <v>1405</v>
      </c>
      <c r="AF298" s="13" t="s">
        <v>1405</v>
      </c>
    </row>
    <row r="299" spans="1:32" x14ac:dyDescent="0.2">
      <c r="A299" s="3" t="s">
        <v>2155</v>
      </c>
      <c r="B299" s="14" t="s">
        <v>1497</v>
      </c>
      <c r="C299" s="6">
        <v>298</v>
      </c>
      <c r="D299" s="14">
        <v>85</v>
      </c>
      <c r="E299" s="14" t="s">
        <v>1457</v>
      </c>
      <c r="F299" s="15" t="s">
        <v>1445</v>
      </c>
      <c r="G299" s="14" t="s">
        <v>1458</v>
      </c>
      <c r="H299" s="14" t="s">
        <v>131</v>
      </c>
      <c r="I299" s="14" t="s">
        <v>1502</v>
      </c>
      <c r="J299" s="14" t="s">
        <v>1402</v>
      </c>
      <c r="K299" s="17" t="s">
        <v>1582</v>
      </c>
      <c r="L299" s="16" t="s">
        <v>1499</v>
      </c>
      <c r="M299" s="16" t="s">
        <v>1580</v>
      </c>
      <c r="N299" s="16" t="s">
        <v>1450</v>
      </c>
      <c r="O299" s="16" t="s">
        <v>1581</v>
      </c>
      <c r="P299" s="16" t="s">
        <v>1451</v>
      </c>
      <c r="Q299" s="16" t="s">
        <v>1396</v>
      </c>
      <c r="R299" s="16">
        <v>1</v>
      </c>
      <c r="S299" s="16" t="s">
        <v>1453</v>
      </c>
      <c r="T299" s="16" t="s">
        <v>1454</v>
      </c>
      <c r="U299" s="16" t="s">
        <v>1406</v>
      </c>
      <c r="V299" s="16">
        <v>13</v>
      </c>
      <c r="W299" s="16" t="b">
        <v>1</v>
      </c>
      <c r="X299" s="16">
        <v>240806</v>
      </c>
      <c r="Y299" s="16" t="s">
        <v>1405</v>
      </c>
      <c r="Z299" s="16">
        <v>0</v>
      </c>
      <c r="AA299" s="16">
        <v>0</v>
      </c>
      <c r="AB299" s="16" t="s">
        <v>1405</v>
      </c>
      <c r="AC299" s="16" t="s">
        <v>1405</v>
      </c>
      <c r="AD299" s="16">
        <v>0</v>
      </c>
      <c r="AE299" s="16" t="s">
        <v>1405</v>
      </c>
      <c r="AF299" s="16" t="s">
        <v>1405</v>
      </c>
    </row>
    <row r="300" spans="1:32" x14ac:dyDescent="0.2">
      <c r="A300" s="3" t="s">
        <v>2156</v>
      </c>
      <c r="B300" s="12" t="s">
        <v>1497</v>
      </c>
      <c r="C300" s="6">
        <v>299</v>
      </c>
      <c r="D300" s="12">
        <v>86</v>
      </c>
      <c r="E300" s="12" t="s">
        <v>1444</v>
      </c>
      <c r="F300" s="12" t="s">
        <v>1445</v>
      </c>
      <c r="G300" s="12" t="s">
        <v>1446</v>
      </c>
      <c r="H300" s="12" t="s">
        <v>132</v>
      </c>
      <c r="I300" s="12" t="s">
        <v>1412</v>
      </c>
      <c r="J300" s="12" t="s">
        <v>1402</v>
      </c>
      <c r="K300" s="17" t="s">
        <v>1583</v>
      </c>
      <c r="L300" s="13" t="s">
        <v>1499</v>
      </c>
      <c r="M300" s="13" t="s">
        <v>1580</v>
      </c>
      <c r="N300" s="13" t="s">
        <v>1450</v>
      </c>
      <c r="O300" s="13" t="s">
        <v>1581</v>
      </c>
      <c r="P300" s="13" t="s">
        <v>1451</v>
      </c>
      <c r="Q300" s="13" t="s">
        <v>1398</v>
      </c>
      <c r="R300" s="13">
        <v>2</v>
      </c>
      <c r="S300" s="13" t="s">
        <v>1453</v>
      </c>
      <c r="T300" s="13" t="s">
        <v>1454</v>
      </c>
      <c r="U300" s="13" t="s">
        <v>1406</v>
      </c>
      <c r="V300" s="13">
        <v>13</v>
      </c>
      <c r="W300" s="13" t="b">
        <v>1</v>
      </c>
      <c r="X300" s="13">
        <v>240806</v>
      </c>
      <c r="Y300" s="13" t="s">
        <v>1405</v>
      </c>
      <c r="Z300" s="13">
        <v>0</v>
      </c>
      <c r="AA300" s="13">
        <v>0</v>
      </c>
      <c r="AB300" s="13" t="s">
        <v>1405</v>
      </c>
      <c r="AC300" s="13" t="s">
        <v>1405</v>
      </c>
      <c r="AD300" s="13">
        <v>0</v>
      </c>
      <c r="AE300" s="13" t="s">
        <v>1405</v>
      </c>
      <c r="AF300" s="13" t="s">
        <v>1405</v>
      </c>
    </row>
    <row r="301" spans="1:32" x14ac:dyDescent="0.2">
      <c r="A301" s="3" t="s">
        <v>2157</v>
      </c>
      <c r="B301" s="14" t="s">
        <v>1497</v>
      </c>
      <c r="C301" s="6">
        <v>300</v>
      </c>
      <c r="D301" s="14">
        <v>86</v>
      </c>
      <c r="E301" s="14" t="s">
        <v>1457</v>
      </c>
      <c r="F301" s="15" t="s">
        <v>1445</v>
      </c>
      <c r="G301" s="14" t="s">
        <v>1458</v>
      </c>
      <c r="H301" s="14" t="s">
        <v>132</v>
      </c>
      <c r="I301" s="14" t="s">
        <v>1502</v>
      </c>
      <c r="J301" s="14" t="s">
        <v>1402</v>
      </c>
      <c r="K301" s="17" t="s">
        <v>1584</v>
      </c>
      <c r="L301" s="16" t="s">
        <v>1499</v>
      </c>
      <c r="M301" s="16" t="s">
        <v>1580</v>
      </c>
      <c r="N301" s="16" t="s">
        <v>1450</v>
      </c>
      <c r="O301" s="16" t="s">
        <v>1581</v>
      </c>
      <c r="P301" s="16" t="s">
        <v>1451</v>
      </c>
      <c r="Q301" s="16" t="s">
        <v>1398</v>
      </c>
      <c r="R301" s="16">
        <v>2</v>
      </c>
      <c r="S301" s="16" t="s">
        <v>1453</v>
      </c>
      <c r="T301" s="16" t="s">
        <v>1454</v>
      </c>
      <c r="U301" s="16" t="s">
        <v>1406</v>
      </c>
      <c r="V301" s="16">
        <v>13</v>
      </c>
      <c r="W301" s="16" t="b">
        <v>1</v>
      </c>
      <c r="X301" s="16">
        <v>240806</v>
      </c>
      <c r="Y301" s="16" t="s">
        <v>1405</v>
      </c>
      <c r="Z301" s="16">
        <v>0</v>
      </c>
      <c r="AA301" s="16">
        <v>0</v>
      </c>
      <c r="AB301" s="16" t="s">
        <v>1405</v>
      </c>
      <c r="AC301" s="16" t="s">
        <v>1405</v>
      </c>
      <c r="AD301" s="16">
        <v>0</v>
      </c>
      <c r="AE301" s="16" t="s">
        <v>1405</v>
      </c>
      <c r="AF301" s="16" t="s">
        <v>1405</v>
      </c>
    </row>
    <row r="302" spans="1:32" x14ac:dyDescent="0.2">
      <c r="A302" s="3" t="s">
        <v>2158</v>
      </c>
      <c r="B302" s="12" t="s">
        <v>1497</v>
      </c>
      <c r="C302" s="6">
        <v>301</v>
      </c>
      <c r="D302" s="12">
        <v>87</v>
      </c>
      <c r="E302" s="12" t="s">
        <v>1444</v>
      </c>
      <c r="F302" s="12" t="s">
        <v>1445</v>
      </c>
      <c r="G302" s="12" t="s">
        <v>1446</v>
      </c>
      <c r="H302" s="12" t="s">
        <v>133</v>
      </c>
      <c r="I302" s="12" t="s">
        <v>1412</v>
      </c>
      <c r="J302" s="12" t="s">
        <v>1402</v>
      </c>
      <c r="K302" s="17" t="s">
        <v>1585</v>
      </c>
      <c r="L302" s="13" t="s">
        <v>1499</v>
      </c>
      <c r="M302" s="13" t="s">
        <v>1580</v>
      </c>
      <c r="N302" s="13" t="s">
        <v>1450</v>
      </c>
      <c r="O302" s="13" t="s">
        <v>1581</v>
      </c>
      <c r="P302" s="13" t="s">
        <v>1451</v>
      </c>
      <c r="Q302" s="13" t="s">
        <v>1399</v>
      </c>
      <c r="R302" s="13">
        <v>3</v>
      </c>
      <c r="S302" s="13" t="s">
        <v>1453</v>
      </c>
      <c r="T302" s="13" t="s">
        <v>1454</v>
      </c>
      <c r="U302" s="13" t="s">
        <v>1406</v>
      </c>
      <c r="V302" s="13">
        <v>13</v>
      </c>
      <c r="W302" s="13" t="b">
        <v>1</v>
      </c>
      <c r="X302" s="13">
        <v>240806</v>
      </c>
      <c r="Y302" s="13" t="s">
        <v>1405</v>
      </c>
      <c r="Z302" s="13">
        <v>0</v>
      </c>
      <c r="AA302" s="13">
        <v>0</v>
      </c>
      <c r="AB302" s="13" t="s">
        <v>1405</v>
      </c>
      <c r="AC302" s="13" t="s">
        <v>1405</v>
      </c>
      <c r="AD302" s="13">
        <v>0</v>
      </c>
      <c r="AE302" s="13" t="s">
        <v>1405</v>
      </c>
      <c r="AF302" s="13" t="s">
        <v>1405</v>
      </c>
    </row>
    <row r="303" spans="1:32" x14ac:dyDescent="0.2">
      <c r="A303" s="3" t="s">
        <v>2159</v>
      </c>
      <c r="B303" s="14" t="s">
        <v>1497</v>
      </c>
      <c r="C303" s="6">
        <v>302</v>
      </c>
      <c r="D303" s="14">
        <v>87</v>
      </c>
      <c r="E303" s="14" t="s">
        <v>1457</v>
      </c>
      <c r="F303" s="15" t="s">
        <v>1445</v>
      </c>
      <c r="G303" s="14" t="s">
        <v>1458</v>
      </c>
      <c r="H303" s="14" t="s">
        <v>133</v>
      </c>
      <c r="I303" s="14" t="s">
        <v>1502</v>
      </c>
      <c r="J303" s="14" t="s">
        <v>1402</v>
      </c>
      <c r="K303" s="17" t="s">
        <v>1586</v>
      </c>
      <c r="L303" s="16" t="s">
        <v>1499</v>
      </c>
      <c r="M303" s="16" t="s">
        <v>1580</v>
      </c>
      <c r="N303" s="16" t="s">
        <v>1450</v>
      </c>
      <c r="O303" s="16" t="s">
        <v>1581</v>
      </c>
      <c r="P303" s="16" t="s">
        <v>1451</v>
      </c>
      <c r="Q303" s="16" t="s">
        <v>1399</v>
      </c>
      <c r="R303" s="16">
        <v>3</v>
      </c>
      <c r="S303" s="16" t="s">
        <v>1453</v>
      </c>
      <c r="T303" s="16" t="s">
        <v>1454</v>
      </c>
      <c r="U303" s="16" t="s">
        <v>1406</v>
      </c>
      <c r="V303" s="16">
        <v>13</v>
      </c>
      <c r="W303" s="16" t="b">
        <v>1</v>
      </c>
      <c r="X303" s="16">
        <v>240806</v>
      </c>
      <c r="Y303" s="16" t="s">
        <v>1405</v>
      </c>
      <c r="Z303" s="16">
        <v>0</v>
      </c>
      <c r="AA303" s="16">
        <v>0</v>
      </c>
      <c r="AB303" s="16" t="s">
        <v>1405</v>
      </c>
      <c r="AC303" s="16" t="s">
        <v>1405</v>
      </c>
      <c r="AD303" s="16">
        <v>0</v>
      </c>
      <c r="AE303" s="16" t="s">
        <v>1405</v>
      </c>
      <c r="AF303" s="16" t="s">
        <v>1405</v>
      </c>
    </row>
    <row r="304" spans="1:32" x14ac:dyDescent="0.2">
      <c r="A304" s="3" t="s">
        <v>2160</v>
      </c>
      <c r="B304" s="12" t="s">
        <v>1497</v>
      </c>
      <c r="C304" s="6">
        <v>303</v>
      </c>
      <c r="D304" s="12">
        <v>88</v>
      </c>
      <c r="E304" s="12" t="s">
        <v>1444</v>
      </c>
      <c r="F304" s="12" t="s">
        <v>1445</v>
      </c>
      <c r="G304" s="12" t="s">
        <v>1446</v>
      </c>
      <c r="H304" s="12" t="s">
        <v>134</v>
      </c>
      <c r="I304" s="12" t="s">
        <v>1412</v>
      </c>
      <c r="J304" s="12" t="s">
        <v>1402</v>
      </c>
      <c r="K304" s="17" t="s">
        <v>1587</v>
      </c>
      <c r="L304" s="13" t="s">
        <v>1499</v>
      </c>
      <c r="M304" s="13" t="s">
        <v>1580</v>
      </c>
      <c r="N304" s="13" t="s">
        <v>1450</v>
      </c>
      <c r="O304" s="13" t="s">
        <v>1581</v>
      </c>
      <c r="P304" s="13" t="s">
        <v>1451</v>
      </c>
      <c r="Q304" s="13" t="s">
        <v>1400</v>
      </c>
      <c r="R304" s="13">
        <v>4</v>
      </c>
      <c r="S304" s="13" t="s">
        <v>1453</v>
      </c>
      <c r="T304" s="13" t="s">
        <v>1454</v>
      </c>
      <c r="U304" s="13" t="s">
        <v>1406</v>
      </c>
      <c r="V304" s="13">
        <v>13</v>
      </c>
      <c r="W304" s="13" t="b">
        <v>1</v>
      </c>
      <c r="X304" s="13">
        <v>240806</v>
      </c>
      <c r="Y304" s="13" t="s">
        <v>1405</v>
      </c>
      <c r="Z304" s="13">
        <v>0</v>
      </c>
      <c r="AA304" s="13">
        <v>0</v>
      </c>
      <c r="AB304" s="13" t="s">
        <v>1405</v>
      </c>
      <c r="AC304" s="13" t="s">
        <v>1405</v>
      </c>
      <c r="AD304" s="13">
        <v>0</v>
      </c>
      <c r="AE304" s="13" t="s">
        <v>1405</v>
      </c>
      <c r="AF304" s="13" t="s">
        <v>1405</v>
      </c>
    </row>
    <row r="305" spans="1:32" x14ac:dyDescent="0.2">
      <c r="A305" s="3" t="s">
        <v>2161</v>
      </c>
      <c r="B305" s="14" t="s">
        <v>1497</v>
      </c>
      <c r="C305" s="6">
        <v>304</v>
      </c>
      <c r="D305" s="14">
        <v>88</v>
      </c>
      <c r="E305" s="14" t="s">
        <v>1457</v>
      </c>
      <c r="F305" s="15" t="s">
        <v>1445</v>
      </c>
      <c r="G305" s="14" t="s">
        <v>1458</v>
      </c>
      <c r="H305" s="14" t="s">
        <v>134</v>
      </c>
      <c r="I305" s="14" t="s">
        <v>1502</v>
      </c>
      <c r="J305" s="14" t="s">
        <v>1402</v>
      </c>
      <c r="K305" s="17" t="s">
        <v>1588</v>
      </c>
      <c r="L305" s="16" t="s">
        <v>1499</v>
      </c>
      <c r="M305" s="16" t="s">
        <v>1580</v>
      </c>
      <c r="N305" s="16" t="s">
        <v>1450</v>
      </c>
      <c r="O305" s="16" t="s">
        <v>1581</v>
      </c>
      <c r="P305" s="16" t="s">
        <v>1451</v>
      </c>
      <c r="Q305" s="16" t="s">
        <v>1400</v>
      </c>
      <c r="R305" s="16">
        <v>4</v>
      </c>
      <c r="S305" s="16" t="s">
        <v>1453</v>
      </c>
      <c r="T305" s="16" t="s">
        <v>1454</v>
      </c>
      <c r="U305" s="16" t="s">
        <v>1406</v>
      </c>
      <c r="V305" s="16">
        <v>13</v>
      </c>
      <c r="W305" s="16" t="b">
        <v>1</v>
      </c>
      <c r="X305" s="16">
        <v>240806</v>
      </c>
      <c r="Y305" s="16" t="s">
        <v>1405</v>
      </c>
      <c r="Z305" s="16">
        <v>0</v>
      </c>
      <c r="AA305" s="16">
        <v>0</v>
      </c>
      <c r="AB305" s="16" t="s">
        <v>1405</v>
      </c>
      <c r="AC305" s="16" t="s">
        <v>1405</v>
      </c>
      <c r="AD305" s="16">
        <v>0</v>
      </c>
      <c r="AE305" s="16" t="s">
        <v>1405</v>
      </c>
      <c r="AF305" s="16" t="s">
        <v>1405</v>
      </c>
    </row>
    <row r="306" spans="1:32" x14ac:dyDescent="0.2">
      <c r="A306" s="3" t="s">
        <v>2162</v>
      </c>
      <c r="B306" s="12" t="s">
        <v>1497</v>
      </c>
      <c r="C306" s="6">
        <v>305</v>
      </c>
      <c r="D306" s="12">
        <v>89</v>
      </c>
      <c r="E306" s="12" t="s">
        <v>1444</v>
      </c>
      <c r="F306" s="12" t="s">
        <v>1445</v>
      </c>
      <c r="G306" s="12" t="s">
        <v>1446</v>
      </c>
      <c r="H306" s="12" t="s">
        <v>135</v>
      </c>
      <c r="I306" s="12" t="s">
        <v>1412</v>
      </c>
      <c r="J306" s="12" t="s">
        <v>1402</v>
      </c>
      <c r="K306" s="17" t="s">
        <v>1589</v>
      </c>
      <c r="L306" s="13" t="s">
        <v>1521</v>
      </c>
      <c r="M306" s="13" t="s">
        <v>1590</v>
      </c>
      <c r="N306" s="13" t="s">
        <v>1450</v>
      </c>
      <c r="O306" s="13" t="s">
        <v>1581</v>
      </c>
      <c r="P306" s="13" t="s">
        <v>1451</v>
      </c>
      <c r="Q306" s="13" t="s">
        <v>1396</v>
      </c>
      <c r="R306" s="13">
        <v>1</v>
      </c>
      <c r="S306" s="13" t="s">
        <v>1453</v>
      </c>
      <c r="T306" s="13" t="s">
        <v>1454</v>
      </c>
      <c r="U306" s="13" t="s">
        <v>1406</v>
      </c>
      <c r="V306" s="13">
        <v>13</v>
      </c>
      <c r="W306" s="13" t="b">
        <v>1</v>
      </c>
      <c r="X306" s="13">
        <v>240806</v>
      </c>
      <c r="Y306" s="13" t="s">
        <v>1405</v>
      </c>
      <c r="Z306" s="13">
        <v>0</v>
      </c>
      <c r="AA306" s="13">
        <v>0</v>
      </c>
      <c r="AB306" s="13" t="s">
        <v>1405</v>
      </c>
      <c r="AC306" s="13" t="s">
        <v>1405</v>
      </c>
      <c r="AD306" s="13">
        <v>0</v>
      </c>
      <c r="AE306" s="13" t="s">
        <v>1405</v>
      </c>
      <c r="AF306" s="13" t="s">
        <v>1405</v>
      </c>
    </row>
    <row r="307" spans="1:32" x14ac:dyDescent="0.2">
      <c r="A307" s="3" t="s">
        <v>2163</v>
      </c>
      <c r="B307" s="14" t="s">
        <v>1497</v>
      </c>
      <c r="C307" s="6">
        <v>306</v>
      </c>
      <c r="D307" s="14">
        <v>89</v>
      </c>
      <c r="E307" s="14" t="s">
        <v>1457</v>
      </c>
      <c r="F307" s="15" t="s">
        <v>1445</v>
      </c>
      <c r="G307" s="14" t="s">
        <v>1458</v>
      </c>
      <c r="H307" s="14" t="s">
        <v>135</v>
      </c>
      <c r="I307" s="14" t="s">
        <v>1502</v>
      </c>
      <c r="J307" s="14" t="s">
        <v>1402</v>
      </c>
      <c r="K307" s="17" t="s">
        <v>1591</v>
      </c>
      <c r="L307" s="16" t="s">
        <v>1521</v>
      </c>
      <c r="M307" s="16" t="s">
        <v>1590</v>
      </c>
      <c r="N307" s="16" t="s">
        <v>1450</v>
      </c>
      <c r="O307" s="16" t="s">
        <v>1581</v>
      </c>
      <c r="P307" s="16" t="s">
        <v>1451</v>
      </c>
      <c r="Q307" s="16" t="s">
        <v>1396</v>
      </c>
      <c r="R307" s="16">
        <v>1</v>
      </c>
      <c r="S307" s="16" t="s">
        <v>1453</v>
      </c>
      <c r="T307" s="16" t="s">
        <v>1454</v>
      </c>
      <c r="U307" s="16" t="s">
        <v>1406</v>
      </c>
      <c r="V307" s="16">
        <v>13</v>
      </c>
      <c r="W307" s="16" t="b">
        <v>1</v>
      </c>
      <c r="X307" s="16">
        <v>240806</v>
      </c>
      <c r="Y307" s="16" t="s">
        <v>1405</v>
      </c>
      <c r="Z307" s="16">
        <v>0</v>
      </c>
      <c r="AA307" s="16">
        <v>0</v>
      </c>
      <c r="AB307" s="16" t="s">
        <v>1405</v>
      </c>
      <c r="AC307" s="16" t="s">
        <v>1405</v>
      </c>
      <c r="AD307" s="16">
        <v>0</v>
      </c>
      <c r="AE307" s="16" t="s">
        <v>1405</v>
      </c>
      <c r="AF307" s="16" t="s">
        <v>1405</v>
      </c>
    </row>
    <row r="308" spans="1:32" x14ac:dyDescent="0.2">
      <c r="A308" s="3" t="s">
        <v>2164</v>
      </c>
      <c r="B308" s="12" t="s">
        <v>1497</v>
      </c>
      <c r="C308" s="6">
        <v>307</v>
      </c>
      <c r="D308" s="12">
        <v>90</v>
      </c>
      <c r="E308" s="12" t="s">
        <v>1444</v>
      </c>
      <c r="F308" s="12" t="s">
        <v>1445</v>
      </c>
      <c r="G308" s="12" t="s">
        <v>1446</v>
      </c>
      <c r="H308" s="12" t="s">
        <v>136</v>
      </c>
      <c r="I308" s="12" t="s">
        <v>1412</v>
      </c>
      <c r="J308" s="12" t="s">
        <v>1402</v>
      </c>
      <c r="K308" s="17" t="s">
        <v>1592</v>
      </c>
      <c r="L308" s="13" t="s">
        <v>1521</v>
      </c>
      <c r="M308" s="13" t="s">
        <v>1590</v>
      </c>
      <c r="N308" s="13" t="s">
        <v>1450</v>
      </c>
      <c r="O308" s="13" t="s">
        <v>1581</v>
      </c>
      <c r="P308" s="13" t="s">
        <v>1451</v>
      </c>
      <c r="Q308" s="13" t="s">
        <v>1398</v>
      </c>
      <c r="R308" s="13">
        <v>2</v>
      </c>
      <c r="S308" s="13" t="s">
        <v>1453</v>
      </c>
      <c r="T308" s="13" t="s">
        <v>1454</v>
      </c>
      <c r="U308" s="13" t="s">
        <v>1406</v>
      </c>
      <c r="V308" s="13">
        <v>13</v>
      </c>
      <c r="W308" s="13" t="b">
        <v>1</v>
      </c>
      <c r="X308" s="13">
        <v>240806</v>
      </c>
      <c r="Y308" s="13" t="s">
        <v>1405</v>
      </c>
      <c r="Z308" s="13">
        <v>0</v>
      </c>
      <c r="AA308" s="13">
        <v>0</v>
      </c>
      <c r="AB308" s="13" t="s">
        <v>1405</v>
      </c>
      <c r="AC308" s="13" t="s">
        <v>1405</v>
      </c>
      <c r="AD308" s="13">
        <v>0</v>
      </c>
      <c r="AE308" s="13" t="s">
        <v>1405</v>
      </c>
      <c r="AF308" s="13" t="s">
        <v>1405</v>
      </c>
    </row>
    <row r="309" spans="1:32" x14ac:dyDescent="0.2">
      <c r="A309" s="3" t="s">
        <v>2165</v>
      </c>
      <c r="B309" s="14" t="s">
        <v>1497</v>
      </c>
      <c r="C309" s="6">
        <v>308</v>
      </c>
      <c r="D309" s="14">
        <v>90</v>
      </c>
      <c r="E309" s="14" t="s">
        <v>1457</v>
      </c>
      <c r="F309" s="15" t="s">
        <v>1445</v>
      </c>
      <c r="G309" s="14" t="s">
        <v>1458</v>
      </c>
      <c r="H309" s="14" t="s">
        <v>136</v>
      </c>
      <c r="I309" s="14" t="s">
        <v>1502</v>
      </c>
      <c r="J309" s="14" t="s">
        <v>1402</v>
      </c>
      <c r="K309" s="17" t="s">
        <v>1593</v>
      </c>
      <c r="L309" s="16" t="s">
        <v>1521</v>
      </c>
      <c r="M309" s="16" t="s">
        <v>1590</v>
      </c>
      <c r="N309" s="16" t="s">
        <v>1450</v>
      </c>
      <c r="O309" s="16" t="s">
        <v>1581</v>
      </c>
      <c r="P309" s="16" t="s">
        <v>1451</v>
      </c>
      <c r="Q309" s="16" t="s">
        <v>1398</v>
      </c>
      <c r="R309" s="16">
        <v>2</v>
      </c>
      <c r="S309" s="16" t="s">
        <v>1453</v>
      </c>
      <c r="T309" s="16" t="s">
        <v>1454</v>
      </c>
      <c r="U309" s="16" t="s">
        <v>1406</v>
      </c>
      <c r="V309" s="16">
        <v>13</v>
      </c>
      <c r="W309" s="16" t="b">
        <v>1</v>
      </c>
      <c r="X309" s="16">
        <v>240806</v>
      </c>
      <c r="Y309" s="16" t="s">
        <v>1405</v>
      </c>
      <c r="Z309" s="16">
        <v>0</v>
      </c>
      <c r="AA309" s="16">
        <v>0</v>
      </c>
      <c r="AB309" s="16" t="s">
        <v>1405</v>
      </c>
      <c r="AC309" s="16" t="s">
        <v>1405</v>
      </c>
      <c r="AD309" s="16">
        <v>0</v>
      </c>
      <c r="AE309" s="16" t="s">
        <v>1405</v>
      </c>
      <c r="AF309" s="16" t="s">
        <v>1405</v>
      </c>
    </row>
    <row r="310" spans="1:32" x14ac:dyDescent="0.2">
      <c r="A310" s="3" t="s">
        <v>2166</v>
      </c>
      <c r="B310" s="12" t="s">
        <v>1497</v>
      </c>
      <c r="C310" s="6">
        <v>309</v>
      </c>
      <c r="D310" s="12">
        <v>91</v>
      </c>
      <c r="E310" s="12" t="s">
        <v>1444</v>
      </c>
      <c r="F310" s="12" t="s">
        <v>1445</v>
      </c>
      <c r="G310" s="12" t="s">
        <v>1446</v>
      </c>
      <c r="H310" s="12" t="s">
        <v>137</v>
      </c>
      <c r="I310" s="12" t="s">
        <v>1412</v>
      </c>
      <c r="J310" s="12" t="s">
        <v>1402</v>
      </c>
      <c r="K310" s="17" t="s">
        <v>1594</v>
      </c>
      <c r="L310" s="13" t="s">
        <v>1521</v>
      </c>
      <c r="M310" s="13" t="s">
        <v>1590</v>
      </c>
      <c r="N310" s="13" t="s">
        <v>1450</v>
      </c>
      <c r="O310" s="13" t="s">
        <v>1581</v>
      </c>
      <c r="P310" s="13" t="s">
        <v>1451</v>
      </c>
      <c r="Q310" s="13" t="s">
        <v>1399</v>
      </c>
      <c r="R310" s="13">
        <v>3</v>
      </c>
      <c r="S310" s="13" t="s">
        <v>1453</v>
      </c>
      <c r="T310" s="13" t="s">
        <v>1454</v>
      </c>
      <c r="U310" s="13" t="s">
        <v>1406</v>
      </c>
      <c r="V310" s="13">
        <v>13</v>
      </c>
      <c r="W310" s="13" t="b">
        <v>1</v>
      </c>
      <c r="X310" s="13">
        <v>240806</v>
      </c>
      <c r="Y310" s="13" t="s">
        <v>1405</v>
      </c>
      <c r="Z310" s="13">
        <v>0</v>
      </c>
      <c r="AA310" s="13">
        <v>0</v>
      </c>
      <c r="AB310" s="13" t="s">
        <v>1405</v>
      </c>
      <c r="AC310" s="13" t="s">
        <v>1405</v>
      </c>
      <c r="AD310" s="13">
        <v>0</v>
      </c>
      <c r="AE310" s="13" t="s">
        <v>1405</v>
      </c>
      <c r="AF310" s="13" t="s">
        <v>1405</v>
      </c>
    </row>
    <row r="311" spans="1:32" x14ac:dyDescent="0.2">
      <c r="A311" s="3" t="s">
        <v>2167</v>
      </c>
      <c r="B311" s="14" t="s">
        <v>1497</v>
      </c>
      <c r="C311" s="6">
        <v>310</v>
      </c>
      <c r="D311" s="14">
        <v>91</v>
      </c>
      <c r="E311" s="14" t="s">
        <v>1457</v>
      </c>
      <c r="F311" s="15" t="s">
        <v>1445</v>
      </c>
      <c r="G311" s="14" t="s">
        <v>1458</v>
      </c>
      <c r="H311" s="14" t="s">
        <v>137</v>
      </c>
      <c r="I311" s="14" t="s">
        <v>1502</v>
      </c>
      <c r="J311" s="14" t="s">
        <v>1402</v>
      </c>
      <c r="K311" s="17" t="s">
        <v>1595</v>
      </c>
      <c r="L311" s="16" t="s">
        <v>1521</v>
      </c>
      <c r="M311" s="16" t="s">
        <v>1590</v>
      </c>
      <c r="N311" s="16" t="s">
        <v>1450</v>
      </c>
      <c r="O311" s="16" t="s">
        <v>1581</v>
      </c>
      <c r="P311" s="16" t="s">
        <v>1451</v>
      </c>
      <c r="Q311" s="16" t="s">
        <v>1399</v>
      </c>
      <c r="R311" s="16">
        <v>3</v>
      </c>
      <c r="S311" s="16" t="s">
        <v>1453</v>
      </c>
      <c r="T311" s="16" t="s">
        <v>1454</v>
      </c>
      <c r="U311" s="16" t="s">
        <v>1406</v>
      </c>
      <c r="V311" s="16">
        <v>13</v>
      </c>
      <c r="W311" s="16" t="b">
        <v>1</v>
      </c>
      <c r="X311" s="16">
        <v>240806</v>
      </c>
      <c r="Y311" s="16" t="s">
        <v>1405</v>
      </c>
      <c r="Z311" s="16">
        <v>0</v>
      </c>
      <c r="AA311" s="16">
        <v>0</v>
      </c>
      <c r="AB311" s="16" t="s">
        <v>1405</v>
      </c>
      <c r="AC311" s="16" t="s">
        <v>1405</v>
      </c>
      <c r="AD311" s="16">
        <v>0</v>
      </c>
      <c r="AE311" s="16" t="s">
        <v>1405</v>
      </c>
      <c r="AF311" s="16" t="s">
        <v>1405</v>
      </c>
    </row>
    <row r="312" spans="1:32" x14ac:dyDescent="0.2">
      <c r="A312" s="3" t="s">
        <v>2168</v>
      </c>
      <c r="B312" s="12" t="s">
        <v>1497</v>
      </c>
      <c r="C312" s="6">
        <v>311</v>
      </c>
      <c r="D312" s="12">
        <v>92</v>
      </c>
      <c r="E312" s="12" t="s">
        <v>1444</v>
      </c>
      <c r="F312" s="12" t="s">
        <v>1445</v>
      </c>
      <c r="G312" s="12" t="s">
        <v>1446</v>
      </c>
      <c r="H312" s="12" t="s">
        <v>138</v>
      </c>
      <c r="I312" s="12" t="s">
        <v>1412</v>
      </c>
      <c r="J312" s="12" t="s">
        <v>1402</v>
      </c>
      <c r="K312" s="17" t="s">
        <v>1596</v>
      </c>
      <c r="L312" s="13" t="s">
        <v>1521</v>
      </c>
      <c r="M312" s="13" t="s">
        <v>1590</v>
      </c>
      <c r="N312" s="13" t="s">
        <v>1450</v>
      </c>
      <c r="O312" s="13" t="s">
        <v>1581</v>
      </c>
      <c r="P312" s="13" t="s">
        <v>1451</v>
      </c>
      <c r="Q312" s="13" t="s">
        <v>1400</v>
      </c>
      <c r="R312" s="13">
        <v>4</v>
      </c>
      <c r="S312" s="13" t="s">
        <v>1453</v>
      </c>
      <c r="T312" s="13" t="s">
        <v>1454</v>
      </c>
      <c r="U312" s="13" t="s">
        <v>1406</v>
      </c>
      <c r="V312" s="13">
        <v>13</v>
      </c>
      <c r="W312" s="13" t="b">
        <v>1</v>
      </c>
      <c r="X312" s="13">
        <v>240806</v>
      </c>
      <c r="Y312" s="13" t="s">
        <v>1405</v>
      </c>
      <c r="Z312" s="13">
        <v>0</v>
      </c>
      <c r="AA312" s="13">
        <v>0</v>
      </c>
      <c r="AB312" s="13" t="s">
        <v>1405</v>
      </c>
      <c r="AC312" s="13" t="s">
        <v>1405</v>
      </c>
      <c r="AD312" s="13">
        <v>0</v>
      </c>
      <c r="AE312" s="13" t="s">
        <v>1405</v>
      </c>
      <c r="AF312" s="13" t="s">
        <v>1405</v>
      </c>
    </row>
    <row r="313" spans="1:32" x14ac:dyDescent="0.2">
      <c r="A313" s="3" t="s">
        <v>2169</v>
      </c>
      <c r="B313" s="14" t="s">
        <v>1497</v>
      </c>
      <c r="C313" s="6">
        <v>312</v>
      </c>
      <c r="D313" s="14">
        <v>92</v>
      </c>
      <c r="E313" s="14" t="s">
        <v>1457</v>
      </c>
      <c r="F313" s="15" t="s">
        <v>1445</v>
      </c>
      <c r="G313" s="14" t="s">
        <v>1458</v>
      </c>
      <c r="H313" s="14" t="s">
        <v>138</v>
      </c>
      <c r="I313" s="14" t="s">
        <v>1502</v>
      </c>
      <c r="J313" s="14" t="s">
        <v>1402</v>
      </c>
      <c r="K313" s="17" t="s">
        <v>1597</v>
      </c>
      <c r="L313" s="16" t="s">
        <v>1521</v>
      </c>
      <c r="M313" s="16" t="s">
        <v>1590</v>
      </c>
      <c r="N313" s="16" t="s">
        <v>1450</v>
      </c>
      <c r="O313" s="16" t="s">
        <v>1581</v>
      </c>
      <c r="P313" s="16" t="s">
        <v>1451</v>
      </c>
      <c r="Q313" s="16" t="s">
        <v>1400</v>
      </c>
      <c r="R313" s="16">
        <v>4</v>
      </c>
      <c r="S313" s="16" t="s">
        <v>1453</v>
      </c>
      <c r="T313" s="16" t="s">
        <v>1454</v>
      </c>
      <c r="U313" s="16" t="s">
        <v>1406</v>
      </c>
      <c r="V313" s="16">
        <v>13</v>
      </c>
      <c r="W313" s="16" t="b">
        <v>1</v>
      </c>
      <c r="X313" s="16">
        <v>240806</v>
      </c>
      <c r="Y313" s="16" t="s">
        <v>1405</v>
      </c>
      <c r="Z313" s="16">
        <v>0</v>
      </c>
      <c r="AA313" s="16">
        <v>0</v>
      </c>
      <c r="AB313" s="16" t="s">
        <v>1405</v>
      </c>
      <c r="AC313" s="16" t="s">
        <v>1405</v>
      </c>
      <c r="AD313" s="16">
        <v>0</v>
      </c>
      <c r="AE313" s="16" t="s">
        <v>1405</v>
      </c>
      <c r="AF313" s="16" t="s">
        <v>1405</v>
      </c>
    </row>
    <row r="314" spans="1:32" x14ac:dyDescent="0.2">
      <c r="A314" s="3" t="s">
        <v>2170</v>
      </c>
      <c r="B314" s="12" t="s">
        <v>1497</v>
      </c>
      <c r="C314" s="6">
        <v>313</v>
      </c>
      <c r="D314" s="12">
        <v>93</v>
      </c>
      <c r="E314" s="12" t="s">
        <v>1444</v>
      </c>
      <c r="F314" s="12" t="s">
        <v>1445</v>
      </c>
      <c r="G314" s="12" t="s">
        <v>1446</v>
      </c>
      <c r="H314" s="12" t="s">
        <v>139</v>
      </c>
      <c r="I314" s="12" t="s">
        <v>1412</v>
      </c>
      <c r="J314" s="12" t="s">
        <v>1402</v>
      </c>
      <c r="K314" s="17" t="s">
        <v>1598</v>
      </c>
      <c r="L314" s="13" t="s">
        <v>1521</v>
      </c>
      <c r="M314" s="13" t="s">
        <v>1590</v>
      </c>
      <c r="N314" s="13" t="s">
        <v>1450</v>
      </c>
      <c r="O314" s="13" t="s">
        <v>1581</v>
      </c>
      <c r="P314" s="13" t="s">
        <v>1451</v>
      </c>
      <c r="Q314" s="13" t="s">
        <v>1541</v>
      </c>
      <c r="R314" s="13">
        <v>5</v>
      </c>
      <c r="S314" s="13" t="s">
        <v>1453</v>
      </c>
      <c r="T314" s="13" t="s">
        <v>1454</v>
      </c>
      <c r="U314" s="13" t="s">
        <v>1406</v>
      </c>
      <c r="V314" s="13">
        <v>13</v>
      </c>
      <c r="W314" s="13" t="b">
        <v>1</v>
      </c>
      <c r="X314" s="13">
        <v>240806</v>
      </c>
      <c r="Y314" s="13" t="s">
        <v>1405</v>
      </c>
      <c r="Z314" s="13">
        <v>0</v>
      </c>
      <c r="AA314" s="13">
        <v>0</v>
      </c>
      <c r="AB314" s="13" t="s">
        <v>1405</v>
      </c>
      <c r="AC314" s="13" t="s">
        <v>1405</v>
      </c>
      <c r="AD314" s="13">
        <v>0</v>
      </c>
      <c r="AE314" s="13" t="s">
        <v>1405</v>
      </c>
      <c r="AF314" s="13" t="s">
        <v>1405</v>
      </c>
    </row>
    <row r="315" spans="1:32" x14ac:dyDescent="0.2">
      <c r="A315" s="3" t="s">
        <v>2171</v>
      </c>
      <c r="B315" s="14" t="s">
        <v>1497</v>
      </c>
      <c r="C315" s="6">
        <v>314</v>
      </c>
      <c r="D315" s="14">
        <v>93</v>
      </c>
      <c r="E315" s="14" t="s">
        <v>1457</v>
      </c>
      <c r="F315" s="15" t="s">
        <v>1445</v>
      </c>
      <c r="G315" s="14" t="s">
        <v>1458</v>
      </c>
      <c r="H315" s="14" t="s">
        <v>139</v>
      </c>
      <c r="I315" s="14" t="s">
        <v>1502</v>
      </c>
      <c r="J315" s="14" t="s">
        <v>1402</v>
      </c>
      <c r="K315" s="17" t="s">
        <v>1599</v>
      </c>
      <c r="L315" s="16" t="s">
        <v>1521</v>
      </c>
      <c r="M315" s="16" t="s">
        <v>1590</v>
      </c>
      <c r="N315" s="16" t="s">
        <v>1450</v>
      </c>
      <c r="O315" s="16" t="s">
        <v>1581</v>
      </c>
      <c r="P315" s="16" t="s">
        <v>1451</v>
      </c>
      <c r="Q315" s="16" t="s">
        <v>1541</v>
      </c>
      <c r="R315" s="16">
        <v>5</v>
      </c>
      <c r="S315" s="16" t="s">
        <v>1453</v>
      </c>
      <c r="T315" s="16" t="s">
        <v>1454</v>
      </c>
      <c r="U315" s="16" t="s">
        <v>1406</v>
      </c>
      <c r="V315" s="16">
        <v>13</v>
      </c>
      <c r="W315" s="16" t="b">
        <v>1</v>
      </c>
      <c r="X315" s="16">
        <v>240806</v>
      </c>
      <c r="Y315" s="16" t="s">
        <v>1405</v>
      </c>
      <c r="Z315" s="16">
        <v>0</v>
      </c>
      <c r="AA315" s="16">
        <v>0</v>
      </c>
      <c r="AB315" s="16" t="s">
        <v>1405</v>
      </c>
      <c r="AC315" s="16" t="s">
        <v>1405</v>
      </c>
      <c r="AD315" s="16">
        <v>0</v>
      </c>
      <c r="AE315" s="16" t="s">
        <v>1405</v>
      </c>
      <c r="AF315" s="16" t="s">
        <v>1405</v>
      </c>
    </row>
    <row r="316" spans="1:32" x14ac:dyDescent="0.2">
      <c r="A316" s="3" t="s">
        <v>2172</v>
      </c>
      <c r="B316" s="12" t="s">
        <v>1497</v>
      </c>
      <c r="C316" s="6">
        <v>315</v>
      </c>
      <c r="D316" s="12">
        <v>94</v>
      </c>
      <c r="E316" s="12" t="s">
        <v>1444</v>
      </c>
      <c r="F316" s="12" t="s">
        <v>1445</v>
      </c>
      <c r="G316" s="12" t="s">
        <v>1446</v>
      </c>
      <c r="H316" s="12" t="s">
        <v>140</v>
      </c>
      <c r="I316" s="12" t="s">
        <v>1412</v>
      </c>
      <c r="J316" s="12" t="s">
        <v>1402</v>
      </c>
      <c r="K316" s="17" t="s">
        <v>1620</v>
      </c>
      <c r="L316" s="13" t="s">
        <v>1521</v>
      </c>
      <c r="M316" s="13" t="s">
        <v>1601</v>
      </c>
      <c r="N316" s="13" t="s">
        <v>1450</v>
      </c>
      <c r="O316" s="13" t="s">
        <v>1581</v>
      </c>
      <c r="P316" s="13" t="s">
        <v>1451</v>
      </c>
      <c r="Q316" s="13" t="s">
        <v>1396</v>
      </c>
      <c r="R316" s="13">
        <v>6</v>
      </c>
      <c r="S316" s="13" t="s">
        <v>1453</v>
      </c>
      <c r="T316" s="13" t="s">
        <v>1454</v>
      </c>
      <c r="U316" s="13" t="s">
        <v>1406</v>
      </c>
      <c r="V316" s="13">
        <v>13</v>
      </c>
      <c r="W316" s="13" t="b">
        <v>1</v>
      </c>
      <c r="X316" s="13">
        <v>240806</v>
      </c>
      <c r="Y316" s="13" t="s">
        <v>1405</v>
      </c>
      <c r="Z316" s="13">
        <v>0</v>
      </c>
      <c r="AA316" s="13">
        <v>0</v>
      </c>
      <c r="AB316" s="13" t="s">
        <v>1405</v>
      </c>
      <c r="AC316" s="13" t="s">
        <v>1405</v>
      </c>
      <c r="AD316" s="13">
        <v>0</v>
      </c>
      <c r="AE316" s="13" t="s">
        <v>1405</v>
      </c>
      <c r="AF316" s="13" t="s">
        <v>1405</v>
      </c>
    </row>
    <row r="317" spans="1:32" x14ac:dyDescent="0.2">
      <c r="A317" s="3" t="s">
        <v>2173</v>
      </c>
      <c r="B317" s="14" t="s">
        <v>1497</v>
      </c>
      <c r="C317" s="6">
        <v>316</v>
      </c>
      <c r="D317" s="14">
        <v>94</v>
      </c>
      <c r="E317" s="14" t="s">
        <v>1457</v>
      </c>
      <c r="F317" s="15" t="s">
        <v>1445</v>
      </c>
      <c r="G317" s="14" t="s">
        <v>1458</v>
      </c>
      <c r="H317" s="14" t="s">
        <v>140</v>
      </c>
      <c r="I317" s="14" t="s">
        <v>1502</v>
      </c>
      <c r="J317" s="14" t="s">
        <v>1402</v>
      </c>
      <c r="K317" s="17" t="s">
        <v>1621</v>
      </c>
      <c r="L317" s="16" t="s">
        <v>1521</v>
      </c>
      <c r="M317" s="16" t="s">
        <v>1601</v>
      </c>
      <c r="N317" s="16" t="s">
        <v>1450</v>
      </c>
      <c r="O317" s="16" t="s">
        <v>1581</v>
      </c>
      <c r="P317" s="16" t="s">
        <v>1451</v>
      </c>
      <c r="Q317" s="16" t="s">
        <v>1396</v>
      </c>
      <c r="R317" s="16">
        <v>6</v>
      </c>
      <c r="S317" s="16" t="s">
        <v>1453</v>
      </c>
      <c r="T317" s="16" t="s">
        <v>1454</v>
      </c>
      <c r="U317" s="16" t="s">
        <v>1406</v>
      </c>
      <c r="V317" s="16">
        <v>13</v>
      </c>
      <c r="W317" s="16" t="b">
        <v>1</v>
      </c>
      <c r="X317" s="16">
        <v>240806</v>
      </c>
      <c r="Y317" s="16" t="s">
        <v>1405</v>
      </c>
      <c r="Z317" s="16">
        <v>0</v>
      </c>
      <c r="AA317" s="16">
        <v>0</v>
      </c>
      <c r="AB317" s="16" t="s">
        <v>1405</v>
      </c>
      <c r="AC317" s="16" t="s">
        <v>1405</v>
      </c>
      <c r="AD317" s="16">
        <v>0</v>
      </c>
      <c r="AE317" s="16" t="s">
        <v>1405</v>
      </c>
      <c r="AF317" s="16" t="s">
        <v>1405</v>
      </c>
    </row>
    <row r="318" spans="1:32" x14ac:dyDescent="0.2">
      <c r="A318" s="3" t="s">
        <v>2174</v>
      </c>
      <c r="B318" s="12" t="s">
        <v>1497</v>
      </c>
      <c r="C318" s="6">
        <v>317</v>
      </c>
      <c r="D318" s="12">
        <v>95</v>
      </c>
      <c r="E318" s="12" t="s">
        <v>1444</v>
      </c>
      <c r="F318" s="12" t="s">
        <v>1445</v>
      </c>
      <c r="G318" s="12" t="s">
        <v>1446</v>
      </c>
      <c r="H318" s="12" t="s">
        <v>141</v>
      </c>
      <c r="I318" s="12" t="s">
        <v>1412</v>
      </c>
      <c r="J318" s="12" t="s">
        <v>1402</v>
      </c>
      <c r="K318" s="17" t="s">
        <v>1600</v>
      </c>
      <c r="L318" s="13" t="s">
        <v>1521</v>
      </c>
      <c r="M318" s="13" t="s">
        <v>1601</v>
      </c>
      <c r="N318" s="13" t="s">
        <v>1450</v>
      </c>
      <c r="O318" s="13" t="s">
        <v>1581</v>
      </c>
      <c r="P318" s="13" t="s">
        <v>1451</v>
      </c>
      <c r="Q318" s="13" t="s">
        <v>1398</v>
      </c>
      <c r="R318" s="13">
        <v>7</v>
      </c>
      <c r="S318" s="13" t="s">
        <v>1453</v>
      </c>
      <c r="T318" s="13" t="s">
        <v>1454</v>
      </c>
      <c r="U318" s="13" t="s">
        <v>1406</v>
      </c>
      <c r="V318" s="13">
        <v>13</v>
      </c>
      <c r="W318" s="13" t="b">
        <v>1</v>
      </c>
      <c r="X318" s="13">
        <v>240806</v>
      </c>
      <c r="Y318" s="13" t="s">
        <v>1405</v>
      </c>
      <c r="Z318" s="13">
        <v>0</v>
      </c>
      <c r="AA318" s="13">
        <v>0</v>
      </c>
      <c r="AB318" s="13" t="s">
        <v>1405</v>
      </c>
      <c r="AC318" s="13" t="s">
        <v>1405</v>
      </c>
      <c r="AD318" s="13">
        <v>0</v>
      </c>
      <c r="AE318" s="13" t="s">
        <v>1405</v>
      </c>
      <c r="AF318" s="13" t="s">
        <v>1405</v>
      </c>
    </row>
    <row r="319" spans="1:32" x14ac:dyDescent="0.2">
      <c r="A319" s="3" t="s">
        <v>2175</v>
      </c>
      <c r="B319" s="14" t="s">
        <v>1497</v>
      </c>
      <c r="C319" s="6">
        <v>318</v>
      </c>
      <c r="D319" s="14">
        <v>95</v>
      </c>
      <c r="E319" s="14" t="s">
        <v>1457</v>
      </c>
      <c r="F319" s="15" t="s">
        <v>1445</v>
      </c>
      <c r="G319" s="14" t="s">
        <v>1458</v>
      </c>
      <c r="H319" s="14" t="s">
        <v>141</v>
      </c>
      <c r="I319" s="14" t="s">
        <v>1502</v>
      </c>
      <c r="J319" s="14" t="s">
        <v>1402</v>
      </c>
      <c r="K319" s="17" t="s">
        <v>1602</v>
      </c>
      <c r="L319" s="16" t="s">
        <v>1521</v>
      </c>
      <c r="M319" s="16" t="s">
        <v>1601</v>
      </c>
      <c r="N319" s="16" t="s">
        <v>1450</v>
      </c>
      <c r="O319" s="16" t="s">
        <v>1581</v>
      </c>
      <c r="P319" s="16" t="s">
        <v>1451</v>
      </c>
      <c r="Q319" s="16" t="s">
        <v>1398</v>
      </c>
      <c r="R319" s="16">
        <v>7</v>
      </c>
      <c r="S319" s="16" t="s">
        <v>1453</v>
      </c>
      <c r="T319" s="16" t="s">
        <v>1454</v>
      </c>
      <c r="U319" s="16" t="s">
        <v>1406</v>
      </c>
      <c r="V319" s="16">
        <v>13</v>
      </c>
      <c r="W319" s="16" t="b">
        <v>1</v>
      </c>
      <c r="X319" s="16">
        <v>240806</v>
      </c>
      <c r="Y319" s="16" t="s">
        <v>1405</v>
      </c>
      <c r="Z319" s="16">
        <v>0</v>
      </c>
      <c r="AA319" s="16">
        <v>0</v>
      </c>
      <c r="AB319" s="16" t="s">
        <v>1405</v>
      </c>
      <c r="AC319" s="16" t="s">
        <v>1405</v>
      </c>
      <c r="AD319" s="16">
        <v>0</v>
      </c>
      <c r="AE319" s="16" t="s">
        <v>1405</v>
      </c>
      <c r="AF319" s="16" t="s">
        <v>1405</v>
      </c>
    </row>
    <row r="320" spans="1:32" x14ac:dyDescent="0.2">
      <c r="A320" s="3" t="s">
        <v>2176</v>
      </c>
      <c r="B320" s="12" t="s">
        <v>1497</v>
      </c>
      <c r="C320" s="6">
        <v>319</v>
      </c>
      <c r="D320" s="12">
        <v>96</v>
      </c>
      <c r="E320" s="12" t="s">
        <v>1444</v>
      </c>
      <c r="F320" s="12" t="s">
        <v>1445</v>
      </c>
      <c r="G320" s="12" t="s">
        <v>1446</v>
      </c>
      <c r="H320" s="12" t="s">
        <v>1495</v>
      </c>
      <c r="I320" s="12" t="s">
        <v>1412</v>
      </c>
      <c r="J320" s="12" t="s">
        <v>1401</v>
      </c>
      <c r="K320" s="17" t="s">
        <v>1620</v>
      </c>
      <c r="L320" s="13" t="s">
        <v>1521</v>
      </c>
      <c r="M320" s="13" t="s">
        <v>1601</v>
      </c>
      <c r="N320" s="13" t="s">
        <v>1450</v>
      </c>
      <c r="O320" s="13" t="s">
        <v>1581</v>
      </c>
      <c r="P320" s="13" t="s">
        <v>1451</v>
      </c>
      <c r="Q320" s="13" t="s">
        <v>1396</v>
      </c>
      <c r="R320" s="13">
        <v>6</v>
      </c>
      <c r="S320" s="13" t="s">
        <v>1453</v>
      </c>
      <c r="T320" s="13" t="s">
        <v>1454</v>
      </c>
      <c r="U320" s="13" t="s">
        <v>1406</v>
      </c>
      <c r="V320" s="13">
        <v>13</v>
      </c>
      <c r="W320" s="13" t="b">
        <v>1</v>
      </c>
      <c r="X320" s="13">
        <v>240806</v>
      </c>
      <c r="Y320" s="13" t="s">
        <v>1405</v>
      </c>
      <c r="Z320" s="13">
        <v>0</v>
      </c>
      <c r="AA320" s="13">
        <v>0</v>
      </c>
      <c r="AB320" s="13" t="s">
        <v>1405</v>
      </c>
      <c r="AC320" s="13" t="s">
        <v>1405</v>
      </c>
      <c r="AD320" s="13">
        <v>0</v>
      </c>
      <c r="AE320" s="13" t="s">
        <v>1405</v>
      </c>
      <c r="AF320" s="13" t="s">
        <v>1405</v>
      </c>
    </row>
    <row r="321" spans="1:32" x14ac:dyDescent="0.2">
      <c r="A321" s="3" t="s">
        <v>2177</v>
      </c>
      <c r="B321" s="14" t="s">
        <v>1497</v>
      </c>
      <c r="C321" s="6">
        <v>320</v>
      </c>
      <c r="D321" s="14">
        <v>96.5</v>
      </c>
      <c r="E321" s="14" t="s">
        <v>1457</v>
      </c>
      <c r="F321" s="15" t="s">
        <v>1445</v>
      </c>
      <c r="G321" s="14" t="s">
        <v>1458</v>
      </c>
      <c r="H321" s="14" t="s">
        <v>84</v>
      </c>
      <c r="I321" s="14" t="s">
        <v>1502</v>
      </c>
      <c r="J321" s="14" t="s">
        <v>1401</v>
      </c>
      <c r="K321" s="17" t="s">
        <v>1621</v>
      </c>
      <c r="L321" s="16" t="s">
        <v>1521</v>
      </c>
      <c r="M321" s="16" t="s">
        <v>1601</v>
      </c>
      <c r="N321" s="16" t="s">
        <v>1450</v>
      </c>
      <c r="O321" s="16" t="s">
        <v>1581</v>
      </c>
      <c r="P321" s="16" t="s">
        <v>1451</v>
      </c>
      <c r="Q321" s="16" t="s">
        <v>1396</v>
      </c>
      <c r="R321" s="16">
        <v>6</v>
      </c>
      <c r="S321" s="16" t="s">
        <v>1453</v>
      </c>
      <c r="T321" s="16" t="s">
        <v>1454</v>
      </c>
      <c r="U321" s="16" t="s">
        <v>1406</v>
      </c>
      <c r="V321" s="16">
        <v>13</v>
      </c>
      <c r="W321" s="16" t="b">
        <v>1</v>
      </c>
      <c r="X321" s="16">
        <v>240806</v>
      </c>
      <c r="Y321" s="16" t="s">
        <v>1405</v>
      </c>
      <c r="Z321" s="16">
        <v>0</v>
      </c>
      <c r="AA321" s="16">
        <v>0</v>
      </c>
      <c r="AB321" s="16" t="s">
        <v>1405</v>
      </c>
      <c r="AC321" s="16" t="s">
        <v>1405</v>
      </c>
      <c r="AD321" s="16">
        <v>0</v>
      </c>
      <c r="AE321" s="16" t="s">
        <v>1405</v>
      </c>
      <c r="AF321" s="16" t="s">
        <v>1405</v>
      </c>
    </row>
    <row r="322" spans="1:32" x14ac:dyDescent="0.2">
      <c r="A322" s="3" t="s">
        <v>2178</v>
      </c>
      <c r="B322" s="12" t="s">
        <v>1497</v>
      </c>
      <c r="C322" s="6">
        <v>321</v>
      </c>
      <c r="D322" s="12">
        <v>97</v>
      </c>
      <c r="E322" s="12" t="s">
        <v>1444</v>
      </c>
      <c r="F322" s="12" t="s">
        <v>1445</v>
      </c>
      <c r="G322" s="12" t="s">
        <v>1446</v>
      </c>
      <c r="H322" s="12" t="s">
        <v>1496</v>
      </c>
      <c r="I322" s="12" t="s">
        <v>1412</v>
      </c>
      <c r="J322" s="12" t="s">
        <v>1401</v>
      </c>
      <c r="K322" s="17" t="s">
        <v>1620</v>
      </c>
      <c r="L322" s="13" t="s">
        <v>1521</v>
      </c>
      <c r="M322" s="13" t="s">
        <v>1601</v>
      </c>
      <c r="N322" s="13" t="s">
        <v>1450</v>
      </c>
      <c r="O322" s="13" t="s">
        <v>1581</v>
      </c>
      <c r="P322" s="13" t="s">
        <v>1451</v>
      </c>
      <c r="Q322" s="13" t="s">
        <v>1396</v>
      </c>
      <c r="R322" s="13">
        <v>6</v>
      </c>
      <c r="S322" s="13" t="s">
        <v>1453</v>
      </c>
      <c r="T322" s="13" t="s">
        <v>1454</v>
      </c>
      <c r="U322" s="13" t="s">
        <v>1406</v>
      </c>
      <c r="V322" s="13">
        <v>13</v>
      </c>
      <c r="W322" s="13" t="b">
        <v>1</v>
      </c>
      <c r="X322" s="13">
        <v>240806</v>
      </c>
      <c r="Y322" s="13" t="s">
        <v>1405</v>
      </c>
      <c r="Z322" s="13">
        <v>0</v>
      </c>
      <c r="AA322" s="13">
        <v>0</v>
      </c>
      <c r="AB322" s="13" t="s">
        <v>1405</v>
      </c>
      <c r="AC322" s="13" t="s">
        <v>1405</v>
      </c>
      <c r="AD322" s="13">
        <v>0</v>
      </c>
      <c r="AE322" s="13" t="s">
        <v>1405</v>
      </c>
      <c r="AF322" s="13" t="s">
        <v>1405</v>
      </c>
    </row>
    <row r="323" spans="1:32" x14ac:dyDescent="0.2">
      <c r="A323" s="3" t="s">
        <v>2179</v>
      </c>
      <c r="B323" s="12" t="s">
        <v>1497</v>
      </c>
      <c r="C323" s="6">
        <v>322</v>
      </c>
      <c r="D323" s="12">
        <v>98</v>
      </c>
      <c r="E323" s="12" t="s">
        <v>1444</v>
      </c>
      <c r="F323" s="12" t="s">
        <v>1445</v>
      </c>
      <c r="G323" s="12" t="s">
        <v>1446</v>
      </c>
      <c r="H323" s="12" t="s">
        <v>22</v>
      </c>
      <c r="I323" s="12" t="s">
        <v>1413</v>
      </c>
      <c r="J323" s="12" t="s">
        <v>1402</v>
      </c>
      <c r="K323" s="17" t="s">
        <v>1603</v>
      </c>
      <c r="L323" s="13" t="s">
        <v>1521</v>
      </c>
      <c r="M323" s="13" t="s">
        <v>1601</v>
      </c>
      <c r="N323" s="13" t="s">
        <v>1450</v>
      </c>
      <c r="O323" s="13" t="s">
        <v>1581</v>
      </c>
      <c r="P323" s="13" t="s">
        <v>1451</v>
      </c>
      <c r="Q323" s="13" t="s">
        <v>1399</v>
      </c>
      <c r="R323" s="13">
        <v>8</v>
      </c>
      <c r="S323" s="13" t="s">
        <v>1453</v>
      </c>
      <c r="T323" s="13" t="s">
        <v>1454</v>
      </c>
      <c r="U323" s="13" t="s">
        <v>1406</v>
      </c>
      <c r="V323" s="13">
        <v>13</v>
      </c>
      <c r="W323" s="13" t="b">
        <v>1</v>
      </c>
      <c r="X323" s="13">
        <v>240806</v>
      </c>
      <c r="Y323" s="13" t="s">
        <v>1405</v>
      </c>
      <c r="Z323" s="13">
        <v>0</v>
      </c>
      <c r="AA323" s="13">
        <v>0</v>
      </c>
      <c r="AB323" s="13" t="s">
        <v>1405</v>
      </c>
      <c r="AC323" s="13" t="s">
        <v>1405</v>
      </c>
      <c r="AD323" s="13">
        <v>0</v>
      </c>
      <c r="AE323" s="13" t="s">
        <v>1405</v>
      </c>
      <c r="AF323" s="13" t="s">
        <v>1405</v>
      </c>
    </row>
    <row r="324" spans="1:32" x14ac:dyDescent="0.2">
      <c r="A324" s="3" t="s">
        <v>2180</v>
      </c>
      <c r="B324" s="14" t="s">
        <v>1497</v>
      </c>
      <c r="C324" s="6">
        <v>323</v>
      </c>
      <c r="D324" s="14">
        <v>98</v>
      </c>
      <c r="E324" s="14" t="s">
        <v>1457</v>
      </c>
      <c r="F324" s="15" t="s">
        <v>1445</v>
      </c>
      <c r="G324" s="14" t="s">
        <v>1458</v>
      </c>
      <c r="H324" s="14" t="s">
        <v>22</v>
      </c>
      <c r="I324" s="14" t="s">
        <v>1411</v>
      </c>
      <c r="J324" s="14" t="s">
        <v>1402</v>
      </c>
      <c r="K324" s="17" t="s">
        <v>1604</v>
      </c>
      <c r="L324" s="16" t="s">
        <v>1521</v>
      </c>
      <c r="M324" s="16" t="s">
        <v>1601</v>
      </c>
      <c r="N324" s="16" t="s">
        <v>1450</v>
      </c>
      <c r="O324" s="16" t="s">
        <v>1581</v>
      </c>
      <c r="P324" s="16" t="s">
        <v>1451</v>
      </c>
      <c r="Q324" s="16" t="s">
        <v>1399</v>
      </c>
      <c r="R324" s="16">
        <v>8</v>
      </c>
      <c r="S324" s="16" t="s">
        <v>1453</v>
      </c>
      <c r="T324" s="16" t="s">
        <v>1454</v>
      </c>
      <c r="U324" s="16" t="s">
        <v>1406</v>
      </c>
      <c r="V324" s="16">
        <v>13</v>
      </c>
      <c r="W324" s="16" t="b">
        <v>1</v>
      </c>
      <c r="X324" s="16">
        <v>240806</v>
      </c>
      <c r="Y324" s="16" t="s">
        <v>1405</v>
      </c>
      <c r="Z324" s="16">
        <v>0</v>
      </c>
      <c r="AA324" s="16">
        <v>0</v>
      </c>
      <c r="AB324" s="16" t="s">
        <v>1405</v>
      </c>
      <c r="AC324" s="16" t="s">
        <v>1405</v>
      </c>
      <c r="AD324" s="16">
        <v>0</v>
      </c>
      <c r="AE324" s="16" t="s">
        <v>1405</v>
      </c>
      <c r="AF324" s="16" t="s">
        <v>1405</v>
      </c>
    </row>
    <row r="325" spans="1:32" x14ac:dyDescent="0.2">
      <c r="A325" s="3" t="s">
        <v>2181</v>
      </c>
      <c r="B325" s="12" t="s">
        <v>1497</v>
      </c>
      <c r="C325" s="6">
        <v>324</v>
      </c>
      <c r="D325" s="12">
        <v>99</v>
      </c>
      <c r="E325" s="12" t="s">
        <v>1444</v>
      </c>
      <c r="F325" s="12" t="s">
        <v>1445</v>
      </c>
      <c r="G325" s="12" t="s">
        <v>1446</v>
      </c>
      <c r="H325" s="12" t="s">
        <v>30</v>
      </c>
      <c r="I325" s="12" t="s">
        <v>1413</v>
      </c>
      <c r="J325" s="12" t="s">
        <v>1402</v>
      </c>
      <c r="K325" s="17" t="s">
        <v>1605</v>
      </c>
      <c r="L325" s="13" t="s">
        <v>1521</v>
      </c>
      <c r="M325" s="13" t="s">
        <v>1601</v>
      </c>
      <c r="N325" s="13" t="s">
        <v>1450</v>
      </c>
      <c r="O325" s="13" t="s">
        <v>1581</v>
      </c>
      <c r="P325" s="13" t="s">
        <v>1451</v>
      </c>
      <c r="Q325" s="13" t="s">
        <v>1400</v>
      </c>
      <c r="R325" s="13">
        <v>9</v>
      </c>
      <c r="S325" s="13" t="s">
        <v>1453</v>
      </c>
      <c r="T325" s="13" t="s">
        <v>1454</v>
      </c>
      <c r="U325" s="13" t="s">
        <v>1406</v>
      </c>
      <c r="V325" s="13">
        <v>13</v>
      </c>
      <c r="W325" s="13" t="b">
        <v>1</v>
      </c>
      <c r="X325" s="13">
        <v>240806</v>
      </c>
      <c r="Y325" s="13" t="s">
        <v>1405</v>
      </c>
      <c r="Z325" s="13">
        <v>0</v>
      </c>
      <c r="AA325" s="13">
        <v>0</v>
      </c>
      <c r="AB325" s="13" t="s">
        <v>1405</v>
      </c>
      <c r="AC325" s="13" t="s">
        <v>1405</v>
      </c>
      <c r="AD325" s="13">
        <v>0</v>
      </c>
      <c r="AE325" s="13" t="s">
        <v>1405</v>
      </c>
      <c r="AF325" s="13" t="s">
        <v>1405</v>
      </c>
    </row>
    <row r="326" spans="1:32" x14ac:dyDescent="0.2">
      <c r="A326" s="3" t="s">
        <v>2182</v>
      </c>
      <c r="B326" s="14" t="s">
        <v>1497</v>
      </c>
      <c r="C326" s="6">
        <v>325</v>
      </c>
      <c r="D326" s="14">
        <v>99</v>
      </c>
      <c r="E326" s="14" t="s">
        <v>1457</v>
      </c>
      <c r="F326" s="15" t="s">
        <v>1445</v>
      </c>
      <c r="G326" s="14" t="s">
        <v>1458</v>
      </c>
      <c r="H326" s="14" t="s">
        <v>30</v>
      </c>
      <c r="I326" s="14" t="s">
        <v>1411</v>
      </c>
      <c r="J326" s="14" t="s">
        <v>1402</v>
      </c>
      <c r="K326" s="17" t="s">
        <v>1606</v>
      </c>
      <c r="L326" s="16" t="s">
        <v>1521</v>
      </c>
      <c r="M326" s="16" t="s">
        <v>1601</v>
      </c>
      <c r="N326" s="16" t="s">
        <v>1450</v>
      </c>
      <c r="O326" s="16" t="s">
        <v>1581</v>
      </c>
      <c r="P326" s="16" t="s">
        <v>1451</v>
      </c>
      <c r="Q326" s="16" t="s">
        <v>1400</v>
      </c>
      <c r="R326" s="16">
        <v>9</v>
      </c>
      <c r="S326" s="16" t="s">
        <v>1453</v>
      </c>
      <c r="T326" s="16" t="s">
        <v>1454</v>
      </c>
      <c r="U326" s="16" t="s">
        <v>1406</v>
      </c>
      <c r="V326" s="16">
        <v>13</v>
      </c>
      <c r="W326" s="16" t="b">
        <v>1</v>
      </c>
      <c r="X326" s="16">
        <v>240806</v>
      </c>
      <c r="Y326" s="16" t="s">
        <v>1405</v>
      </c>
      <c r="Z326" s="16">
        <v>0</v>
      </c>
      <c r="AA326" s="16">
        <v>0</v>
      </c>
      <c r="AB326" s="16" t="s">
        <v>1405</v>
      </c>
      <c r="AC326" s="16" t="s">
        <v>1405</v>
      </c>
      <c r="AD326" s="16">
        <v>0</v>
      </c>
      <c r="AE326" s="16" t="s">
        <v>1405</v>
      </c>
      <c r="AF326" s="16" t="s">
        <v>1405</v>
      </c>
    </row>
    <row r="327" spans="1:32" x14ac:dyDescent="0.2">
      <c r="A327" s="3" t="s">
        <v>2183</v>
      </c>
      <c r="B327" s="12" t="s">
        <v>1497</v>
      </c>
      <c r="C327" s="6">
        <v>326</v>
      </c>
      <c r="D327" s="12">
        <v>100</v>
      </c>
      <c r="E327" s="12" t="s">
        <v>1444</v>
      </c>
      <c r="F327" s="12" t="s">
        <v>1445</v>
      </c>
      <c r="G327" s="12" t="s">
        <v>1446</v>
      </c>
      <c r="H327" s="12" t="s">
        <v>32</v>
      </c>
      <c r="I327" s="12" t="s">
        <v>1413</v>
      </c>
      <c r="J327" s="12" t="s">
        <v>1402</v>
      </c>
      <c r="K327" s="17" t="s">
        <v>1607</v>
      </c>
      <c r="L327" s="13" t="s">
        <v>1521</v>
      </c>
      <c r="M327" s="13" t="s">
        <v>1601</v>
      </c>
      <c r="N327" s="13" t="s">
        <v>1450</v>
      </c>
      <c r="O327" s="13" t="s">
        <v>1581</v>
      </c>
      <c r="P327" s="13" t="s">
        <v>1451</v>
      </c>
      <c r="Q327" s="13" t="s">
        <v>1541</v>
      </c>
      <c r="R327" s="13">
        <v>10</v>
      </c>
      <c r="S327" s="13" t="s">
        <v>1453</v>
      </c>
      <c r="T327" s="13" t="s">
        <v>1454</v>
      </c>
      <c r="U327" s="13" t="s">
        <v>1406</v>
      </c>
      <c r="V327" s="13">
        <v>13</v>
      </c>
      <c r="W327" s="13" t="b">
        <v>1</v>
      </c>
      <c r="X327" s="13">
        <v>240806</v>
      </c>
      <c r="Y327" s="13" t="s">
        <v>1405</v>
      </c>
      <c r="Z327" s="13">
        <v>0</v>
      </c>
      <c r="AA327" s="13">
        <v>0</v>
      </c>
      <c r="AB327" s="13" t="s">
        <v>1405</v>
      </c>
      <c r="AC327" s="13" t="s">
        <v>1405</v>
      </c>
      <c r="AD327" s="13">
        <v>0</v>
      </c>
      <c r="AE327" s="13" t="s">
        <v>1405</v>
      </c>
      <c r="AF327" s="13" t="s">
        <v>1405</v>
      </c>
    </row>
    <row r="328" spans="1:32" x14ac:dyDescent="0.2">
      <c r="A328" s="3" t="s">
        <v>2184</v>
      </c>
      <c r="B328" s="14" t="s">
        <v>1497</v>
      </c>
      <c r="C328" s="6">
        <v>327</v>
      </c>
      <c r="D328" s="14">
        <v>100</v>
      </c>
      <c r="E328" s="14" t="s">
        <v>1457</v>
      </c>
      <c r="F328" s="15" t="s">
        <v>1445</v>
      </c>
      <c r="G328" s="14" t="s">
        <v>1458</v>
      </c>
      <c r="H328" s="14" t="s">
        <v>32</v>
      </c>
      <c r="I328" s="14" t="s">
        <v>1411</v>
      </c>
      <c r="J328" s="14" t="s">
        <v>1402</v>
      </c>
      <c r="K328" s="17" t="s">
        <v>1608</v>
      </c>
      <c r="L328" s="16" t="s">
        <v>1521</v>
      </c>
      <c r="M328" s="16" t="s">
        <v>1601</v>
      </c>
      <c r="N328" s="16" t="s">
        <v>1450</v>
      </c>
      <c r="O328" s="16" t="s">
        <v>1581</v>
      </c>
      <c r="P328" s="16" t="s">
        <v>1451</v>
      </c>
      <c r="Q328" s="16" t="s">
        <v>1541</v>
      </c>
      <c r="R328" s="16">
        <v>10</v>
      </c>
      <c r="S328" s="16" t="s">
        <v>1453</v>
      </c>
      <c r="T328" s="16" t="s">
        <v>1454</v>
      </c>
      <c r="U328" s="16" t="s">
        <v>1406</v>
      </c>
      <c r="V328" s="16">
        <v>13</v>
      </c>
      <c r="W328" s="16" t="b">
        <v>1</v>
      </c>
      <c r="X328" s="16">
        <v>240806</v>
      </c>
      <c r="Y328" s="16" t="s">
        <v>1405</v>
      </c>
      <c r="Z328" s="16">
        <v>0</v>
      </c>
      <c r="AA328" s="16">
        <v>0</v>
      </c>
      <c r="AB328" s="16" t="s">
        <v>1405</v>
      </c>
      <c r="AC328" s="16" t="s">
        <v>1405</v>
      </c>
      <c r="AD328" s="16">
        <v>0</v>
      </c>
      <c r="AE328" s="16" t="s">
        <v>1405</v>
      </c>
      <c r="AF328" s="16" t="s">
        <v>1405</v>
      </c>
    </row>
    <row r="329" spans="1:32" x14ac:dyDescent="0.2">
      <c r="A329" s="3" t="s">
        <v>2185</v>
      </c>
      <c r="B329" s="12" t="s">
        <v>1497</v>
      </c>
      <c r="C329" s="6">
        <v>328</v>
      </c>
      <c r="D329" s="12">
        <v>101</v>
      </c>
      <c r="E329" s="12" t="s">
        <v>1444</v>
      </c>
      <c r="F329" s="12" t="s">
        <v>1445</v>
      </c>
      <c r="G329" s="12" t="s">
        <v>1446</v>
      </c>
      <c r="H329" s="12" t="s">
        <v>34</v>
      </c>
      <c r="I329" s="12" t="s">
        <v>1413</v>
      </c>
      <c r="J329" s="12" t="s">
        <v>1402</v>
      </c>
      <c r="K329" s="17" t="s">
        <v>1609</v>
      </c>
      <c r="L329" s="13" t="s">
        <v>1521</v>
      </c>
      <c r="M329" s="13" t="s">
        <v>1610</v>
      </c>
      <c r="N329" s="13" t="s">
        <v>1450</v>
      </c>
      <c r="O329" s="13" t="s">
        <v>1581</v>
      </c>
      <c r="P329" s="13" t="s">
        <v>1451</v>
      </c>
      <c r="Q329" s="13" t="s">
        <v>1396</v>
      </c>
      <c r="R329" s="13">
        <v>11</v>
      </c>
      <c r="S329" s="13" t="s">
        <v>1453</v>
      </c>
      <c r="T329" s="13" t="s">
        <v>1454</v>
      </c>
      <c r="U329" s="13" t="s">
        <v>1406</v>
      </c>
      <c r="V329" s="13">
        <v>13</v>
      </c>
      <c r="W329" s="13" t="b">
        <v>1</v>
      </c>
      <c r="X329" s="13">
        <v>240806</v>
      </c>
      <c r="Y329" s="13" t="s">
        <v>1405</v>
      </c>
      <c r="Z329" s="13">
        <v>0</v>
      </c>
      <c r="AA329" s="13">
        <v>0</v>
      </c>
      <c r="AB329" s="13" t="s">
        <v>1405</v>
      </c>
      <c r="AC329" s="13" t="s">
        <v>1405</v>
      </c>
      <c r="AD329" s="13">
        <v>0</v>
      </c>
      <c r="AE329" s="13" t="s">
        <v>1405</v>
      </c>
      <c r="AF329" s="13" t="s">
        <v>1405</v>
      </c>
    </row>
    <row r="330" spans="1:32" x14ac:dyDescent="0.2">
      <c r="A330" s="3" t="s">
        <v>2186</v>
      </c>
      <c r="B330" s="14" t="s">
        <v>1497</v>
      </c>
      <c r="C330" s="6">
        <v>329</v>
      </c>
      <c r="D330" s="14">
        <v>101</v>
      </c>
      <c r="E330" s="14" t="s">
        <v>1457</v>
      </c>
      <c r="F330" s="15" t="s">
        <v>1445</v>
      </c>
      <c r="G330" s="14" t="s">
        <v>1458</v>
      </c>
      <c r="H330" s="14" t="s">
        <v>34</v>
      </c>
      <c r="I330" s="14" t="s">
        <v>1411</v>
      </c>
      <c r="J330" s="14" t="s">
        <v>1402</v>
      </c>
      <c r="K330" s="17" t="s">
        <v>1611</v>
      </c>
      <c r="L330" s="16" t="s">
        <v>1521</v>
      </c>
      <c r="M330" s="16" t="s">
        <v>1610</v>
      </c>
      <c r="N330" s="16" t="s">
        <v>1450</v>
      </c>
      <c r="O330" s="16" t="s">
        <v>1581</v>
      </c>
      <c r="P330" s="16" t="s">
        <v>1451</v>
      </c>
      <c r="Q330" s="16" t="s">
        <v>1396</v>
      </c>
      <c r="R330" s="16">
        <v>11</v>
      </c>
      <c r="S330" s="16" t="s">
        <v>1453</v>
      </c>
      <c r="T330" s="16" t="s">
        <v>1454</v>
      </c>
      <c r="U330" s="16" t="s">
        <v>1406</v>
      </c>
      <c r="V330" s="16">
        <v>13</v>
      </c>
      <c r="W330" s="16" t="b">
        <v>1</v>
      </c>
      <c r="X330" s="16">
        <v>240806</v>
      </c>
      <c r="Y330" s="16" t="s">
        <v>1405</v>
      </c>
      <c r="Z330" s="16">
        <v>0</v>
      </c>
      <c r="AA330" s="16">
        <v>0</v>
      </c>
      <c r="AB330" s="16" t="s">
        <v>1405</v>
      </c>
      <c r="AC330" s="16" t="s">
        <v>1405</v>
      </c>
      <c r="AD330" s="16">
        <v>0</v>
      </c>
      <c r="AE330" s="16" t="s">
        <v>1405</v>
      </c>
      <c r="AF330" s="16" t="s">
        <v>1405</v>
      </c>
    </row>
    <row r="331" spans="1:32" x14ac:dyDescent="0.2">
      <c r="A331" s="3" t="s">
        <v>2187</v>
      </c>
      <c r="B331" s="12" t="s">
        <v>1497</v>
      </c>
      <c r="C331" s="6">
        <v>330</v>
      </c>
      <c r="D331" s="12">
        <v>102</v>
      </c>
      <c r="E331" s="12" t="s">
        <v>1444</v>
      </c>
      <c r="F331" s="12" t="s">
        <v>1445</v>
      </c>
      <c r="G331" s="12" t="s">
        <v>1446</v>
      </c>
      <c r="H331" s="12" t="s">
        <v>36</v>
      </c>
      <c r="I331" s="12" t="s">
        <v>1413</v>
      </c>
      <c r="J331" s="12" t="s">
        <v>1402</v>
      </c>
      <c r="K331" s="17" t="s">
        <v>1612</v>
      </c>
      <c r="L331" s="13" t="s">
        <v>1521</v>
      </c>
      <c r="M331" s="13" t="s">
        <v>1610</v>
      </c>
      <c r="N331" s="13" t="s">
        <v>1450</v>
      </c>
      <c r="O331" s="13" t="s">
        <v>1581</v>
      </c>
      <c r="P331" s="13" t="s">
        <v>1451</v>
      </c>
      <c r="Q331" s="13" t="s">
        <v>1398</v>
      </c>
      <c r="R331" s="13">
        <v>12</v>
      </c>
      <c r="S331" s="13" t="s">
        <v>1453</v>
      </c>
      <c r="T331" s="13" t="s">
        <v>1454</v>
      </c>
      <c r="U331" s="13" t="s">
        <v>1406</v>
      </c>
      <c r="V331" s="13">
        <v>13</v>
      </c>
      <c r="W331" s="13" t="b">
        <v>1</v>
      </c>
      <c r="X331" s="13">
        <v>240806</v>
      </c>
      <c r="Y331" s="13" t="s">
        <v>1405</v>
      </c>
      <c r="Z331" s="13">
        <v>0</v>
      </c>
      <c r="AA331" s="13">
        <v>0</v>
      </c>
      <c r="AB331" s="13" t="s">
        <v>1405</v>
      </c>
      <c r="AC331" s="13" t="s">
        <v>1405</v>
      </c>
      <c r="AD331" s="13">
        <v>0</v>
      </c>
      <c r="AE331" s="13" t="s">
        <v>1405</v>
      </c>
      <c r="AF331" s="13" t="s">
        <v>1405</v>
      </c>
    </row>
    <row r="332" spans="1:32" x14ac:dyDescent="0.2">
      <c r="A332" s="3" t="s">
        <v>2188</v>
      </c>
      <c r="B332" s="14" t="s">
        <v>1497</v>
      </c>
      <c r="C332" s="6">
        <v>331</v>
      </c>
      <c r="D332" s="14">
        <v>102</v>
      </c>
      <c r="E332" s="14" t="s">
        <v>1457</v>
      </c>
      <c r="F332" s="15" t="s">
        <v>1445</v>
      </c>
      <c r="G332" s="14" t="s">
        <v>1458</v>
      </c>
      <c r="H332" s="14" t="s">
        <v>36</v>
      </c>
      <c r="I332" s="14" t="s">
        <v>1411</v>
      </c>
      <c r="J332" s="14" t="s">
        <v>1402</v>
      </c>
      <c r="K332" s="17" t="s">
        <v>1613</v>
      </c>
      <c r="L332" s="16" t="s">
        <v>1521</v>
      </c>
      <c r="M332" s="16" t="s">
        <v>1610</v>
      </c>
      <c r="N332" s="16" t="s">
        <v>1450</v>
      </c>
      <c r="O332" s="16" t="s">
        <v>1581</v>
      </c>
      <c r="P332" s="16" t="s">
        <v>1451</v>
      </c>
      <c r="Q332" s="16" t="s">
        <v>1398</v>
      </c>
      <c r="R332" s="16">
        <v>12</v>
      </c>
      <c r="S332" s="16" t="s">
        <v>1453</v>
      </c>
      <c r="T332" s="16" t="s">
        <v>1454</v>
      </c>
      <c r="U332" s="16" t="s">
        <v>1406</v>
      </c>
      <c r="V332" s="16">
        <v>13</v>
      </c>
      <c r="W332" s="16" t="b">
        <v>1</v>
      </c>
      <c r="X332" s="16">
        <v>240806</v>
      </c>
      <c r="Y332" s="16" t="s">
        <v>1405</v>
      </c>
      <c r="Z332" s="16">
        <v>0</v>
      </c>
      <c r="AA332" s="16">
        <v>0</v>
      </c>
      <c r="AB332" s="16" t="s">
        <v>1405</v>
      </c>
      <c r="AC332" s="16" t="s">
        <v>1405</v>
      </c>
      <c r="AD332" s="16">
        <v>0</v>
      </c>
      <c r="AE332" s="16" t="s">
        <v>1405</v>
      </c>
      <c r="AF332" s="16" t="s">
        <v>1405</v>
      </c>
    </row>
    <row r="333" spans="1:32" x14ac:dyDescent="0.2">
      <c r="A333" s="3" t="s">
        <v>2189</v>
      </c>
      <c r="B333" s="12" t="s">
        <v>1497</v>
      </c>
      <c r="C333" s="6">
        <v>332</v>
      </c>
      <c r="D333" s="12">
        <v>103</v>
      </c>
      <c r="E333" s="12" t="s">
        <v>1444</v>
      </c>
      <c r="F333" s="12" t="s">
        <v>1445</v>
      </c>
      <c r="G333" s="12" t="s">
        <v>1446</v>
      </c>
      <c r="H333" s="12" t="s">
        <v>38</v>
      </c>
      <c r="I333" s="12" t="s">
        <v>1413</v>
      </c>
      <c r="J333" s="12" t="s">
        <v>1402</v>
      </c>
      <c r="K333" s="17" t="s">
        <v>1614</v>
      </c>
      <c r="L333" s="13" t="s">
        <v>1521</v>
      </c>
      <c r="M333" s="13" t="s">
        <v>1610</v>
      </c>
      <c r="N333" s="13" t="s">
        <v>1450</v>
      </c>
      <c r="O333" s="13" t="s">
        <v>1581</v>
      </c>
      <c r="P333" s="13" t="s">
        <v>1451</v>
      </c>
      <c r="Q333" s="13" t="s">
        <v>1399</v>
      </c>
      <c r="R333" s="13">
        <v>13</v>
      </c>
      <c r="S333" s="13" t="s">
        <v>1453</v>
      </c>
      <c r="T333" s="13" t="s">
        <v>1454</v>
      </c>
      <c r="U333" s="13" t="s">
        <v>1406</v>
      </c>
      <c r="V333" s="13">
        <v>13</v>
      </c>
      <c r="W333" s="13" t="b">
        <v>1</v>
      </c>
      <c r="X333" s="13">
        <v>240806</v>
      </c>
      <c r="Y333" s="13" t="s">
        <v>1405</v>
      </c>
      <c r="Z333" s="13">
        <v>0</v>
      </c>
      <c r="AA333" s="13">
        <v>0</v>
      </c>
      <c r="AB333" s="13" t="s">
        <v>1405</v>
      </c>
      <c r="AC333" s="13" t="s">
        <v>1405</v>
      </c>
      <c r="AD333" s="13">
        <v>0</v>
      </c>
      <c r="AE333" s="13" t="s">
        <v>1405</v>
      </c>
      <c r="AF333" s="13" t="s">
        <v>1405</v>
      </c>
    </row>
    <row r="334" spans="1:32" x14ac:dyDescent="0.2">
      <c r="A334" s="3" t="s">
        <v>2190</v>
      </c>
      <c r="B334" s="14" t="s">
        <v>1497</v>
      </c>
      <c r="C334" s="6">
        <v>333</v>
      </c>
      <c r="D334" s="14">
        <v>103</v>
      </c>
      <c r="E334" s="14" t="s">
        <v>1457</v>
      </c>
      <c r="F334" s="15" t="s">
        <v>1445</v>
      </c>
      <c r="G334" s="14" t="s">
        <v>1458</v>
      </c>
      <c r="H334" s="14" t="s">
        <v>38</v>
      </c>
      <c r="I334" s="14" t="s">
        <v>1411</v>
      </c>
      <c r="J334" s="14" t="s">
        <v>1402</v>
      </c>
      <c r="K334" s="17" t="s">
        <v>1615</v>
      </c>
      <c r="L334" s="16" t="s">
        <v>1521</v>
      </c>
      <c r="M334" s="16" t="s">
        <v>1610</v>
      </c>
      <c r="N334" s="16" t="s">
        <v>1450</v>
      </c>
      <c r="O334" s="16" t="s">
        <v>1581</v>
      </c>
      <c r="P334" s="16" t="s">
        <v>1451</v>
      </c>
      <c r="Q334" s="16" t="s">
        <v>1399</v>
      </c>
      <c r="R334" s="16">
        <v>13</v>
      </c>
      <c r="S334" s="16" t="s">
        <v>1453</v>
      </c>
      <c r="T334" s="16" t="s">
        <v>1454</v>
      </c>
      <c r="U334" s="16" t="s">
        <v>1406</v>
      </c>
      <c r="V334" s="16">
        <v>13</v>
      </c>
      <c r="W334" s="16" t="b">
        <v>1</v>
      </c>
      <c r="X334" s="16">
        <v>240806</v>
      </c>
      <c r="Y334" s="16" t="s">
        <v>1405</v>
      </c>
      <c r="Z334" s="16">
        <v>0</v>
      </c>
      <c r="AA334" s="16">
        <v>0</v>
      </c>
      <c r="AB334" s="16" t="s">
        <v>1405</v>
      </c>
      <c r="AC334" s="16" t="s">
        <v>1405</v>
      </c>
      <c r="AD334" s="16">
        <v>0</v>
      </c>
      <c r="AE334" s="16" t="s">
        <v>1405</v>
      </c>
      <c r="AF334" s="16" t="s">
        <v>1405</v>
      </c>
    </row>
    <row r="335" spans="1:32" x14ac:dyDescent="0.2">
      <c r="A335" s="3" t="s">
        <v>2191</v>
      </c>
      <c r="B335" s="12" t="s">
        <v>1497</v>
      </c>
      <c r="C335" s="6">
        <v>334</v>
      </c>
      <c r="D335" s="12">
        <v>104</v>
      </c>
      <c r="E335" s="12" t="s">
        <v>1444</v>
      </c>
      <c r="F335" s="12" t="s">
        <v>1445</v>
      </c>
      <c r="G335" s="12" t="s">
        <v>1446</v>
      </c>
      <c r="H335" s="12" t="s">
        <v>40</v>
      </c>
      <c r="I335" s="12" t="s">
        <v>1413</v>
      </c>
      <c r="J335" s="12" t="s">
        <v>1402</v>
      </c>
      <c r="K335" s="17" t="s">
        <v>1616</v>
      </c>
      <c r="L335" s="13" t="s">
        <v>1521</v>
      </c>
      <c r="M335" s="13" t="s">
        <v>1610</v>
      </c>
      <c r="N335" s="13" t="s">
        <v>1450</v>
      </c>
      <c r="O335" s="13" t="s">
        <v>1581</v>
      </c>
      <c r="P335" s="13" t="s">
        <v>1451</v>
      </c>
      <c r="Q335" s="13" t="s">
        <v>1400</v>
      </c>
      <c r="R335" s="13">
        <v>14</v>
      </c>
      <c r="S335" s="13" t="s">
        <v>1453</v>
      </c>
      <c r="T335" s="13" t="s">
        <v>1454</v>
      </c>
      <c r="U335" s="13" t="s">
        <v>1406</v>
      </c>
      <c r="V335" s="13">
        <v>13</v>
      </c>
      <c r="W335" s="13" t="b">
        <v>1</v>
      </c>
      <c r="X335" s="13">
        <v>240806</v>
      </c>
      <c r="Y335" s="13" t="s">
        <v>1405</v>
      </c>
      <c r="Z335" s="13">
        <v>0</v>
      </c>
      <c r="AA335" s="13">
        <v>0</v>
      </c>
      <c r="AB335" s="13" t="s">
        <v>1405</v>
      </c>
      <c r="AC335" s="13" t="s">
        <v>1405</v>
      </c>
      <c r="AD335" s="13">
        <v>0</v>
      </c>
      <c r="AE335" s="13" t="s">
        <v>1405</v>
      </c>
      <c r="AF335" s="13" t="s">
        <v>1405</v>
      </c>
    </row>
    <row r="336" spans="1:32" x14ac:dyDescent="0.2">
      <c r="A336" s="3" t="s">
        <v>2192</v>
      </c>
      <c r="B336" s="14" t="s">
        <v>1497</v>
      </c>
      <c r="C336" s="6">
        <v>335</v>
      </c>
      <c r="D336" s="14">
        <v>104</v>
      </c>
      <c r="E336" s="14" t="s">
        <v>1457</v>
      </c>
      <c r="F336" s="15" t="s">
        <v>1445</v>
      </c>
      <c r="G336" s="14" t="s">
        <v>1458</v>
      </c>
      <c r="H336" s="14" t="s">
        <v>40</v>
      </c>
      <c r="I336" s="14" t="s">
        <v>1411</v>
      </c>
      <c r="J336" s="14" t="s">
        <v>1402</v>
      </c>
      <c r="K336" s="17" t="s">
        <v>1617</v>
      </c>
      <c r="L336" s="16" t="s">
        <v>1521</v>
      </c>
      <c r="M336" s="16" t="s">
        <v>1610</v>
      </c>
      <c r="N336" s="16" t="s">
        <v>1450</v>
      </c>
      <c r="O336" s="16" t="s">
        <v>1581</v>
      </c>
      <c r="P336" s="16" t="s">
        <v>1451</v>
      </c>
      <c r="Q336" s="16" t="s">
        <v>1400</v>
      </c>
      <c r="R336" s="16">
        <v>14</v>
      </c>
      <c r="S336" s="16" t="s">
        <v>1453</v>
      </c>
      <c r="T336" s="16" t="s">
        <v>1454</v>
      </c>
      <c r="U336" s="16" t="s">
        <v>1406</v>
      </c>
      <c r="V336" s="16">
        <v>13</v>
      </c>
      <c r="W336" s="16" t="b">
        <v>1</v>
      </c>
      <c r="X336" s="16">
        <v>240806</v>
      </c>
      <c r="Y336" s="16" t="s">
        <v>1405</v>
      </c>
      <c r="Z336" s="16">
        <v>0</v>
      </c>
      <c r="AA336" s="16">
        <v>0</v>
      </c>
      <c r="AB336" s="16" t="s">
        <v>1405</v>
      </c>
      <c r="AC336" s="16" t="s">
        <v>1405</v>
      </c>
      <c r="AD336" s="16">
        <v>0</v>
      </c>
      <c r="AE336" s="16" t="s">
        <v>1405</v>
      </c>
      <c r="AF336" s="16" t="s">
        <v>1405</v>
      </c>
    </row>
    <row r="337" spans="1:32" x14ac:dyDescent="0.2">
      <c r="A337" s="3" t="s">
        <v>2193</v>
      </c>
      <c r="B337" s="12" t="s">
        <v>1497</v>
      </c>
      <c r="C337" s="6">
        <v>336</v>
      </c>
      <c r="D337" s="12">
        <v>105</v>
      </c>
      <c r="E337" s="12" t="s">
        <v>1444</v>
      </c>
      <c r="F337" s="12" t="s">
        <v>1445</v>
      </c>
      <c r="G337" s="12" t="s">
        <v>1446</v>
      </c>
      <c r="H337" s="12" t="s">
        <v>42</v>
      </c>
      <c r="I337" s="12" t="s">
        <v>1413</v>
      </c>
      <c r="J337" s="12" t="s">
        <v>1402</v>
      </c>
      <c r="K337" s="17" t="s">
        <v>1618</v>
      </c>
      <c r="L337" s="13" t="s">
        <v>1521</v>
      </c>
      <c r="M337" s="13" t="s">
        <v>1610</v>
      </c>
      <c r="N337" s="13" t="s">
        <v>1450</v>
      </c>
      <c r="O337" s="13" t="s">
        <v>1581</v>
      </c>
      <c r="P337" s="13" t="s">
        <v>1451</v>
      </c>
      <c r="Q337" s="13" t="s">
        <v>1541</v>
      </c>
      <c r="R337" s="13">
        <v>15</v>
      </c>
      <c r="S337" s="13" t="s">
        <v>1453</v>
      </c>
      <c r="T337" s="13" t="s">
        <v>1454</v>
      </c>
      <c r="U337" s="13" t="s">
        <v>1406</v>
      </c>
      <c r="V337" s="13">
        <v>13</v>
      </c>
      <c r="W337" s="13" t="b">
        <v>1</v>
      </c>
      <c r="X337" s="13">
        <v>240806</v>
      </c>
      <c r="Y337" s="13" t="s">
        <v>1405</v>
      </c>
      <c r="Z337" s="13">
        <v>0</v>
      </c>
      <c r="AA337" s="13">
        <v>0</v>
      </c>
      <c r="AB337" s="13" t="s">
        <v>1405</v>
      </c>
      <c r="AC337" s="13" t="s">
        <v>1405</v>
      </c>
      <c r="AD337" s="13">
        <v>0</v>
      </c>
      <c r="AE337" s="13" t="s">
        <v>1405</v>
      </c>
      <c r="AF337" s="13" t="s">
        <v>1405</v>
      </c>
    </row>
    <row r="338" spans="1:32" x14ac:dyDescent="0.2">
      <c r="A338" s="3" t="s">
        <v>2194</v>
      </c>
      <c r="B338" s="14" t="s">
        <v>1497</v>
      </c>
      <c r="C338" s="6">
        <v>337</v>
      </c>
      <c r="D338" s="14">
        <v>105</v>
      </c>
      <c r="E338" s="14" t="s">
        <v>1457</v>
      </c>
      <c r="F338" s="15" t="s">
        <v>1445</v>
      </c>
      <c r="G338" s="14" t="s">
        <v>1458</v>
      </c>
      <c r="H338" s="14" t="s">
        <v>42</v>
      </c>
      <c r="I338" s="14" t="s">
        <v>1411</v>
      </c>
      <c r="J338" s="14" t="s">
        <v>1402</v>
      </c>
      <c r="K338" s="17" t="s">
        <v>1619</v>
      </c>
      <c r="L338" s="16" t="s">
        <v>1521</v>
      </c>
      <c r="M338" s="16" t="s">
        <v>1610</v>
      </c>
      <c r="N338" s="16" t="s">
        <v>1450</v>
      </c>
      <c r="O338" s="16" t="s">
        <v>1581</v>
      </c>
      <c r="P338" s="16" t="s">
        <v>1451</v>
      </c>
      <c r="Q338" s="16" t="s">
        <v>1541</v>
      </c>
      <c r="R338" s="16">
        <v>15</v>
      </c>
      <c r="S338" s="16" t="s">
        <v>1453</v>
      </c>
      <c r="T338" s="16" t="s">
        <v>1454</v>
      </c>
      <c r="U338" s="16" t="s">
        <v>1406</v>
      </c>
      <c r="V338" s="16">
        <v>13</v>
      </c>
      <c r="W338" s="16" t="b">
        <v>1</v>
      </c>
      <c r="X338" s="16">
        <v>240806</v>
      </c>
      <c r="Y338" s="16" t="s">
        <v>1405</v>
      </c>
      <c r="Z338" s="16">
        <v>0</v>
      </c>
      <c r="AA338" s="16">
        <v>0</v>
      </c>
      <c r="AB338" s="16" t="s">
        <v>1405</v>
      </c>
      <c r="AC338" s="16" t="s">
        <v>1405</v>
      </c>
      <c r="AD338" s="16">
        <v>0</v>
      </c>
      <c r="AE338" s="16" t="s">
        <v>1405</v>
      </c>
      <c r="AF338" s="16" t="s">
        <v>1405</v>
      </c>
    </row>
    <row r="339" spans="1:32" x14ac:dyDescent="0.2">
      <c r="A339" s="3" t="s">
        <v>2195</v>
      </c>
      <c r="B339" s="12" t="s">
        <v>1497</v>
      </c>
      <c r="C339" s="6">
        <v>338</v>
      </c>
      <c r="D339" s="12">
        <v>106</v>
      </c>
      <c r="E339" s="12" t="s">
        <v>1444</v>
      </c>
      <c r="F339" s="12" t="s">
        <v>1445</v>
      </c>
      <c r="G339" s="12" t="s">
        <v>1446</v>
      </c>
      <c r="H339" s="12" t="s">
        <v>44</v>
      </c>
      <c r="I339" s="12" t="s">
        <v>1413</v>
      </c>
      <c r="J339" s="12" t="s">
        <v>1403</v>
      </c>
      <c r="K339" s="17" t="s">
        <v>1498</v>
      </c>
      <c r="L339" s="13" t="s">
        <v>1499</v>
      </c>
      <c r="M339" s="13" t="s">
        <v>1500</v>
      </c>
      <c r="N339" s="13" t="s">
        <v>1450</v>
      </c>
      <c r="O339" s="13" t="s">
        <v>1501</v>
      </c>
      <c r="P339" s="13" t="s">
        <v>1451</v>
      </c>
      <c r="Q339" s="13" t="s">
        <v>1396</v>
      </c>
      <c r="R339" s="13">
        <v>1</v>
      </c>
      <c r="S339" s="13" t="s">
        <v>1453</v>
      </c>
      <c r="T339" s="13" t="s">
        <v>1454</v>
      </c>
      <c r="U339" s="13" t="s">
        <v>1406</v>
      </c>
      <c r="V339" s="13">
        <v>13</v>
      </c>
      <c r="W339" s="13" t="b">
        <v>1</v>
      </c>
      <c r="X339" s="13">
        <v>240806</v>
      </c>
      <c r="Y339" s="13" t="s">
        <v>1405</v>
      </c>
      <c r="Z339" s="13">
        <v>0</v>
      </c>
      <c r="AA339" s="13">
        <v>0</v>
      </c>
      <c r="AB339" s="13" t="s">
        <v>1405</v>
      </c>
      <c r="AC339" s="13" t="s">
        <v>1405</v>
      </c>
      <c r="AD339" s="13">
        <v>0</v>
      </c>
      <c r="AE339" s="13" t="s">
        <v>1405</v>
      </c>
      <c r="AF339" s="13" t="s">
        <v>1405</v>
      </c>
    </row>
    <row r="340" spans="1:32" x14ac:dyDescent="0.2">
      <c r="A340" s="3" t="s">
        <v>2196</v>
      </c>
      <c r="B340" s="14" t="s">
        <v>1497</v>
      </c>
      <c r="C340" s="6">
        <v>339</v>
      </c>
      <c r="D340" s="14">
        <v>106</v>
      </c>
      <c r="E340" s="14" t="s">
        <v>1457</v>
      </c>
      <c r="F340" s="15" t="s">
        <v>1445</v>
      </c>
      <c r="G340" s="14" t="s">
        <v>1458</v>
      </c>
      <c r="H340" s="14" t="s">
        <v>44</v>
      </c>
      <c r="I340" s="14" t="s">
        <v>1411</v>
      </c>
      <c r="J340" s="14" t="s">
        <v>1403</v>
      </c>
      <c r="K340" s="17" t="s">
        <v>1503</v>
      </c>
      <c r="L340" s="16" t="s">
        <v>1499</v>
      </c>
      <c r="M340" s="16" t="s">
        <v>1500</v>
      </c>
      <c r="N340" s="16" t="s">
        <v>1450</v>
      </c>
      <c r="O340" s="16" t="s">
        <v>1501</v>
      </c>
      <c r="P340" s="16" t="s">
        <v>1451</v>
      </c>
      <c r="Q340" s="16" t="s">
        <v>1396</v>
      </c>
      <c r="R340" s="16">
        <v>1</v>
      </c>
      <c r="S340" s="16" t="s">
        <v>1453</v>
      </c>
      <c r="T340" s="16" t="s">
        <v>1454</v>
      </c>
      <c r="U340" s="16" t="s">
        <v>1406</v>
      </c>
      <c r="V340" s="16">
        <v>13</v>
      </c>
      <c r="W340" s="16" t="b">
        <v>1</v>
      </c>
      <c r="X340" s="16">
        <v>240806</v>
      </c>
      <c r="Y340" s="16" t="s">
        <v>1405</v>
      </c>
      <c r="Z340" s="16">
        <v>0</v>
      </c>
      <c r="AA340" s="16">
        <v>0</v>
      </c>
      <c r="AB340" s="16" t="s">
        <v>1405</v>
      </c>
      <c r="AC340" s="16" t="s">
        <v>1405</v>
      </c>
      <c r="AD340" s="16">
        <v>0</v>
      </c>
      <c r="AE340" s="16" t="s">
        <v>1405</v>
      </c>
      <c r="AF340" s="16" t="s">
        <v>1405</v>
      </c>
    </row>
    <row r="341" spans="1:32" x14ac:dyDescent="0.2">
      <c r="A341" s="3" t="s">
        <v>2197</v>
      </c>
      <c r="B341" s="12" t="s">
        <v>1497</v>
      </c>
      <c r="C341" s="6">
        <v>340</v>
      </c>
      <c r="D341" s="12">
        <v>107</v>
      </c>
      <c r="E341" s="12" t="s">
        <v>1444</v>
      </c>
      <c r="F341" s="12" t="s">
        <v>1445</v>
      </c>
      <c r="G341" s="12" t="s">
        <v>1446</v>
      </c>
      <c r="H341" s="12" t="s">
        <v>46</v>
      </c>
      <c r="I341" s="12" t="s">
        <v>1413</v>
      </c>
      <c r="J341" s="12" t="s">
        <v>1403</v>
      </c>
      <c r="K341" s="17" t="s">
        <v>1504</v>
      </c>
      <c r="L341" s="13" t="s">
        <v>1499</v>
      </c>
      <c r="M341" s="13" t="s">
        <v>1500</v>
      </c>
      <c r="N341" s="13" t="s">
        <v>1450</v>
      </c>
      <c r="O341" s="13" t="s">
        <v>1501</v>
      </c>
      <c r="P341" s="13" t="s">
        <v>1451</v>
      </c>
      <c r="Q341" s="13" t="s">
        <v>1398</v>
      </c>
      <c r="R341" s="13">
        <v>2</v>
      </c>
      <c r="S341" s="13" t="s">
        <v>1453</v>
      </c>
      <c r="T341" s="13" t="s">
        <v>1454</v>
      </c>
      <c r="U341" s="13" t="s">
        <v>1406</v>
      </c>
      <c r="V341" s="13">
        <v>13</v>
      </c>
      <c r="W341" s="13" t="b">
        <v>1</v>
      </c>
      <c r="X341" s="13">
        <v>240806</v>
      </c>
      <c r="Y341" s="13" t="s">
        <v>1405</v>
      </c>
      <c r="Z341" s="13">
        <v>0</v>
      </c>
      <c r="AA341" s="13">
        <v>0</v>
      </c>
      <c r="AB341" s="13" t="s">
        <v>1405</v>
      </c>
      <c r="AC341" s="13" t="s">
        <v>1405</v>
      </c>
      <c r="AD341" s="13">
        <v>0</v>
      </c>
      <c r="AE341" s="13" t="s">
        <v>1405</v>
      </c>
      <c r="AF341" s="13" t="s">
        <v>1405</v>
      </c>
    </row>
    <row r="342" spans="1:32" x14ac:dyDescent="0.2">
      <c r="A342" s="3" t="s">
        <v>2198</v>
      </c>
      <c r="B342" s="14" t="s">
        <v>1497</v>
      </c>
      <c r="C342" s="6">
        <v>341</v>
      </c>
      <c r="D342" s="14">
        <v>107</v>
      </c>
      <c r="E342" s="14" t="s">
        <v>1457</v>
      </c>
      <c r="F342" s="15" t="s">
        <v>1445</v>
      </c>
      <c r="G342" s="14" t="s">
        <v>1458</v>
      </c>
      <c r="H342" s="14" t="s">
        <v>46</v>
      </c>
      <c r="I342" s="14" t="s">
        <v>1411</v>
      </c>
      <c r="J342" s="14" t="s">
        <v>1403</v>
      </c>
      <c r="K342" s="17" t="s">
        <v>1505</v>
      </c>
      <c r="L342" s="16" t="s">
        <v>1499</v>
      </c>
      <c r="M342" s="16" t="s">
        <v>1500</v>
      </c>
      <c r="N342" s="16" t="s">
        <v>1450</v>
      </c>
      <c r="O342" s="16" t="s">
        <v>1501</v>
      </c>
      <c r="P342" s="16" t="s">
        <v>1451</v>
      </c>
      <c r="Q342" s="16" t="s">
        <v>1398</v>
      </c>
      <c r="R342" s="16">
        <v>2</v>
      </c>
      <c r="S342" s="16" t="s">
        <v>1453</v>
      </c>
      <c r="T342" s="16" t="s">
        <v>1454</v>
      </c>
      <c r="U342" s="16" t="s">
        <v>1406</v>
      </c>
      <c r="V342" s="16">
        <v>13</v>
      </c>
      <c r="W342" s="16" t="b">
        <v>1</v>
      </c>
      <c r="X342" s="16">
        <v>240806</v>
      </c>
      <c r="Y342" s="16" t="s">
        <v>1405</v>
      </c>
      <c r="Z342" s="16">
        <v>0</v>
      </c>
      <c r="AA342" s="16">
        <v>0</v>
      </c>
      <c r="AB342" s="16" t="s">
        <v>1405</v>
      </c>
      <c r="AC342" s="16" t="s">
        <v>1405</v>
      </c>
      <c r="AD342" s="16">
        <v>0</v>
      </c>
      <c r="AE342" s="16" t="s">
        <v>1405</v>
      </c>
      <c r="AF342" s="16" t="s">
        <v>1405</v>
      </c>
    </row>
    <row r="343" spans="1:32" x14ac:dyDescent="0.2">
      <c r="A343" s="3" t="s">
        <v>2199</v>
      </c>
      <c r="B343" s="12" t="s">
        <v>1497</v>
      </c>
      <c r="C343" s="6">
        <v>342</v>
      </c>
      <c r="D343" s="12">
        <v>108</v>
      </c>
      <c r="E343" s="12" t="s">
        <v>1444</v>
      </c>
      <c r="F343" s="12" t="s">
        <v>1445</v>
      </c>
      <c r="G343" s="12" t="s">
        <v>1446</v>
      </c>
      <c r="H343" s="12" t="s">
        <v>48</v>
      </c>
      <c r="I343" s="12" t="s">
        <v>1413</v>
      </c>
      <c r="J343" s="12" t="s">
        <v>1403</v>
      </c>
      <c r="K343" s="17" t="s">
        <v>1506</v>
      </c>
      <c r="L343" s="13" t="s">
        <v>1499</v>
      </c>
      <c r="M343" s="13" t="s">
        <v>1500</v>
      </c>
      <c r="N343" s="13" t="s">
        <v>1450</v>
      </c>
      <c r="O343" s="13" t="s">
        <v>1501</v>
      </c>
      <c r="P343" s="13" t="s">
        <v>1451</v>
      </c>
      <c r="Q343" s="13" t="s">
        <v>1399</v>
      </c>
      <c r="R343" s="13">
        <v>3</v>
      </c>
      <c r="S343" s="13" t="s">
        <v>1453</v>
      </c>
      <c r="T343" s="13" t="s">
        <v>1454</v>
      </c>
      <c r="U343" s="13" t="s">
        <v>1406</v>
      </c>
      <c r="V343" s="13">
        <v>13</v>
      </c>
      <c r="W343" s="13" t="b">
        <v>1</v>
      </c>
      <c r="X343" s="13">
        <v>240806</v>
      </c>
      <c r="Y343" s="13" t="s">
        <v>1405</v>
      </c>
      <c r="Z343" s="13">
        <v>0</v>
      </c>
      <c r="AA343" s="13">
        <v>0</v>
      </c>
      <c r="AB343" s="13" t="s">
        <v>1405</v>
      </c>
      <c r="AC343" s="13" t="s">
        <v>1405</v>
      </c>
      <c r="AD343" s="13">
        <v>0</v>
      </c>
      <c r="AE343" s="13" t="s">
        <v>1405</v>
      </c>
      <c r="AF343" s="13" t="s">
        <v>1405</v>
      </c>
    </row>
    <row r="344" spans="1:32" x14ac:dyDescent="0.2">
      <c r="A344" s="3" t="s">
        <v>2200</v>
      </c>
      <c r="B344" s="14" t="s">
        <v>1497</v>
      </c>
      <c r="C344" s="6">
        <v>343</v>
      </c>
      <c r="D344" s="14">
        <v>108</v>
      </c>
      <c r="E344" s="14" t="s">
        <v>1457</v>
      </c>
      <c r="F344" s="15" t="s">
        <v>1445</v>
      </c>
      <c r="G344" s="14" t="s">
        <v>1458</v>
      </c>
      <c r="H344" s="14" t="s">
        <v>48</v>
      </c>
      <c r="I344" s="14" t="s">
        <v>1411</v>
      </c>
      <c r="J344" s="14" t="s">
        <v>1403</v>
      </c>
      <c r="K344" s="17" t="s">
        <v>1507</v>
      </c>
      <c r="L344" s="16" t="s">
        <v>1499</v>
      </c>
      <c r="M344" s="16" t="s">
        <v>1500</v>
      </c>
      <c r="N344" s="16" t="s">
        <v>1450</v>
      </c>
      <c r="O344" s="16" t="s">
        <v>1501</v>
      </c>
      <c r="P344" s="16" t="s">
        <v>1451</v>
      </c>
      <c r="Q344" s="16" t="s">
        <v>1399</v>
      </c>
      <c r="R344" s="16">
        <v>3</v>
      </c>
      <c r="S344" s="16" t="s">
        <v>1453</v>
      </c>
      <c r="T344" s="16" t="s">
        <v>1454</v>
      </c>
      <c r="U344" s="16" t="s">
        <v>1406</v>
      </c>
      <c r="V344" s="16">
        <v>13</v>
      </c>
      <c r="W344" s="16" t="b">
        <v>1</v>
      </c>
      <c r="X344" s="16">
        <v>240806</v>
      </c>
      <c r="Y344" s="16" t="s">
        <v>1405</v>
      </c>
      <c r="Z344" s="16">
        <v>0</v>
      </c>
      <c r="AA344" s="16">
        <v>0</v>
      </c>
      <c r="AB344" s="16" t="s">
        <v>1405</v>
      </c>
      <c r="AC344" s="16" t="s">
        <v>1405</v>
      </c>
      <c r="AD344" s="16">
        <v>0</v>
      </c>
      <c r="AE344" s="16" t="s">
        <v>1405</v>
      </c>
      <c r="AF344" s="16" t="s">
        <v>1405</v>
      </c>
    </row>
    <row r="345" spans="1:32" x14ac:dyDescent="0.2">
      <c r="A345" s="3" t="s">
        <v>2201</v>
      </c>
      <c r="B345" s="12" t="s">
        <v>1497</v>
      </c>
      <c r="C345" s="6">
        <v>344</v>
      </c>
      <c r="D345" s="12">
        <v>109</v>
      </c>
      <c r="E345" s="12" t="s">
        <v>1444</v>
      </c>
      <c r="F345" s="12" t="s">
        <v>1445</v>
      </c>
      <c r="G345" s="12" t="s">
        <v>1446</v>
      </c>
      <c r="H345" s="12" t="s">
        <v>50</v>
      </c>
      <c r="I345" s="12" t="s">
        <v>1413</v>
      </c>
      <c r="J345" s="12" t="s">
        <v>1403</v>
      </c>
      <c r="K345" s="17" t="s">
        <v>1508</v>
      </c>
      <c r="L345" s="13" t="s">
        <v>1499</v>
      </c>
      <c r="M345" s="13" t="s">
        <v>1500</v>
      </c>
      <c r="N345" s="13" t="s">
        <v>1450</v>
      </c>
      <c r="O345" s="13" t="s">
        <v>1501</v>
      </c>
      <c r="P345" s="13" t="s">
        <v>1451</v>
      </c>
      <c r="Q345" s="13" t="s">
        <v>1400</v>
      </c>
      <c r="R345" s="13">
        <v>4</v>
      </c>
      <c r="S345" s="13" t="s">
        <v>1453</v>
      </c>
      <c r="T345" s="13" t="s">
        <v>1454</v>
      </c>
      <c r="U345" s="13" t="s">
        <v>1406</v>
      </c>
      <c r="V345" s="13">
        <v>13</v>
      </c>
      <c r="W345" s="13" t="b">
        <v>1</v>
      </c>
      <c r="X345" s="13">
        <v>240806</v>
      </c>
      <c r="Y345" s="13" t="s">
        <v>1405</v>
      </c>
      <c r="Z345" s="13">
        <v>0</v>
      </c>
      <c r="AA345" s="13">
        <v>0</v>
      </c>
      <c r="AB345" s="13" t="s">
        <v>1405</v>
      </c>
      <c r="AC345" s="13" t="s">
        <v>1405</v>
      </c>
      <c r="AD345" s="13">
        <v>0</v>
      </c>
      <c r="AE345" s="13" t="s">
        <v>1405</v>
      </c>
      <c r="AF345" s="13" t="s">
        <v>1405</v>
      </c>
    </row>
    <row r="346" spans="1:32" x14ac:dyDescent="0.2">
      <c r="A346" s="3" t="s">
        <v>2202</v>
      </c>
      <c r="B346" s="14" t="s">
        <v>1497</v>
      </c>
      <c r="C346" s="6">
        <v>345</v>
      </c>
      <c r="D346" s="14">
        <v>109</v>
      </c>
      <c r="E346" s="14" t="s">
        <v>1457</v>
      </c>
      <c r="F346" s="15" t="s">
        <v>1445</v>
      </c>
      <c r="G346" s="14" t="s">
        <v>1458</v>
      </c>
      <c r="H346" s="14" t="s">
        <v>50</v>
      </c>
      <c r="I346" s="14" t="s">
        <v>1411</v>
      </c>
      <c r="J346" s="14" t="s">
        <v>1403</v>
      </c>
      <c r="K346" s="17" t="s">
        <v>1509</v>
      </c>
      <c r="L346" s="16" t="s">
        <v>1499</v>
      </c>
      <c r="M346" s="16" t="s">
        <v>1500</v>
      </c>
      <c r="N346" s="16" t="s">
        <v>1450</v>
      </c>
      <c r="O346" s="16" t="s">
        <v>1501</v>
      </c>
      <c r="P346" s="16" t="s">
        <v>1451</v>
      </c>
      <c r="Q346" s="16" t="s">
        <v>1400</v>
      </c>
      <c r="R346" s="16">
        <v>4</v>
      </c>
      <c r="S346" s="16" t="s">
        <v>1453</v>
      </c>
      <c r="T346" s="16" t="s">
        <v>1454</v>
      </c>
      <c r="U346" s="16" t="s">
        <v>1406</v>
      </c>
      <c r="V346" s="16">
        <v>13</v>
      </c>
      <c r="W346" s="16" t="b">
        <v>1</v>
      </c>
      <c r="X346" s="16">
        <v>240806</v>
      </c>
      <c r="Y346" s="16" t="s">
        <v>1405</v>
      </c>
      <c r="Z346" s="16">
        <v>0</v>
      </c>
      <c r="AA346" s="16">
        <v>0</v>
      </c>
      <c r="AB346" s="16" t="s">
        <v>1405</v>
      </c>
      <c r="AC346" s="16" t="s">
        <v>1405</v>
      </c>
      <c r="AD346" s="16">
        <v>0</v>
      </c>
      <c r="AE346" s="16" t="s">
        <v>1405</v>
      </c>
      <c r="AF346" s="16" t="s">
        <v>1405</v>
      </c>
    </row>
    <row r="347" spans="1:32" x14ac:dyDescent="0.2">
      <c r="A347" s="3" t="s">
        <v>2203</v>
      </c>
      <c r="B347" s="12" t="s">
        <v>1497</v>
      </c>
      <c r="C347" s="6">
        <v>346</v>
      </c>
      <c r="D347" s="12">
        <v>110</v>
      </c>
      <c r="E347" s="12" t="s">
        <v>1444</v>
      </c>
      <c r="F347" s="12" t="s">
        <v>1445</v>
      </c>
      <c r="G347" s="12" t="s">
        <v>1446</v>
      </c>
      <c r="H347" s="12" t="s">
        <v>51</v>
      </c>
      <c r="I347" s="12" t="s">
        <v>1413</v>
      </c>
      <c r="J347" s="12" t="s">
        <v>1403</v>
      </c>
      <c r="K347" s="17" t="s">
        <v>1510</v>
      </c>
      <c r="L347" s="13" t="s">
        <v>1511</v>
      </c>
      <c r="M347" s="13" t="s">
        <v>1512</v>
      </c>
      <c r="N347" s="13" t="s">
        <v>1450</v>
      </c>
      <c r="O347" s="13" t="s">
        <v>1501</v>
      </c>
      <c r="P347" s="13" t="s">
        <v>1451</v>
      </c>
      <c r="Q347" s="13" t="s">
        <v>1396</v>
      </c>
      <c r="R347" s="13">
        <v>1</v>
      </c>
      <c r="S347" s="13" t="s">
        <v>1453</v>
      </c>
      <c r="T347" s="13" t="s">
        <v>1454</v>
      </c>
      <c r="U347" s="13" t="s">
        <v>1406</v>
      </c>
      <c r="V347" s="13">
        <v>13</v>
      </c>
      <c r="W347" s="13" t="b">
        <v>1</v>
      </c>
      <c r="X347" s="13">
        <v>240806</v>
      </c>
      <c r="Y347" s="13" t="s">
        <v>1405</v>
      </c>
      <c r="Z347" s="13">
        <v>0</v>
      </c>
      <c r="AA347" s="13">
        <v>0</v>
      </c>
      <c r="AB347" s="13" t="s">
        <v>1405</v>
      </c>
      <c r="AC347" s="13" t="s">
        <v>1405</v>
      </c>
      <c r="AD347" s="13">
        <v>0</v>
      </c>
      <c r="AE347" s="13" t="s">
        <v>1405</v>
      </c>
      <c r="AF347" s="13" t="s">
        <v>1405</v>
      </c>
    </row>
    <row r="348" spans="1:32" x14ac:dyDescent="0.2">
      <c r="A348" s="3" t="s">
        <v>2204</v>
      </c>
      <c r="B348" s="14" t="s">
        <v>1497</v>
      </c>
      <c r="C348" s="6">
        <v>347</v>
      </c>
      <c r="D348" s="14">
        <v>110</v>
      </c>
      <c r="E348" s="14" t="s">
        <v>1457</v>
      </c>
      <c r="F348" s="15" t="s">
        <v>1445</v>
      </c>
      <c r="G348" s="14" t="s">
        <v>1458</v>
      </c>
      <c r="H348" s="14" t="s">
        <v>51</v>
      </c>
      <c r="I348" s="14" t="s">
        <v>1411</v>
      </c>
      <c r="J348" s="14" t="s">
        <v>1403</v>
      </c>
      <c r="K348" s="17" t="s">
        <v>1513</v>
      </c>
      <c r="L348" s="16" t="s">
        <v>1511</v>
      </c>
      <c r="M348" s="16" t="s">
        <v>1512</v>
      </c>
      <c r="N348" s="16" t="s">
        <v>1450</v>
      </c>
      <c r="O348" s="16" t="s">
        <v>1501</v>
      </c>
      <c r="P348" s="16" t="s">
        <v>1451</v>
      </c>
      <c r="Q348" s="16" t="s">
        <v>1396</v>
      </c>
      <c r="R348" s="16">
        <v>1</v>
      </c>
      <c r="S348" s="16" t="s">
        <v>1453</v>
      </c>
      <c r="T348" s="16" t="s">
        <v>1454</v>
      </c>
      <c r="U348" s="16" t="s">
        <v>1406</v>
      </c>
      <c r="V348" s="16">
        <v>13</v>
      </c>
      <c r="W348" s="16" t="b">
        <v>1</v>
      </c>
      <c r="X348" s="16">
        <v>240806</v>
      </c>
      <c r="Y348" s="16" t="s">
        <v>1405</v>
      </c>
      <c r="Z348" s="16">
        <v>0</v>
      </c>
      <c r="AA348" s="16">
        <v>0</v>
      </c>
      <c r="AB348" s="16" t="s">
        <v>1405</v>
      </c>
      <c r="AC348" s="16" t="s">
        <v>1405</v>
      </c>
      <c r="AD348" s="16">
        <v>0</v>
      </c>
      <c r="AE348" s="16" t="s">
        <v>1405</v>
      </c>
      <c r="AF348" s="16" t="s">
        <v>1405</v>
      </c>
    </row>
    <row r="349" spans="1:32" x14ac:dyDescent="0.2">
      <c r="A349" s="3" t="s">
        <v>2205</v>
      </c>
      <c r="B349" s="12" t="s">
        <v>1497</v>
      </c>
      <c r="C349" s="6">
        <v>348</v>
      </c>
      <c r="D349" s="12">
        <v>111</v>
      </c>
      <c r="E349" s="12" t="s">
        <v>1444</v>
      </c>
      <c r="F349" s="12" t="s">
        <v>1445</v>
      </c>
      <c r="G349" s="12" t="s">
        <v>1446</v>
      </c>
      <c r="H349" s="12" t="s">
        <v>53</v>
      </c>
      <c r="I349" s="12" t="s">
        <v>1413</v>
      </c>
      <c r="J349" s="12" t="s">
        <v>1403</v>
      </c>
      <c r="K349" s="17" t="s">
        <v>1514</v>
      </c>
      <c r="L349" s="13" t="s">
        <v>1511</v>
      </c>
      <c r="M349" s="13" t="s">
        <v>1512</v>
      </c>
      <c r="N349" s="13" t="s">
        <v>1450</v>
      </c>
      <c r="O349" s="13" t="s">
        <v>1501</v>
      </c>
      <c r="P349" s="13" t="s">
        <v>1451</v>
      </c>
      <c r="Q349" s="13" t="s">
        <v>1398</v>
      </c>
      <c r="R349" s="13">
        <v>2</v>
      </c>
      <c r="S349" s="13" t="s">
        <v>1453</v>
      </c>
      <c r="T349" s="13" t="s">
        <v>1454</v>
      </c>
      <c r="U349" s="13" t="s">
        <v>1406</v>
      </c>
      <c r="V349" s="13">
        <v>13</v>
      </c>
      <c r="W349" s="13" t="b">
        <v>1</v>
      </c>
      <c r="X349" s="13">
        <v>240806</v>
      </c>
      <c r="Y349" s="13" t="s">
        <v>1405</v>
      </c>
      <c r="Z349" s="13">
        <v>0</v>
      </c>
      <c r="AA349" s="13">
        <v>0</v>
      </c>
      <c r="AB349" s="13" t="s">
        <v>1405</v>
      </c>
      <c r="AC349" s="13" t="s">
        <v>1405</v>
      </c>
      <c r="AD349" s="13">
        <v>0</v>
      </c>
      <c r="AE349" s="13" t="s">
        <v>1405</v>
      </c>
      <c r="AF349" s="13" t="s">
        <v>1405</v>
      </c>
    </row>
    <row r="350" spans="1:32" x14ac:dyDescent="0.2">
      <c r="A350" s="3" t="s">
        <v>2206</v>
      </c>
      <c r="B350" s="14" t="s">
        <v>1497</v>
      </c>
      <c r="C350" s="6">
        <v>349</v>
      </c>
      <c r="D350" s="14">
        <v>111</v>
      </c>
      <c r="E350" s="14" t="s">
        <v>1457</v>
      </c>
      <c r="F350" s="15" t="s">
        <v>1445</v>
      </c>
      <c r="G350" s="14" t="s">
        <v>1458</v>
      </c>
      <c r="H350" s="14" t="s">
        <v>53</v>
      </c>
      <c r="I350" s="14" t="s">
        <v>1411</v>
      </c>
      <c r="J350" s="14" t="s">
        <v>1403</v>
      </c>
      <c r="K350" s="17" t="s">
        <v>1515</v>
      </c>
      <c r="L350" s="16" t="s">
        <v>1511</v>
      </c>
      <c r="M350" s="16" t="s">
        <v>1512</v>
      </c>
      <c r="N350" s="16" t="s">
        <v>1450</v>
      </c>
      <c r="O350" s="16" t="s">
        <v>1501</v>
      </c>
      <c r="P350" s="16" t="s">
        <v>1451</v>
      </c>
      <c r="Q350" s="16" t="s">
        <v>1398</v>
      </c>
      <c r="R350" s="16">
        <v>2</v>
      </c>
      <c r="S350" s="16" t="s">
        <v>1453</v>
      </c>
      <c r="T350" s="16" t="s">
        <v>1454</v>
      </c>
      <c r="U350" s="16" t="s">
        <v>1406</v>
      </c>
      <c r="V350" s="16">
        <v>13</v>
      </c>
      <c r="W350" s="16" t="b">
        <v>1</v>
      </c>
      <c r="X350" s="16">
        <v>240806</v>
      </c>
      <c r="Y350" s="16" t="s">
        <v>1405</v>
      </c>
      <c r="Z350" s="16">
        <v>0</v>
      </c>
      <c r="AA350" s="16">
        <v>0</v>
      </c>
      <c r="AB350" s="16" t="s">
        <v>1405</v>
      </c>
      <c r="AC350" s="16" t="s">
        <v>1405</v>
      </c>
      <c r="AD350" s="16">
        <v>0</v>
      </c>
      <c r="AE350" s="16" t="s">
        <v>1405</v>
      </c>
      <c r="AF350" s="16" t="s">
        <v>1405</v>
      </c>
    </row>
    <row r="351" spans="1:32" x14ac:dyDescent="0.2">
      <c r="A351" s="3" t="s">
        <v>2207</v>
      </c>
      <c r="B351" s="12" t="s">
        <v>1497</v>
      </c>
      <c r="C351" s="6">
        <v>350</v>
      </c>
      <c r="D351" s="12">
        <v>112</v>
      </c>
      <c r="E351" s="12" t="s">
        <v>1444</v>
      </c>
      <c r="F351" s="12" t="s">
        <v>1445</v>
      </c>
      <c r="G351" s="12" t="s">
        <v>1446</v>
      </c>
      <c r="H351" s="12" t="s">
        <v>54</v>
      </c>
      <c r="I351" s="12" t="s">
        <v>1413</v>
      </c>
      <c r="J351" s="12" t="s">
        <v>1403</v>
      </c>
      <c r="K351" s="17" t="s">
        <v>1516</v>
      </c>
      <c r="L351" s="13" t="s">
        <v>1511</v>
      </c>
      <c r="M351" s="13" t="s">
        <v>1512</v>
      </c>
      <c r="N351" s="13" t="s">
        <v>1450</v>
      </c>
      <c r="O351" s="13" t="s">
        <v>1501</v>
      </c>
      <c r="P351" s="13" t="s">
        <v>1451</v>
      </c>
      <c r="Q351" s="13" t="s">
        <v>1399</v>
      </c>
      <c r="R351" s="13">
        <v>3</v>
      </c>
      <c r="S351" s="13" t="s">
        <v>1453</v>
      </c>
      <c r="T351" s="13" t="s">
        <v>1454</v>
      </c>
      <c r="U351" s="13" t="s">
        <v>1406</v>
      </c>
      <c r="V351" s="13">
        <v>13</v>
      </c>
      <c r="W351" s="13" t="b">
        <v>1</v>
      </c>
      <c r="X351" s="13">
        <v>240806</v>
      </c>
      <c r="Y351" s="13" t="s">
        <v>1405</v>
      </c>
      <c r="Z351" s="13">
        <v>0</v>
      </c>
      <c r="AA351" s="13">
        <v>0</v>
      </c>
      <c r="AB351" s="13" t="s">
        <v>1405</v>
      </c>
      <c r="AC351" s="13" t="s">
        <v>1405</v>
      </c>
      <c r="AD351" s="13">
        <v>0</v>
      </c>
      <c r="AE351" s="13" t="s">
        <v>1405</v>
      </c>
      <c r="AF351" s="13" t="s">
        <v>1405</v>
      </c>
    </row>
    <row r="352" spans="1:32" x14ac:dyDescent="0.2">
      <c r="A352" s="3" t="s">
        <v>2208</v>
      </c>
      <c r="B352" s="14" t="s">
        <v>1497</v>
      </c>
      <c r="C352" s="6">
        <v>351</v>
      </c>
      <c r="D352" s="14">
        <v>112</v>
      </c>
      <c r="E352" s="14" t="s">
        <v>1457</v>
      </c>
      <c r="F352" s="15" t="s">
        <v>1445</v>
      </c>
      <c r="G352" s="14" t="s">
        <v>1458</v>
      </c>
      <c r="H352" s="14" t="s">
        <v>54</v>
      </c>
      <c r="I352" s="14" t="s">
        <v>1411</v>
      </c>
      <c r="J352" s="14" t="s">
        <v>1403</v>
      </c>
      <c r="K352" s="17" t="s">
        <v>1517</v>
      </c>
      <c r="L352" s="16" t="s">
        <v>1511</v>
      </c>
      <c r="M352" s="16" t="s">
        <v>1512</v>
      </c>
      <c r="N352" s="16" t="s">
        <v>1450</v>
      </c>
      <c r="O352" s="16" t="s">
        <v>1501</v>
      </c>
      <c r="P352" s="16" t="s">
        <v>1451</v>
      </c>
      <c r="Q352" s="16" t="s">
        <v>1399</v>
      </c>
      <c r="R352" s="16">
        <v>3</v>
      </c>
      <c r="S352" s="16" t="s">
        <v>1453</v>
      </c>
      <c r="T352" s="16" t="s">
        <v>1454</v>
      </c>
      <c r="U352" s="16" t="s">
        <v>1406</v>
      </c>
      <c r="V352" s="16">
        <v>13</v>
      </c>
      <c r="W352" s="16" t="b">
        <v>1</v>
      </c>
      <c r="X352" s="16">
        <v>240806</v>
      </c>
      <c r="Y352" s="16" t="s">
        <v>1405</v>
      </c>
      <c r="Z352" s="16">
        <v>0</v>
      </c>
      <c r="AA352" s="16">
        <v>0</v>
      </c>
      <c r="AB352" s="16" t="s">
        <v>1405</v>
      </c>
      <c r="AC352" s="16" t="s">
        <v>1405</v>
      </c>
      <c r="AD352" s="16">
        <v>0</v>
      </c>
      <c r="AE352" s="16" t="s">
        <v>1405</v>
      </c>
      <c r="AF352" s="16" t="s">
        <v>1405</v>
      </c>
    </row>
    <row r="353" spans="1:32" x14ac:dyDescent="0.2">
      <c r="A353" s="3" t="s">
        <v>2209</v>
      </c>
      <c r="B353" s="12" t="s">
        <v>1497</v>
      </c>
      <c r="C353" s="6">
        <v>352</v>
      </c>
      <c r="D353" s="12">
        <v>113</v>
      </c>
      <c r="E353" s="12" t="s">
        <v>1444</v>
      </c>
      <c r="F353" s="12" t="s">
        <v>1445</v>
      </c>
      <c r="G353" s="12" t="s">
        <v>1446</v>
      </c>
      <c r="H353" s="12" t="s">
        <v>55</v>
      </c>
      <c r="I353" s="12" t="s">
        <v>1413</v>
      </c>
      <c r="J353" s="12" t="s">
        <v>1403</v>
      </c>
      <c r="K353" s="17" t="s">
        <v>1518</v>
      </c>
      <c r="L353" s="13" t="s">
        <v>1511</v>
      </c>
      <c r="M353" s="13" t="s">
        <v>1512</v>
      </c>
      <c r="N353" s="13" t="s">
        <v>1450</v>
      </c>
      <c r="O353" s="13" t="s">
        <v>1501</v>
      </c>
      <c r="P353" s="13" t="s">
        <v>1451</v>
      </c>
      <c r="Q353" s="13" t="s">
        <v>1400</v>
      </c>
      <c r="R353" s="13">
        <v>4</v>
      </c>
      <c r="S353" s="13" t="s">
        <v>1453</v>
      </c>
      <c r="T353" s="13" t="s">
        <v>1454</v>
      </c>
      <c r="U353" s="13" t="s">
        <v>1406</v>
      </c>
      <c r="V353" s="13">
        <v>13</v>
      </c>
      <c r="W353" s="13" t="b">
        <v>1</v>
      </c>
      <c r="X353" s="13">
        <v>240806</v>
      </c>
      <c r="Y353" s="13" t="s">
        <v>1405</v>
      </c>
      <c r="Z353" s="13">
        <v>0</v>
      </c>
      <c r="AA353" s="13">
        <v>0</v>
      </c>
      <c r="AB353" s="13" t="s">
        <v>1405</v>
      </c>
      <c r="AC353" s="13" t="s">
        <v>1405</v>
      </c>
      <c r="AD353" s="13">
        <v>0</v>
      </c>
      <c r="AE353" s="13" t="s">
        <v>1405</v>
      </c>
      <c r="AF353" s="13" t="s">
        <v>1405</v>
      </c>
    </row>
    <row r="354" spans="1:32" x14ac:dyDescent="0.2">
      <c r="A354" s="3" t="s">
        <v>2210</v>
      </c>
      <c r="B354" s="14" t="s">
        <v>1497</v>
      </c>
      <c r="C354" s="6">
        <v>353</v>
      </c>
      <c r="D354" s="14">
        <v>113</v>
      </c>
      <c r="E354" s="14" t="s">
        <v>1457</v>
      </c>
      <c r="F354" s="15" t="s">
        <v>1445</v>
      </c>
      <c r="G354" s="14" t="s">
        <v>1458</v>
      </c>
      <c r="H354" s="14" t="s">
        <v>55</v>
      </c>
      <c r="I354" s="14" t="s">
        <v>1411</v>
      </c>
      <c r="J354" s="14" t="s">
        <v>1403</v>
      </c>
      <c r="K354" s="17" t="s">
        <v>1519</v>
      </c>
      <c r="L354" s="16" t="s">
        <v>1511</v>
      </c>
      <c r="M354" s="16" t="s">
        <v>1512</v>
      </c>
      <c r="N354" s="16" t="s">
        <v>1450</v>
      </c>
      <c r="O354" s="16" t="s">
        <v>1501</v>
      </c>
      <c r="P354" s="16" t="s">
        <v>1451</v>
      </c>
      <c r="Q354" s="16" t="s">
        <v>1400</v>
      </c>
      <c r="R354" s="16">
        <v>4</v>
      </c>
      <c r="S354" s="16" t="s">
        <v>1453</v>
      </c>
      <c r="T354" s="16" t="s">
        <v>1454</v>
      </c>
      <c r="U354" s="16" t="s">
        <v>1406</v>
      </c>
      <c r="V354" s="16">
        <v>13</v>
      </c>
      <c r="W354" s="16" t="b">
        <v>1</v>
      </c>
      <c r="X354" s="16">
        <v>240806</v>
      </c>
      <c r="Y354" s="16" t="s">
        <v>1405</v>
      </c>
      <c r="Z354" s="16">
        <v>0</v>
      </c>
      <c r="AA354" s="16">
        <v>0</v>
      </c>
      <c r="AB354" s="16" t="s">
        <v>1405</v>
      </c>
      <c r="AC354" s="16" t="s">
        <v>1405</v>
      </c>
      <c r="AD354" s="16">
        <v>0</v>
      </c>
      <c r="AE354" s="16" t="s">
        <v>1405</v>
      </c>
      <c r="AF354" s="16" t="s">
        <v>1405</v>
      </c>
    </row>
    <row r="355" spans="1:32" x14ac:dyDescent="0.2">
      <c r="A355" s="3" t="s">
        <v>2211</v>
      </c>
      <c r="B355" s="12" t="s">
        <v>1497</v>
      </c>
      <c r="C355" s="6">
        <v>354</v>
      </c>
      <c r="D355" s="12">
        <v>114</v>
      </c>
      <c r="E355" s="12" t="s">
        <v>1444</v>
      </c>
      <c r="F355" s="12" t="s">
        <v>1445</v>
      </c>
      <c r="G355" s="12" t="s">
        <v>1446</v>
      </c>
      <c r="H355" s="12" t="s">
        <v>56</v>
      </c>
      <c r="I355" s="12" t="s">
        <v>1413</v>
      </c>
      <c r="J355" s="12" t="s">
        <v>1403</v>
      </c>
      <c r="K355" s="17" t="s">
        <v>1520</v>
      </c>
      <c r="L355" s="13" t="s">
        <v>1521</v>
      </c>
      <c r="M355" s="13" t="s">
        <v>1522</v>
      </c>
      <c r="N355" s="13" t="s">
        <v>1450</v>
      </c>
      <c r="O355" s="13" t="s">
        <v>1501</v>
      </c>
      <c r="P355" s="13" t="s">
        <v>1451</v>
      </c>
      <c r="Q355" s="13" t="s">
        <v>1396</v>
      </c>
      <c r="R355" s="13">
        <v>1</v>
      </c>
      <c r="S355" s="13" t="s">
        <v>1453</v>
      </c>
      <c r="T355" s="13" t="s">
        <v>1454</v>
      </c>
      <c r="U355" s="13" t="s">
        <v>1406</v>
      </c>
      <c r="V355" s="13">
        <v>13</v>
      </c>
      <c r="W355" s="13" t="b">
        <v>1</v>
      </c>
      <c r="X355" s="13">
        <v>240806</v>
      </c>
      <c r="Y355" s="13" t="s">
        <v>1405</v>
      </c>
      <c r="Z355" s="13">
        <v>0</v>
      </c>
      <c r="AA355" s="13">
        <v>0</v>
      </c>
      <c r="AB355" s="13" t="s">
        <v>1405</v>
      </c>
      <c r="AC355" s="13" t="s">
        <v>1405</v>
      </c>
      <c r="AD355" s="13">
        <v>0</v>
      </c>
      <c r="AE355" s="13" t="s">
        <v>1405</v>
      </c>
      <c r="AF355" s="13" t="s">
        <v>1405</v>
      </c>
    </row>
    <row r="356" spans="1:32" x14ac:dyDescent="0.2">
      <c r="A356" s="3" t="s">
        <v>2212</v>
      </c>
      <c r="B356" s="14" t="s">
        <v>1497</v>
      </c>
      <c r="C356" s="6">
        <v>355</v>
      </c>
      <c r="D356" s="14">
        <v>114</v>
      </c>
      <c r="E356" s="14" t="s">
        <v>1457</v>
      </c>
      <c r="F356" s="15" t="s">
        <v>1445</v>
      </c>
      <c r="G356" s="14" t="s">
        <v>1458</v>
      </c>
      <c r="H356" s="14" t="s">
        <v>56</v>
      </c>
      <c r="I356" s="14" t="s">
        <v>1411</v>
      </c>
      <c r="J356" s="14" t="s">
        <v>1403</v>
      </c>
      <c r="K356" s="17" t="s">
        <v>1523</v>
      </c>
      <c r="L356" s="16" t="s">
        <v>1521</v>
      </c>
      <c r="M356" s="16" t="s">
        <v>1522</v>
      </c>
      <c r="N356" s="16" t="s">
        <v>1450</v>
      </c>
      <c r="O356" s="16" t="s">
        <v>1501</v>
      </c>
      <c r="P356" s="16" t="s">
        <v>1451</v>
      </c>
      <c r="Q356" s="16" t="s">
        <v>1396</v>
      </c>
      <c r="R356" s="16">
        <v>1</v>
      </c>
      <c r="S356" s="16" t="s">
        <v>1453</v>
      </c>
      <c r="T356" s="16" t="s">
        <v>1454</v>
      </c>
      <c r="U356" s="16" t="s">
        <v>1406</v>
      </c>
      <c r="V356" s="16">
        <v>13</v>
      </c>
      <c r="W356" s="16" t="b">
        <v>1</v>
      </c>
      <c r="X356" s="16">
        <v>240806</v>
      </c>
      <c r="Y356" s="16" t="s">
        <v>1405</v>
      </c>
      <c r="Z356" s="16">
        <v>0</v>
      </c>
      <c r="AA356" s="16">
        <v>0</v>
      </c>
      <c r="AB356" s="16" t="s">
        <v>1405</v>
      </c>
      <c r="AC356" s="16" t="s">
        <v>1405</v>
      </c>
      <c r="AD356" s="16">
        <v>0</v>
      </c>
      <c r="AE356" s="16" t="s">
        <v>1405</v>
      </c>
      <c r="AF356" s="16" t="s">
        <v>1405</v>
      </c>
    </row>
    <row r="357" spans="1:32" x14ac:dyDescent="0.2">
      <c r="A357" s="3" t="s">
        <v>2213</v>
      </c>
      <c r="B357" s="12" t="s">
        <v>1497</v>
      </c>
      <c r="C357" s="6">
        <v>356</v>
      </c>
      <c r="D357" s="12">
        <v>115</v>
      </c>
      <c r="E357" s="12" t="s">
        <v>1444</v>
      </c>
      <c r="F357" s="12" t="s">
        <v>1445</v>
      </c>
      <c r="G357" s="12" t="s">
        <v>1446</v>
      </c>
      <c r="H357" s="12" t="s">
        <v>57</v>
      </c>
      <c r="I357" s="12" t="s">
        <v>1413</v>
      </c>
      <c r="J357" s="12" t="s">
        <v>1403</v>
      </c>
      <c r="K357" s="17" t="s">
        <v>1524</v>
      </c>
      <c r="L357" s="13" t="s">
        <v>1521</v>
      </c>
      <c r="M357" s="13" t="s">
        <v>1522</v>
      </c>
      <c r="N357" s="13" t="s">
        <v>1450</v>
      </c>
      <c r="O357" s="13" t="s">
        <v>1501</v>
      </c>
      <c r="P357" s="13" t="s">
        <v>1451</v>
      </c>
      <c r="Q357" s="13" t="s">
        <v>1398</v>
      </c>
      <c r="R357" s="13">
        <v>2</v>
      </c>
      <c r="S357" s="13" t="s">
        <v>1453</v>
      </c>
      <c r="T357" s="13" t="s">
        <v>1454</v>
      </c>
      <c r="U357" s="13" t="s">
        <v>1406</v>
      </c>
      <c r="V357" s="13">
        <v>13</v>
      </c>
      <c r="W357" s="13" t="b">
        <v>1</v>
      </c>
      <c r="X357" s="13">
        <v>240806</v>
      </c>
      <c r="Y357" s="13" t="s">
        <v>1405</v>
      </c>
      <c r="Z357" s="13">
        <v>0</v>
      </c>
      <c r="AA357" s="13">
        <v>0</v>
      </c>
      <c r="AB357" s="13" t="s">
        <v>1405</v>
      </c>
      <c r="AC357" s="13" t="s">
        <v>1405</v>
      </c>
      <c r="AD357" s="13">
        <v>0</v>
      </c>
      <c r="AE357" s="13" t="s">
        <v>1405</v>
      </c>
      <c r="AF357" s="13" t="s">
        <v>1405</v>
      </c>
    </row>
    <row r="358" spans="1:32" x14ac:dyDescent="0.2">
      <c r="A358" s="3" t="s">
        <v>2214</v>
      </c>
      <c r="B358" s="14" t="s">
        <v>1497</v>
      </c>
      <c r="C358" s="6">
        <v>357</v>
      </c>
      <c r="D358" s="14">
        <v>115</v>
      </c>
      <c r="E358" s="14" t="s">
        <v>1457</v>
      </c>
      <c r="F358" s="15" t="s">
        <v>1445</v>
      </c>
      <c r="G358" s="14" t="s">
        <v>1458</v>
      </c>
      <c r="H358" s="14" t="s">
        <v>57</v>
      </c>
      <c r="I358" s="14" t="s">
        <v>1411</v>
      </c>
      <c r="J358" s="14" t="s">
        <v>1403</v>
      </c>
      <c r="K358" s="17" t="s">
        <v>1525</v>
      </c>
      <c r="L358" s="16" t="s">
        <v>1521</v>
      </c>
      <c r="M358" s="16" t="s">
        <v>1522</v>
      </c>
      <c r="N358" s="16" t="s">
        <v>1450</v>
      </c>
      <c r="O358" s="16" t="s">
        <v>1501</v>
      </c>
      <c r="P358" s="16" t="s">
        <v>1451</v>
      </c>
      <c r="Q358" s="16" t="s">
        <v>1398</v>
      </c>
      <c r="R358" s="16">
        <v>2</v>
      </c>
      <c r="S358" s="16" t="s">
        <v>1453</v>
      </c>
      <c r="T358" s="16" t="s">
        <v>1454</v>
      </c>
      <c r="U358" s="16" t="s">
        <v>1406</v>
      </c>
      <c r="V358" s="16">
        <v>13</v>
      </c>
      <c r="W358" s="16" t="b">
        <v>1</v>
      </c>
      <c r="X358" s="16">
        <v>240806</v>
      </c>
      <c r="Y358" s="16" t="s">
        <v>1405</v>
      </c>
      <c r="Z358" s="16">
        <v>0</v>
      </c>
      <c r="AA358" s="16">
        <v>0</v>
      </c>
      <c r="AB358" s="16" t="s">
        <v>1405</v>
      </c>
      <c r="AC358" s="16" t="s">
        <v>1405</v>
      </c>
      <c r="AD358" s="16">
        <v>0</v>
      </c>
      <c r="AE358" s="16" t="s">
        <v>1405</v>
      </c>
      <c r="AF358" s="16" t="s">
        <v>1405</v>
      </c>
    </row>
    <row r="359" spans="1:32" x14ac:dyDescent="0.2">
      <c r="A359" s="3" t="s">
        <v>2215</v>
      </c>
      <c r="B359" s="12" t="s">
        <v>1497</v>
      </c>
      <c r="C359" s="6">
        <v>358</v>
      </c>
      <c r="D359" s="12">
        <v>116</v>
      </c>
      <c r="E359" s="12" t="s">
        <v>1444</v>
      </c>
      <c r="F359" s="12" t="s">
        <v>1445</v>
      </c>
      <c r="G359" s="12" t="s">
        <v>1446</v>
      </c>
      <c r="H359" s="12" t="s">
        <v>58</v>
      </c>
      <c r="I359" s="12" t="s">
        <v>1413</v>
      </c>
      <c r="J359" s="12" t="s">
        <v>1403</v>
      </c>
      <c r="K359" s="17" t="s">
        <v>1526</v>
      </c>
      <c r="L359" s="13" t="s">
        <v>1521</v>
      </c>
      <c r="M359" s="13" t="s">
        <v>1522</v>
      </c>
      <c r="N359" s="13" t="s">
        <v>1450</v>
      </c>
      <c r="O359" s="13" t="s">
        <v>1501</v>
      </c>
      <c r="P359" s="13" t="s">
        <v>1451</v>
      </c>
      <c r="Q359" s="13" t="s">
        <v>1399</v>
      </c>
      <c r="R359" s="13">
        <v>3</v>
      </c>
      <c r="S359" s="13" t="s">
        <v>1453</v>
      </c>
      <c r="T359" s="13" t="s">
        <v>1454</v>
      </c>
      <c r="U359" s="13" t="s">
        <v>1406</v>
      </c>
      <c r="V359" s="13">
        <v>13</v>
      </c>
      <c r="W359" s="13" t="b">
        <v>1</v>
      </c>
      <c r="X359" s="13">
        <v>240806</v>
      </c>
      <c r="Y359" s="13" t="s">
        <v>1405</v>
      </c>
      <c r="Z359" s="13">
        <v>0</v>
      </c>
      <c r="AA359" s="13">
        <v>0</v>
      </c>
      <c r="AB359" s="13" t="s">
        <v>1405</v>
      </c>
      <c r="AC359" s="13" t="s">
        <v>1405</v>
      </c>
      <c r="AD359" s="13">
        <v>0</v>
      </c>
      <c r="AE359" s="13" t="s">
        <v>1405</v>
      </c>
      <c r="AF359" s="13" t="s">
        <v>1405</v>
      </c>
    </row>
    <row r="360" spans="1:32" x14ac:dyDescent="0.2">
      <c r="A360" s="3" t="s">
        <v>2216</v>
      </c>
      <c r="B360" s="14" t="s">
        <v>1497</v>
      </c>
      <c r="C360" s="6">
        <v>359</v>
      </c>
      <c r="D360" s="14">
        <v>116</v>
      </c>
      <c r="E360" s="14" t="s">
        <v>1457</v>
      </c>
      <c r="F360" s="15" t="s">
        <v>1445</v>
      </c>
      <c r="G360" s="14" t="s">
        <v>1458</v>
      </c>
      <c r="H360" s="14" t="s">
        <v>58</v>
      </c>
      <c r="I360" s="14" t="s">
        <v>1411</v>
      </c>
      <c r="J360" s="14" t="s">
        <v>1403</v>
      </c>
      <c r="K360" s="17" t="s">
        <v>1527</v>
      </c>
      <c r="L360" s="16" t="s">
        <v>1521</v>
      </c>
      <c r="M360" s="16" t="s">
        <v>1522</v>
      </c>
      <c r="N360" s="16" t="s">
        <v>1450</v>
      </c>
      <c r="O360" s="16" t="s">
        <v>1501</v>
      </c>
      <c r="P360" s="16" t="s">
        <v>1451</v>
      </c>
      <c r="Q360" s="16" t="s">
        <v>1399</v>
      </c>
      <c r="R360" s="16">
        <v>3</v>
      </c>
      <c r="S360" s="16" t="s">
        <v>1453</v>
      </c>
      <c r="T360" s="16" t="s">
        <v>1454</v>
      </c>
      <c r="U360" s="16" t="s">
        <v>1406</v>
      </c>
      <c r="V360" s="16">
        <v>13</v>
      </c>
      <c r="W360" s="16" t="b">
        <v>1</v>
      </c>
      <c r="X360" s="16">
        <v>240806</v>
      </c>
      <c r="Y360" s="16" t="s">
        <v>1405</v>
      </c>
      <c r="Z360" s="16">
        <v>0</v>
      </c>
      <c r="AA360" s="16">
        <v>0</v>
      </c>
      <c r="AB360" s="16" t="s">
        <v>1405</v>
      </c>
      <c r="AC360" s="16" t="s">
        <v>1405</v>
      </c>
      <c r="AD360" s="16">
        <v>0</v>
      </c>
      <c r="AE360" s="16" t="s">
        <v>1405</v>
      </c>
      <c r="AF360" s="16" t="s">
        <v>1405</v>
      </c>
    </row>
    <row r="361" spans="1:32" x14ac:dyDescent="0.2">
      <c r="A361" s="3" t="s">
        <v>2217</v>
      </c>
      <c r="B361" s="12" t="s">
        <v>1497</v>
      </c>
      <c r="C361" s="6">
        <v>360</v>
      </c>
      <c r="D361" s="12">
        <v>117</v>
      </c>
      <c r="E361" s="12" t="s">
        <v>1444</v>
      </c>
      <c r="F361" s="12" t="s">
        <v>1445</v>
      </c>
      <c r="G361" s="12" t="s">
        <v>1446</v>
      </c>
      <c r="H361" s="12" t="s">
        <v>59</v>
      </c>
      <c r="I361" s="12" t="s">
        <v>1413</v>
      </c>
      <c r="J361" s="12" t="s">
        <v>1403</v>
      </c>
      <c r="K361" s="17" t="s">
        <v>1528</v>
      </c>
      <c r="L361" s="13" t="s">
        <v>1521</v>
      </c>
      <c r="M361" s="13" t="s">
        <v>1522</v>
      </c>
      <c r="N361" s="13" t="s">
        <v>1450</v>
      </c>
      <c r="O361" s="13" t="s">
        <v>1501</v>
      </c>
      <c r="P361" s="13" t="s">
        <v>1451</v>
      </c>
      <c r="Q361" s="13" t="s">
        <v>1400</v>
      </c>
      <c r="R361" s="13">
        <v>4</v>
      </c>
      <c r="S361" s="13" t="s">
        <v>1453</v>
      </c>
      <c r="T361" s="13" t="s">
        <v>1454</v>
      </c>
      <c r="U361" s="13" t="s">
        <v>1406</v>
      </c>
      <c r="V361" s="13">
        <v>13</v>
      </c>
      <c r="W361" s="13" t="b">
        <v>1</v>
      </c>
      <c r="X361" s="13">
        <v>240806</v>
      </c>
      <c r="Y361" s="13" t="s">
        <v>1405</v>
      </c>
      <c r="Z361" s="13">
        <v>0</v>
      </c>
      <c r="AA361" s="13">
        <v>0</v>
      </c>
      <c r="AB361" s="13" t="s">
        <v>1405</v>
      </c>
      <c r="AC361" s="13" t="s">
        <v>1405</v>
      </c>
      <c r="AD361" s="13">
        <v>0</v>
      </c>
      <c r="AE361" s="13" t="s">
        <v>1405</v>
      </c>
      <c r="AF361" s="13" t="s">
        <v>1405</v>
      </c>
    </row>
    <row r="362" spans="1:32" x14ac:dyDescent="0.2">
      <c r="A362" s="3" t="s">
        <v>2218</v>
      </c>
      <c r="B362" s="14" t="s">
        <v>1497</v>
      </c>
      <c r="C362" s="6">
        <v>361</v>
      </c>
      <c r="D362" s="14">
        <v>117</v>
      </c>
      <c r="E362" s="14" t="s">
        <v>1457</v>
      </c>
      <c r="F362" s="15" t="s">
        <v>1445</v>
      </c>
      <c r="G362" s="14" t="s">
        <v>1458</v>
      </c>
      <c r="H362" s="14" t="s">
        <v>59</v>
      </c>
      <c r="I362" s="14" t="s">
        <v>1411</v>
      </c>
      <c r="J362" s="14" t="s">
        <v>1403</v>
      </c>
      <c r="K362" s="17" t="s">
        <v>1529</v>
      </c>
      <c r="L362" s="16" t="s">
        <v>1521</v>
      </c>
      <c r="M362" s="16" t="s">
        <v>1522</v>
      </c>
      <c r="N362" s="16" t="s">
        <v>1450</v>
      </c>
      <c r="O362" s="16" t="s">
        <v>1501</v>
      </c>
      <c r="P362" s="16" t="s">
        <v>1451</v>
      </c>
      <c r="Q362" s="16" t="s">
        <v>1400</v>
      </c>
      <c r="R362" s="16">
        <v>4</v>
      </c>
      <c r="S362" s="16" t="s">
        <v>1453</v>
      </c>
      <c r="T362" s="16" t="s">
        <v>1454</v>
      </c>
      <c r="U362" s="16" t="s">
        <v>1406</v>
      </c>
      <c r="V362" s="16">
        <v>13</v>
      </c>
      <c r="W362" s="16" t="b">
        <v>1</v>
      </c>
      <c r="X362" s="16">
        <v>240806</v>
      </c>
      <c r="Y362" s="16" t="s">
        <v>1405</v>
      </c>
      <c r="Z362" s="16">
        <v>0</v>
      </c>
      <c r="AA362" s="16">
        <v>0</v>
      </c>
      <c r="AB362" s="16" t="s">
        <v>1405</v>
      </c>
      <c r="AC362" s="16" t="s">
        <v>1405</v>
      </c>
      <c r="AD362" s="16">
        <v>0</v>
      </c>
      <c r="AE362" s="16" t="s">
        <v>1405</v>
      </c>
      <c r="AF362" s="16" t="s">
        <v>1405</v>
      </c>
    </row>
    <row r="363" spans="1:32" x14ac:dyDescent="0.2">
      <c r="A363" s="3" t="s">
        <v>2219</v>
      </c>
      <c r="B363" s="12" t="s">
        <v>1497</v>
      </c>
      <c r="C363" s="6">
        <v>362</v>
      </c>
      <c r="D363" s="12">
        <v>118</v>
      </c>
      <c r="E363" s="12" t="s">
        <v>1444</v>
      </c>
      <c r="F363" s="12" t="s">
        <v>1445</v>
      </c>
      <c r="G363" s="12" t="s">
        <v>1446</v>
      </c>
      <c r="H363" s="12" t="s">
        <v>60</v>
      </c>
      <c r="I363" s="12" t="s">
        <v>1413</v>
      </c>
      <c r="J363" s="12" t="s">
        <v>1403</v>
      </c>
      <c r="K363" s="17" t="s">
        <v>1530</v>
      </c>
      <c r="L363" s="13" t="s">
        <v>1499</v>
      </c>
      <c r="M363" s="13" t="s">
        <v>1531</v>
      </c>
      <c r="N363" s="13" t="s">
        <v>1450</v>
      </c>
      <c r="O363" s="13" t="s">
        <v>1532</v>
      </c>
      <c r="P363" s="13" t="s">
        <v>1451</v>
      </c>
      <c r="Q363" s="13" t="s">
        <v>1396</v>
      </c>
      <c r="R363" s="13">
        <v>1</v>
      </c>
      <c r="S363" s="13" t="s">
        <v>1453</v>
      </c>
      <c r="T363" s="13" t="s">
        <v>1454</v>
      </c>
      <c r="U363" s="13" t="s">
        <v>1406</v>
      </c>
      <c r="V363" s="13">
        <v>13</v>
      </c>
      <c r="W363" s="13" t="b">
        <v>1</v>
      </c>
      <c r="X363" s="13">
        <v>240806</v>
      </c>
      <c r="Y363" s="13" t="s">
        <v>1405</v>
      </c>
      <c r="Z363" s="13">
        <v>0</v>
      </c>
      <c r="AA363" s="13">
        <v>0</v>
      </c>
      <c r="AB363" s="13" t="s">
        <v>1405</v>
      </c>
      <c r="AC363" s="13" t="s">
        <v>1405</v>
      </c>
      <c r="AD363" s="13">
        <v>0</v>
      </c>
      <c r="AE363" s="13" t="s">
        <v>1405</v>
      </c>
      <c r="AF363" s="13" t="s">
        <v>1405</v>
      </c>
    </row>
    <row r="364" spans="1:32" x14ac:dyDescent="0.2">
      <c r="A364" s="3" t="s">
        <v>2220</v>
      </c>
      <c r="B364" s="14" t="s">
        <v>1497</v>
      </c>
      <c r="C364" s="6">
        <v>363</v>
      </c>
      <c r="D364" s="14">
        <v>118</v>
      </c>
      <c r="E364" s="14" t="s">
        <v>1457</v>
      </c>
      <c r="F364" s="15" t="s">
        <v>1445</v>
      </c>
      <c r="G364" s="14" t="s">
        <v>1458</v>
      </c>
      <c r="H364" s="14" t="s">
        <v>60</v>
      </c>
      <c r="I364" s="14" t="s">
        <v>1411</v>
      </c>
      <c r="J364" s="14" t="s">
        <v>1403</v>
      </c>
      <c r="K364" s="17" t="s">
        <v>1533</v>
      </c>
      <c r="L364" s="16" t="s">
        <v>1499</v>
      </c>
      <c r="M364" s="16" t="s">
        <v>1531</v>
      </c>
      <c r="N364" s="16" t="s">
        <v>1450</v>
      </c>
      <c r="O364" s="16" t="s">
        <v>1532</v>
      </c>
      <c r="P364" s="16" t="s">
        <v>1451</v>
      </c>
      <c r="Q364" s="16" t="s">
        <v>1396</v>
      </c>
      <c r="R364" s="16">
        <v>1</v>
      </c>
      <c r="S364" s="16" t="s">
        <v>1453</v>
      </c>
      <c r="T364" s="16" t="s">
        <v>1454</v>
      </c>
      <c r="U364" s="16" t="s">
        <v>1406</v>
      </c>
      <c r="V364" s="16">
        <v>13</v>
      </c>
      <c r="W364" s="16" t="b">
        <v>1</v>
      </c>
      <c r="X364" s="16">
        <v>240806</v>
      </c>
      <c r="Y364" s="16" t="s">
        <v>1405</v>
      </c>
      <c r="Z364" s="16">
        <v>0</v>
      </c>
      <c r="AA364" s="16">
        <v>0</v>
      </c>
      <c r="AB364" s="16" t="s">
        <v>1405</v>
      </c>
      <c r="AC364" s="16" t="s">
        <v>1405</v>
      </c>
      <c r="AD364" s="16">
        <v>0</v>
      </c>
      <c r="AE364" s="16" t="s">
        <v>1405</v>
      </c>
      <c r="AF364" s="16" t="s">
        <v>1405</v>
      </c>
    </row>
    <row r="365" spans="1:32" x14ac:dyDescent="0.2">
      <c r="A365" s="3" t="s">
        <v>2221</v>
      </c>
      <c r="B365" s="12" t="s">
        <v>1497</v>
      </c>
      <c r="C365" s="6">
        <v>364</v>
      </c>
      <c r="D365" s="12">
        <v>119</v>
      </c>
      <c r="E365" s="12" t="s">
        <v>1444</v>
      </c>
      <c r="F365" s="12" t="s">
        <v>1445</v>
      </c>
      <c r="G365" s="12" t="s">
        <v>1446</v>
      </c>
      <c r="H365" s="12" t="s">
        <v>61</v>
      </c>
      <c r="I365" s="12" t="s">
        <v>1413</v>
      </c>
      <c r="J365" s="12" t="s">
        <v>1403</v>
      </c>
      <c r="K365" s="17" t="s">
        <v>1534</v>
      </c>
      <c r="L365" s="13" t="s">
        <v>1499</v>
      </c>
      <c r="M365" s="13" t="s">
        <v>1531</v>
      </c>
      <c r="N365" s="13" t="s">
        <v>1450</v>
      </c>
      <c r="O365" s="13" t="s">
        <v>1532</v>
      </c>
      <c r="P365" s="13" t="s">
        <v>1451</v>
      </c>
      <c r="Q365" s="13" t="s">
        <v>1398</v>
      </c>
      <c r="R365" s="13">
        <v>2</v>
      </c>
      <c r="S365" s="13" t="s">
        <v>1453</v>
      </c>
      <c r="T365" s="13" t="s">
        <v>1454</v>
      </c>
      <c r="U365" s="13" t="s">
        <v>1406</v>
      </c>
      <c r="V365" s="13">
        <v>13</v>
      </c>
      <c r="W365" s="13" t="b">
        <v>1</v>
      </c>
      <c r="X365" s="13">
        <v>240806</v>
      </c>
      <c r="Y365" s="13" t="s">
        <v>1405</v>
      </c>
      <c r="Z365" s="13">
        <v>0</v>
      </c>
      <c r="AA365" s="13">
        <v>0</v>
      </c>
      <c r="AB365" s="13" t="s">
        <v>1405</v>
      </c>
      <c r="AC365" s="13" t="s">
        <v>1405</v>
      </c>
      <c r="AD365" s="13">
        <v>0</v>
      </c>
      <c r="AE365" s="13" t="s">
        <v>1405</v>
      </c>
      <c r="AF365" s="13" t="s">
        <v>1405</v>
      </c>
    </row>
    <row r="366" spans="1:32" x14ac:dyDescent="0.2">
      <c r="A366" s="3" t="s">
        <v>2222</v>
      </c>
      <c r="B366" s="14" t="s">
        <v>1497</v>
      </c>
      <c r="C366" s="6">
        <v>365</v>
      </c>
      <c r="D366" s="14">
        <v>119</v>
      </c>
      <c r="E366" s="14" t="s">
        <v>1457</v>
      </c>
      <c r="F366" s="15" t="s">
        <v>1445</v>
      </c>
      <c r="G366" s="14" t="s">
        <v>1458</v>
      </c>
      <c r="H366" s="14" t="s">
        <v>61</v>
      </c>
      <c r="I366" s="14" t="s">
        <v>1411</v>
      </c>
      <c r="J366" s="14" t="s">
        <v>1403</v>
      </c>
      <c r="K366" s="17" t="s">
        <v>1535</v>
      </c>
      <c r="L366" s="16" t="s">
        <v>1499</v>
      </c>
      <c r="M366" s="16" t="s">
        <v>1531</v>
      </c>
      <c r="N366" s="16" t="s">
        <v>1450</v>
      </c>
      <c r="O366" s="16" t="s">
        <v>1532</v>
      </c>
      <c r="P366" s="16" t="s">
        <v>1451</v>
      </c>
      <c r="Q366" s="16" t="s">
        <v>1398</v>
      </c>
      <c r="R366" s="16">
        <v>2</v>
      </c>
      <c r="S366" s="16" t="s">
        <v>1453</v>
      </c>
      <c r="T366" s="16" t="s">
        <v>1454</v>
      </c>
      <c r="U366" s="16" t="s">
        <v>1406</v>
      </c>
      <c r="V366" s="16">
        <v>13</v>
      </c>
      <c r="W366" s="16" t="b">
        <v>1</v>
      </c>
      <c r="X366" s="16">
        <v>240806</v>
      </c>
      <c r="Y366" s="16" t="s">
        <v>1405</v>
      </c>
      <c r="Z366" s="16">
        <v>0</v>
      </c>
      <c r="AA366" s="16">
        <v>0</v>
      </c>
      <c r="AB366" s="16" t="s">
        <v>1405</v>
      </c>
      <c r="AC366" s="16" t="s">
        <v>1405</v>
      </c>
      <c r="AD366" s="16">
        <v>0</v>
      </c>
      <c r="AE366" s="16" t="s">
        <v>1405</v>
      </c>
      <c r="AF366" s="16" t="s">
        <v>1405</v>
      </c>
    </row>
    <row r="367" spans="1:32" x14ac:dyDescent="0.2">
      <c r="A367" s="3" t="s">
        <v>2223</v>
      </c>
      <c r="B367" s="12" t="s">
        <v>1497</v>
      </c>
      <c r="C367" s="6">
        <v>366</v>
      </c>
      <c r="D367" s="12">
        <v>120</v>
      </c>
      <c r="E367" s="12" t="s">
        <v>1444</v>
      </c>
      <c r="F367" s="12" t="s">
        <v>1445</v>
      </c>
      <c r="G367" s="12" t="s">
        <v>1446</v>
      </c>
      <c r="H367" s="12" t="s">
        <v>62</v>
      </c>
      <c r="I367" s="12" t="s">
        <v>1413</v>
      </c>
      <c r="J367" s="12" t="s">
        <v>1403</v>
      </c>
      <c r="K367" s="17" t="s">
        <v>1536</v>
      </c>
      <c r="L367" s="13" t="s">
        <v>1499</v>
      </c>
      <c r="M367" s="13" t="s">
        <v>1531</v>
      </c>
      <c r="N367" s="13" t="s">
        <v>1450</v>
      </c>
      <c r="O367" s="13" t="s">
        <v>1532</v>
      </c>
      <c r="P367" s="13" t="s">
        <v>1451</v>
      </c>
      <c r="Q367" s="13" t="s">
        <v>1399</v>
      </c>
      <c r="R367" s="13">
        <v>3</v>
      </c>
      <c r="S367" s="13" t="s">
        <v>1453</v>
      </c>
      <c r="T367" s="13" t="s">
        <v>1454</v>
      </c>
      <c r="U367" s="13" t="s">
        <v>1406</v>
      </c>
      <c r="V367" s="13">
        <v>13</v>
      </c>
      <c r="W367" s="13" t="b">
        <v>1</v>
      </c>
      <c r="X367" s="13">
        <v>240806</v>
      </c>
      <c r="Y367" s="13" t="s">
        <v>1405</v>
      </c>
      <c r="Z367" s="13">
        <v>0</v>
      </c>
      <c r="AA367" s="13">
        <v>0</v>
      </c>
      <c r="AB367" s="13" t="s">
        <v>1405</v>
      </c>
      <c r="AC367" s="13" t="s">
        <v>1405</v>
      </c>
      <c r="AD367" s="13">
        <v>0</v>
      </c>
      <c r="AE367" s="13" t="s">
        <v>1405</v>
      </c>
      <c r="AF367" s="13" t="s">
        <v>1405</v>
      </c>
    </row>
    <row r="368" spans="1:32" x14ac:dyDescent="0.2">
      <c r="A368" s="3" t="s">
        <v>2224</v>
      </c>
      <c r="B368" s="14" t="s">
        <v>1497</v>
      </c>
      <c r="C368" s="6">
        <v>367</v>
      </c>
      <c r="D368" s="14">
        <v>120</v>
      </c>
      <c r="E368" s="14" t="s">
        <v>1457</v>
      </c>
      <c r="F368" s="15" t="s">
        <v>1445</v>
      </c>
      <c r="G368" s="14" t="s">
        <v>1458</v>
      </c>
      <c r="H368" s="14" t="s">
        <v>62</v>
      </c>
      <c r="I368" s="14" t="s">
        <v>1411</v>
      </c>
      <c r="J368" s="14" t="s">
        <v>1403</v>
      </c>
      <c r="K368" s="17" t="s">
        <v>1537</v>
      </c>
      <c r="L368" s="16" t="s">
        <v>1499</v>
      </c>
      <c r="M368" s="16" t="s">
        <v>1531</v>
      </c>
      <c r="N368" s="16" t="s">
        <v>1450</v>
      </c>
      <c r="O368" s="16" t="s">
        <v>1532</v>
      </c>
      <c r="P368" s="16" t="s">
        <v>1451</v>
      </c>
      <c r="Q368" s="16" t="s">
        <v>1399</v>
      </c>
      <c r="R368" s="16">
        <v>3</v>
      </c>
      <c r="S368" s="16" t="s">
        <v>1453</v>
      </c>
      <c r="T368" s="16" t="s">
        <v>1454</v>
      </c>
      <c r="U368" s="16" t="s">
        <v>1406</v>
      </c>
      <c r="V368" s="16">
        <v>13</v>
      </c>
      <c r="W368" s="16" t="b">
        <v>1</v>
      </c>
      <c r="X368" s="16">
        <v>240806</v>
      </c>
      <c r="Y368" s="16" t="s">
        <v>1405</v>
      </c>
      <c r="Z368" s="16">
        <v>0</v>
      </c>
      <c r="AA368" s="16">
        <v>0</v>
      </c>
      <c r="AB368" s="16" t="s">
        <v>1405</v>
      </c>
      <c r="AC368" s="16" t="s">
        <v>1405</v>
      </c>
      <c r="AD368" s="16">
        <v>0</v>
      </c>
      <c r="AE368" s="16" t="s">
        <v>1405</v>
      </c>
      <c r="AF368" s="16" t="s">
        <v>1405</v>
      </c>
    </row>
    <row r="369" spans="1:32" x14ac:dyDescent="0.2">
      <c r="A369" s="3" t="s">
        <v>2225</v>
      </c>
      <c r="B369" s="12" t="s">
        <v>1497</v>
      </c>
      <c r="C369" s="6">
        <v>368</v>
      </c>
      <c r="D369" s="12">
        <v>121</v>
      </c>
      <c r="E369" s="12" t="s">
        <v>1444</v>
      </c>
      <c r="F369" s="12" t="s">
        <v>1445</v>
      </c>
      <c r="G369" s="12" t="s">
        <v>1446</v>
      </c>
      <c r="H369" s="12" t="s">
        <v>63</v>
      </c>
      <c r="I369" s="12" t="s">
        <v>1413</v>
      </c>
      <c r="J369" s="12" t="s">
        <v>1403</v>
      </c>
      <c r="K369" s="17" t="s">
        <v>1538</v>
      </c>
      <c r="L369" s="13" t="s">
        <v>1499</v>
      </c>
      <c r="M369" s="13" t="s">
        <v>1531</v>
      </c>
      <c r="N369" s="13" t="s">
        <v>1450</v>
      </c>
      <c r="O369" s="13" t="s">
        <v>1532</v>
      </c>
      <c r="P369" s="13" t="s">
        <v>1451</v>
      </c>
      <c r="Q369" s="13" t="s">
        <v>1400</v>
      </c>
      <c r="R369" s="13">
        <v>4</v>
      </c>
      <c r="S369" s="13" t="s">
        <v>1453</v>
      </c>
      <c r="T369" s="13" t="s">
        <v>1454</v>
      </c>
      <c r="U369" s="13" t="s">
        <v>1406</v>
      </c>
      <c r="V369" s="13">
        <v>13</v>
      </c>
      <c r="W369" s="13" t="b">
        <v>1</v>
      </c>
      <c r="X369" s="13">
        <v>240806</v>
      </c>
      <c r="Y369" s="13" t="s">
        <v>1405</v>
      </c>
      <c r="Z369" s="13">
        <v>0</v>
      </c>
      <c r="AA369" s="13">
        <v>0</v>
      </c>
      <c r="AB369" s="13" t="s">
        <v>1405</v>
      </c>
      <c r="AC369" s="13" t="s">
        <v>1405</v>
      </c>
      <c r="AD369" s="13">
        <v>0</v>
      </c>
      <c r="AE369" s="13" t="s">
        <v>1405</v>
      </c>
      <c r="AF369" s="13" t="s">
        <v>1405</v>
      </c>
    </row>
    <row r="370" spans="1:32" x14ac:dyDescent="0.2">
      <c r="A370" s="3" t="s">
        <v>2226</v>
      </c>
      <c r="B370" s="14" t="s">
        <v>1497</v>
      </c>
      <c r="C370" s="6">
        <v>369</v>
      </c>
      <c r="D370" s="14">
        <v>121</v>
      </c>
      <c r="E370" s="14" t="s">
        <v>1457</v>
      </c>
      <c r="F370" s="15" t="s">
        <v>1445</v>
      </c>
      <c r="G370" s="14" t="s">
        <v>1458</v>
      </c>
      <c r="H370" s="14" t="s">
        <v>63</v>
      </c>
      <c r="I370" s="14" t="s">
        <v>1411</v>
      </c>
      <c r="J370" s="14" t="s">
        <v>1403</v>
      </c>
      <c r="K370" s="17" t="s">
        <v>1539</v>
      </c>
      <c r="L370" s="16" t="s">
        <v>1499</v>
      </c>
      <c r="M370" s="16" t="s">
        <v>1531</v>
      </c>
      <c r="N370" s="16" t="s">
        <v>1450</v>
      </c>
      <c r="O370" s="16" t="s">
        <v>1532</v>
      </c>
      <c r="P370" s="16" t="s">
        <v>1451</v>
      </c>
      <c r="Q370" s="16" t="s">
        <v>1400</v>
      </c>
      <c r="R370" s="16">
        <v>4</v>
      </c>
      <c r="S370" s="16" t="s">
        <v>1453</v>
      </c>
      <c r="T370" s="16" t="s">
        <v>1454</v>
      </c>
      <c r="U370" s="16" t="s">
        <v>1406</v>
      </c>
      <c r="V370" s="16">
        <v>13</v>
      </c>
      <c r="W370" s="16" t="b">
        <v>1</v>
      </c>
      <c r="X370" s="16">
        <v>240806</v>
      </c>
      <c r="Y370" s="16" t="s">
        <v>1405</v>
      </c>
      <c r="Z370" s="16">
        <v>0</v>
      </c>
      <c r="AA370" s="16">
        <v>0</v>
      </c>
      <c r="AB370" s="16" t="s">
        <v>1405</v>
      </c>
      <c r="AC370" s="16" t="s">
        <v>1405</v>
      </c>
      <c r="AD370" s="16">
        <v>0</v>
      </c>
      <c r="AE370" s="16" t="s">
        <v>1405</v>
      </c>
      <c r="AF370" s="16" t="s">
        <v>1405</v>
      </c>
    </row>
    <row r="371" spans="1:32" x14ac:dyDescent="0.2">
      <c r="A371" s="3" t="s">
        <v>2227</v>
      </c>
      <c r="B371" s="12" t="s">
        <v>1497</v>
      </c>
      <c r="C371" s="6">
        <v>370</v>
      </c>
      <c r="D371" s="12">
        <v>122</v>
      </c>
      <c r="E371" s="12" t="s">
        <v>1444</v>
      </c>
      <c r="F371" s="12" t="s">
        <v>1445</v>
      </c>
      <c r="G371" s="12" t="s">
        <v>1446</v>
      </c>
      <c r="H371" s="12" t="s">
        <v>64</v>
      </c>
      <c r="I371" s="12" t="s">
        <v>1413</v>
      </c>
      <c r="J371" s="12" t="s">
        <v>1403</v>
      </c>
      <c r="K371" s="17" t="s">
        <v>1540</v>
      </c>
      <c r="L371" s="13" t="s">
        <v>1499</v>
      </c>
      <c r="M371" s="13" t="s">
        <v>1531</v>
      </c>
      <c r="N371" s="13" t="s">
        <v>1450</v>
      </c>
      <c r="O371" s="13" t="s">
        <v>1532</v>
      </c>
      <c r="P371" s="13" t="s">
        <v>1451</v>
      </c>
      <c r="Q371" s="13" t="s">
        <v>1541</v>
      </c>
      <c r="R371" s="13">
        <v>5</v>
      </c>
      <c r="S371" s="13" t="s">
        <v>1453</v>
      </c>
      <c r="T371" s="13" t="s">
        <v>1454</v>
      </c>
      <c r="U371" s="13" t="s">
        <v>1406</v>
      </c>
      <c r="V371" s="13">
        <v>13</v>
      </c>
      <c r="W371" s="13" t="b">
        <v>1</v>
      </c>
      <c r="X371" s="13">
        <v>240806</v>
      </c>
      <c r="Y371" s="13" t="s">
        <v>1405</v>
      </c>
      <c r="Z371" s="13">
        <v>0</v>
      </c>
      <c r="AA371" s="13">
        <v>0</v>
      </c>
      <c r="AB371" s="13" t="s">
        <v>1405</v>
      </c>
      <c r="AC371" s="13" t="s">
        <v>1405</v>
      </c>
      <c r="AD371" s="13">
        <v>0</v>
      </c>
      <c r="AE371" s="13" t="s">
        <v>1405</v>
      </c>
      <c r="AF371" s="13" t="s">
        <v>1405</v>
      </c>
    </row>
    <row r="372" spans="1:32" x14ac:dyDescent="0.2">
      <c r="A372" s="3" t="s">
        <v>2228</v>
      </c>
      <c r="B372" s="14" t="s">
        <v>1497</v>
      </c>
      <c r="C372" s="6">
        <v>371</v>
      </c>
      <c r="D372" s="14">
        <v>122</v>
      </c>
      <c r="E372" s="14" t="s">
        <v>1457</v>
      </c>
      <c r="F372" s="15" t="s">
        <v>1445</v>
      </c>
      <c r="G372" s="14" t="s">
        <v>1458</v>
      </c>
      <c r="H372" s="14" t="s">
        <v>64</v>
      </c>
      <c r="I372" s="14" t="s">
        <v>1411</v>
      </c>
      <c r="J372" s="14" t="s">
        <v>1403</v>
      </c>
      <c r="K372" s="17" t="s">
        <v>1542</v>
      </c>
      <c r="L372" s="16" t="s">
        <v>1499</v>
      </c>
      <c r="M372" s="16" t="s">
        <v>1531</v>
      </c>
      <c r="N372" s="16" t="s">
        <v>1450</v>
      </c>
      <c r="O372" s="16" t="s">
        <v>1532</v>
      </c>
      <c r="P372" s="16" t="s">
        <v>1451</v>
      </c>
      <c r="Q372" s="16" t="s">
        <v>1541</v>
      </c>
      <c r="R372" s="16">
        <v>5</v>
      </c>
      <c r="S372" s="16" t="s">
        <v>1453</v>
      </c>
      <c r="T372" s="16" t="s">
        <v>1454</v>
      </c>
      <c r="U372" s="16" t="s">
        <v>1406</v>
      </c>
      <c r="V372" s="16">
        <v>13</v>
      </c>
      <c r="W372" s="16" t="b">
        <v>1</v>
      </c>
      <c r="X372" s="16">
        <v>240806</v>
      </c>
      <c r="Y372" s="16" t="s">
        <v>1405</v>
      </c>
      <c r="Z372" s="16">
        <v>0</v>
      </c>
      <c r="AA372" s="16">
        <v>0</v>
      </c>
      <c r="AB372" s="16" t="s">
        <v>1405</v>
      </c>
      <c r="AC372" s="16" t="s">
        <v>1405</v>
      </c>
      <c r="AD372" s="16">
        <v>0</v>
      </c>
      <c r="AE372" s="16" t="s">
        <v>1405</v>
      </c>
      <c r="AF372" s="16" t="s">
        <v>1405</v>
      </c>
    </row>
    <row r="373" spans="1:32" x14ac:dyDescent="0.2">
      <c r="A373" s="3" t="s">
        <v>2229</v>
      </c>
      <c r="B373" s="12" t="s">
        <v>1497</v>
      </c>
      <c r="C373" s="6">
        <v>372</v>
      </c>
      <c r="D373" s="12">
        <v>123</v>
      </c>
      <c r="E373" s="12" t="s">
        <v>1444</v>
      </c>
      <c r="F373" s="12" t="s">
        <v>1445</v>
      </c>
      <c r="G373" s="12" t="s">
        <v>1446</v>
      </c>
      <c r="H373" s="12" t="s">
        <v>66</v>
      </c>
      <c r="I373" s="12" t="s">
        <v>1413</v>
      </c>
      <c r="J373" s="12" t="s">
        <v>1403</v>
      </c>
      <c r="K373" s="17" t="s">
        <v>1543</v>
      </c>
      <c r="L373" s="13" t="s">
        <v>1511</v>
      </c>
      <c r="M373" s="13" t="s">
        <v>1544</v>
      </c>
      <c r="N373" s="13" t="s">
        <v>1450</v>
      </c>
      <c r="O373" s="13" t="s">
        <v>1532</v>
      </c>
      <c r="P373" s="13" t="s">
        <v>1451</v>
      </c>
      <c r="Q373" s="13" t="s">
        <v>1396</v>
      </c>
      <c r="R373" s="13">
        <v>1</v>
      </c>
      <c r="S373" s="13" t="s">
        <v>1453</v>
      </c>
      <c r="T373" s="13" t="s">
        <v>1454</v>
      </c>
      <c r="U373" s="13" t="s">
        <v>1406</v>
      </c>
      <c r="V373" s="13">
        <v>13</v>
      </c>
      <c r="W373" s="13" t="b">
        <v>1</v>
      </c>
      <c r="X373" s="13">
        <v>240806</v>
      </c>
      <c r="Y373" s="13" t="s">
        <v>1405</v>
      </c>
      <c r="Z373" s="13">
        <v>0</v>
      </c>
      <c r="AA373" s="13">
        <v>0</v>
      </c>
      <c r="AB373" s="13" t="s">
        <v>1405</v>
      </c>
      <c r="AC373" s="13" t="s">
        <v>1405</v>
      </c>
      <c r="AD373" s="13">
        <v>0</v>
      </c>
      <c r="AE373" s="13" t="s">
        <v>1405</v>
      </c>
      <c r="AF373" s="13" t="s">
        <v>1405</v>
      </c>
    </row>
    <row r="374" spans="1:32" x14ac:dyDescent="0.2">
      <c r="A374" s="3" t="s">
        <v>2230</v>
      </c>
      <c r="B374" s="14" t="s">
        <v>1497</v>
      </c>
      <c r="C374" s="6">
        <v>373</v>
      </c>
      <c r="D374" s="14">
        <v>123</v>
      </c>
      <c r="E374" s="14" t="s">
        <v>1457</v>
      </c>
      <c r="F374" s="15" t="s">
        <v>1445</v>
      </c>
      <c r="G374" s="14" t="s">
        <v>1458</v>
      </c>
      <c r="H374" s="14" t="s">
        <v>66</v>
      </c>
      <c r="I374" s="14" t="s">
        <v>1411</v>
      </c>
      <c r="J374" s="14" t="s">
        <v>1403</v>
      </c>
      <c r="K374" s="17" t="s">
        <v>1545</v>
      </c>
      <c r="L374" s="16" t="s">
        <v>1511</v>
      </c>
      <c r="M374" s="16" t="s">
        <v>1544</v>
      </c>
      <c r="N374" s="16" t="s">
        <v>1450</v>
      </c>
      <c r="O374" s="16" t="s">
        <v>1532</v>
      </c>
      <c r="P374" s="16" t="s">
        <v>1451</v>
      </c>
      <c r="Q374" s="16" t="s">
        <v>1396</v>
      </c>
      <c r="R374" s="16">
        <v>1</v>
      </c>
      <c r="S374" s="16" t="s">
        <v>1453</v>
      </c>
      <c r="T374" s="16" t="s">
        <v>1454</v>
      </c>
      <c r="U374" s="16" t="s">
        <v>1406</v>
      </c>
      <c r="V374" s="16">
        <v>13</v>
      </c>
      <c r="W374" s="16" t="b">
        <v>1</v>
      </c>
      <c r="X374" s="16">
        <v>240806</v>
      </c>
      <c r="Y374" s="16" t="s">
        <v>1405</v>
      </c>
      <c r="Z374" s="16">
        <v>0</v>
      </c>
      <c r="AA374" s="16">
        <v>0</v>
      </c>
      <c r="AB374" s="16" t="s">
        <v>1405</v>
      </c>
      <c r="AC374" s="16" t="s">
        <v>1405</v>
      </c>
      <c r="AD374" s="16">
        <v>0</v>
      </c>
      <c r="AE374" s="16" t="s">
        <v>1405</v>
      </c>
      <c r="AF374" s="16" t="s">
        <v>1405</v>
      </c>
    </row>
    <row r="375" spans="1:32" x14ac:dyDescent="0.2">
      <c r="A375" s="3" t="s">
        <v>2231</v>
      </c>
      <c r="B375" s="12" t="s">
        <v>1497</v>
      </c>
      <c r="C375" s="6">
        <v>374</v>
      </c>
      <c r="D375" s="12">
        <v>124</v>
      </c>
      <c r="E375" s="12" t="s">
        <v>1444</v>
      </c>
      <c r="F375" s="12" t="s">
        <v>1445</v>
      </c>
      <c r="G375" s="12" t="s">
        <v>1446</v>
      </c>
      <c r="H375" s="12" t="s">
        <v>67</v>
      </c>
      <c r="I375" s="12" t="s">
        <v>1413</v>
      </c>
      <c r="J375" s="12" t="s">
        <v>1403</v>
      </c>
      <c r="K375" s="17" t="s">
        <v>1546</v>
      </c>
      <c r="L375" s="13" t="s">
        <v>1511</v>
      </c>
      <c r="M375" s="13" t="s">
        <v>1544</v>
      </c>
      <c r="N375" s="13" t="s">
        <v>1450</v>
      </c>
      <c r="O375" s="13" t="s">
        <v>1532</v>
      </c>
      <c r="P375" s="13" t="s">
        <v>1451</v>
      </c>
      <c r="Q375" s="13" t="s">
        <v>1398</v>
      </c>
      <c r="R375" s="13">
        <v>2</v>
      </c>
      <c r="S375" s="13" t="s">
        <v>1453</v>
      </c>
      <c r="T375" s="13" t="s">
        <v>1454</v>
      </c>
      <c r="U375" s="13" t="s">
        <v>1406</v>
      </c>
      <c r="V375" s="13">
        <v>13</v>
      </c>
      <c r="W375" s="13" t="b">
        <v>1</v>
      </c>
      <c r="X375" s="13">
        <v>240806</v>
      </c>
      <c r="Y375" s="13" t="s">
        <v>1405</v>
      </c>
      <c r="Z375" s="13">
        <v>0</v>
      </c>
      <c r="AA375" s="13">
        <v>0</v>
      </c>
      <c r="AB375" s="13" t="s">
        <v>1405</v>
      </c>
      <c r="AC375" s="13" t="s">
        <v>1405</v>
      </c>
      <c r="AD375" s="13">
        <v>0</v>
      </c>
      <c r="AE375" s="13" t="s">
        <v>1405</v>
      </c>
      <c r="AF375" s="13" t="s">
        <v>1405</v>
      </c>
    </row>
    <row r="376" spans="1:32" x14ac:dyDescent="0.2">
      <c r="A376" s="3" t="s">
        <v>2232</v>
      </c>
      <c r="B376" s="14" t="s">
        <v>1497</v>
      </c>
      <c r="C376" s="6">
        <v>375</v>
      </c>
      <c r="D376" s="14">
        <v>124</v>
      </c>
      <c r="E376" s="14" t="s">
        <v>1457</v>
      </c>
      <c r="F376" s="15" t="s">
        <v>1445</v>
      </c>
      <c r="G376" s="14" t="s">
        <v>1458</v>
      </c>
      <c r="H376" s="14" t="s">
        <v>67</v>
      </c>
      <c r="I376" s="14" t="s">
        <v>1411</v>
      </c>
      <c r="J376" s="14" t="s">
        <v>1403</v>
      </c>
      <c r="K376" s="17" t="s">
        <v>1547</v>
      </c>
      <c r="L376" s="16" t="s">
        <v>1511</v>
      </c>
      <c r="M376" s="16" t="s">
        <v>1544</v>
      </c>
      <c r="N376" s="16" t="s">
        <v>1450</v>
      </c>
      <c r="O376" s="16" t="s">
        <v>1532</v>
      </c>
      <c r="P376" s="16" t="s">
        <v>1451</v>
      </c>
      <c r="Q376" s="16" t="s">
        <v>1398</v>
      </c>
      <c r="R376" s="16">
        <v>2</v>
      </c>
      <c r="S376" s="16" t="s">
        <v>1453</v>
      </c>
      <c r="T376" s="16" t="s">
        <v>1454</v>
      </c>
      <c r="U376" s="16" t="s">
        <v>1406</v>
      </c>
      <c r="V376" s="16">
        <v>13</v>
      </c>
      <c r="W376" s="16" t="b">
        <v>1</v>
      </c>
      <c r="X376" s="16">
        <v>240806</v>
      </c>
      <c r="Y376" s="16" t="s">
        <v>1405</v>
      </c>
      <c r="Z376" s="16">
        <v>0</v>
      </c>
      <c r="AA376" s="16">
        <v>0</v>
      </c>
      <c r="AB376" s="16" t="s">
        <v>1405</v>
      </c>
      <c r="AC376" s="16" t="s">
        <v>1405</v>
      </c>
      <c r="AD376" s="16">
        <v>0</v>
      </c>
      <c r="AE376" s="16" t="s">
        <v>1405</v>
      </c>
      <c r="AF376" s="16" t="s">
        <v>1405</v>
      </c>
    </row>
    <row r="377" spans="1:32" x14ac:dyDescent="0.2">
      <c r="A377" s="3" t="s">
        <v>2233</v>
      </c>
      <c r="B377" s="12" t="s">
        <v>1497</v>
      </c>
      <c r="C377" s="6">
        <v>376</v>
      </c>
      <c r="D377" s="12">
        <v>125</v>
      </c>
      <c r="E377" s="12" t="s">
        <v>1444</v>
      </c>
      <c r="F377" s="12" t="s">
        <v>1445</v>
      </c>
      <c r="G377" s="12" t="s">
        <v>1446</v>
      </c>
      <c r="H377" s="12" t="s">
        <v>68</v>
      </c>
      <c r="I377" s="12" t="s">
        <v>1413</v>
      </c>
      <c r="J377" s="12" t="s">
        <v>1403</v>
      </c>
      <c r="K377" s="17" t="s">
        <v>1548</v>
      </c>
      <c r="L377" s="13" t="s">
        <v>1511</v>
      </c>
      <c r="M377" s="13" t="s">
        <v>1544</v>
      </c>
      <c r="N377" s="13" t="s">
        <v>1450</v>
      </c>
      <c r="O377" s="13" t="s">
        <v>1532</v>
      </c>
      <c r="P377" s="13" t="s">
        <v>1451</v>
      </c>
      <c r="Q377" s="13" t="s">
        <v>1399</v>
      </c>
      <c r="R377" s="13">
        <v>3</v>
      </c>
      <c r="S377" s="13" t="s">
        <v>1453</v>
      </c>
      <c r="T377" s="13" t="s">
        <v>1454</v>
      </c>
      <c r="U377" s="13" t="s">
        <v>1406</v>
      </c>
      <c r="V377" s="13">
        <v>13</v>
      </c>
      <c r="W377" s="13" t="b">
        <v>1</v>
      </c>
      <c r="X377" s="13">
        <v>240806</v>
      </c>
      <c r="Y377" s="13" t="s">
        <v>1405</v>
      </c>
      <c r="Z377" s="13">
        <v>0</v>
      </c>
      <c r="AA377" s="13">
        <v>0</v>
      </c>
      <c r="AB377" s="13" t="s">
        <v>1405</v>
      </c>
      <c r="AC377" s="13" t="s">
        <v>1405</v>
      </c>
      <c r="AD377" s="13">
        <v>0</v>
      </c>
      <c r="AE377" s="13" t="s">
        <v>1405</v>
      </c>
      <c r="AF377" s="13" t="s">
        <v>1405</v>
      </c>
    </row>
    <row r="378" spans="1:32" x14ac:dyDescent="0.2">
      <c r="A378" s="3" t="s">
        <v>2234</v>
      </c>
      <c r="B378" s="14" t="s">
        <v>1497</v>
      </c>
      <c r="C378" s="6">
        <v>377</v>
      </c>
      <c r="D378" s="14">
        <v>125</v>
      </c>
      <c r="E378" s="14" t="s">
        <v>1457</v>
      </c>
      <c r="F378" s="15" t="s">
        <v>1445</v>
      </c>
      <c r="G378" s="14" t="s">
        <v>1458</v>
      </c>
      <c r="H378" s="14" t="s">
        <v>68</v>
      </c>
      <c r="I378" s="14" t="s">
        <v>1411</v>
      </c>
      <c r="J378" s="14" t="s">
        <v>1403</v>
      </c>
      <c r="K378" s="17" t="s">
        <v>1549</v>
      </c>
      <c r="L378" s="16" t="s">
        <v>1511</v>
      </c>
      <c r="M378" s="16" t="s">
        <v>1544</v>
      </c>
      <c r="N378" s="16" t="s">
        <v>1450</v>
      </c>
      <c r="O378" s="16" t="s">
        <v>1532</v>
      </c>
      <c r="P378" s="16" t="s">
        <v>1451</v>
      </c>
      <c r="Q378" s="16" t="s">
        <v>1399</v>
      </c>
      <c r="R378" s="16">
        <v>3</v>
      </c>
      <c r="S378" s="16" t="s">
        <v>1453</v>
      </c>
      <c r="T378" s="16" t="s">
        <v>1454</v>
      </c>
      <c r="U378" s="16" t="s">
        <v>1406</v>
      </c>
      <c r="V378" s="16">
        <v>13</v>
      </c>
      <c r="W378" s="16" t="b">
        <v>1</v>
      </c>
      <c r="X378" s="16">
        <v>240806</v>
      </c>
      <c r="Y378" s="16" t="s">
        <v>1405</v>
      </c>
      <c r="Z378" s="16">
        <v>0</v>
      </c>
      <c r="AA378" s="16">
        <v>0</v>
      </c>
      <c r="AB378" s="16" t="s">
        <v>1405</v>
      </c>
      <c r="AC378" s="16" t="s">
        <v>1405</v>
      </c>
      <c r="AD378" s="16">
        <v>0</v>
      </c>
      <c r="AE378" s="16" t="s">
        <v>1405</v>
      </c>
      <c r="AF378" s="16" t="s">
        <v>1405</v>
      </c>
    </row>
    <row r="379" spans="1:32" x14ac:dyDescent="0.2">
      <c r="A379" s="3" t="s">
        <v>2235</v>
      </c>
      <c r="B379" s="12" t="s">
        <v>1497</v>
      </c>
      <c r="C379" s="6">
        <v>378</v>
      </c>
      <c r="D379" s="12">
        <v>126</v>
      </c>
      <c r="E379" s="12" t="s">
        <v>1444</v>
      </c>
      <c r="F379" s="12" t="s">
        <v>1445</v>
      </c>
      <c r="G379" s="12" t="s">
        <v>1446</v>
      </c>
      <c r="H379" s="12" t="s">
        <v>69</v>
      </c>
      <c r="I379" s="12" t="s">
        <v>1413</v>
      </c>
      <c r="J379" s="12" t="s">
        <v>1403</v>
      </c>
      <c r="K379" s="17" t="s">
        <v>1550</v>
      </c>
      <c r="L379" s="13" t="s">
        <v>1511</v>
      </c>
      <c r="M379" s="13" t="s">
        <v>1544</v>
      </c>
      <c r="N379" s="13" t="s">
        <v>1450</v>
      </c>
      <c r="O379" s="13" t="s">
        <v>1532</v>
      </c>
      <c r="P379" s="13" t="s">
        <v>1451</v>
      </c>
      <c r="Q379" s="13" t="s">
        <v>1400</v>
      </c>
      <c r="R379" s="13">
        <v>4</v>
      </c>
      <c r="S379" s="13" t="s">
        <v>1453</v>
      </c>
      <c r="T379" s="13" t="s">
        <v>1454</v>
      </c>
      <c r="U379" s="13" t="s">
        <v>1406</v>
      </c>
      <c r="V379" s="13">
        <v>13</v>
      </c>
      <c r="W379" s="13" t="b">
        <v>1</v>
      </c>
      <c r="X379" s="13">
        <v>240806</v>
      </c>
      <c r="Y379" s="13" t="s">
        <v>1405</v>
      </c>
      <c r="Z379" s="13">
        <v>0</v>
      </c>
      <c r="AA379" s="13">
        <v>0</v>
      </c>
      <c r="AB379" s="13" t="s">
        <v>1405</v>
      </c>
      <c r="AC379" s="13" t="s">
        <v>1405</v>
      </c>
      <c r="AD379" s="13">
        <v>0</v>
      </c>
      <c r="AE379" s="13" t="s">
        <v>1405</v>
      </c>
      <c r="AF379" s="13" t="s">
        <v>1405</v>
      </c>
    </row>
    <row r="380" spans="1:32" x14ac:dyDescent="0.2">
      <c r="A380" s="3" t="s">
        <v>2236</v>
      </c>
      <c r="B380" s="14" t="s">
        <v>1497</v>
      </c>
      <c r="C380" s="6">
        <v>379</v>
      </c>
      <c r="D380" s="14">
        <v>126</v>
      </c>
      <c r="E380" s="14" t="s">
        <v>1457</v>
      </c>
      <c r="F380" s="15" t="s">
        <v>1445</v>
      </c>
      <c r="G380" s="14" t="s">
        <v>1458</v>
      </c>
      <c r="H380" s="14" t="s">
        <v>69</v>
      </c>
      <c r="I380" s="14" t="s">
        <v>1411</v>
      </c>
      <c r="J380" s="14" t="s">
        <v>1403</v>
      </c>
      <c r="K380" s="17" t="s">
        <v>1551</v>
      </c>
      <c r="L380" s="16" t="s">
        <v>1511</v>
      </c>
      <c r="M380" s="16" t="s">
        <v>1544</v>
      </c>
      <c r="N380" s="16" t="s">
        <v>1450</v>
      </c>
      <c r="O380" s="16" t="s">
        <v>1532</v>
      </c>
      <c r="P380" s="16" t="s">
        <v>1451</v>
      </c>
      <c r="Q380" s="16" t="s">
        <v>1400</v>
      </c>
      <c r="R380" s="16">
        <v>4</v>
      </c>
      <c r="S380" s="16" t="s">
        <v>1453</v>
      </c>
      <c r="T380" s="16" t="s">
        <v>1454</v>
      </c>
      <c r="U380" s="16" t="s">
        <v>1406</v>
      </c>
      <c r="V380" s="16">
        <v>13</v>
      </c>
      <c r="W380" s="16" t="b">
        <v>1</v>
      </c>
      <c r="X380" s="16">
        <v>240806</v>
      </c>
      <c r="Y380" s="16" t="s">
        <v>1405</v>
      </c>
      <c r="Z380" s="16">
        <v>0</v>
      </c>
      <c r="AA380" s="16">
        <v>0</v>
      </c>
      <c r="AB380" s="16" t="s">
        <v>1405</v>
      </c>
      <c r="AC380" s="16" t="s">
        <v>1405</v>
      </c>
      <c r="AD380" s="16">
        <v>0</v>
      </c>
      <c r="AE380" s="16" t="s">
        <v>1405</v>
      </c>
      <c r="AF380" s="16" t="s">
        <v>1405</v>
      </c>
    </row>
    <row r="381" spans="1:32" x14ac:dyDescent="0.2">
      <c r="A381" s="3" t="s">
        <v>2237</v>
      </c>
      <c r="B381" s="12" t="s">
        <v>1497</v>
      </c>
      <c r="C381" s="6">
        <v>380</v>
      </c>
      <c r="D381" s="12">
        <v>127</v>
      </c>
      <c r="E381" s="12" t="s">
        <v>1444</v>
      </c>
      <c r="F381" s="12" t="s">
        <v>1445</v>
      </c>
      <c r="G381" s="12" t="s">
        <v>1446</v>
      </c>
      <c r="H381" s="12" t="s">
        <v>70</v>
      </c>
      <c r="I381" s="12" t="s">
        <v>1413</v>
      </c>
      <c r="J381" s="12" t="s">
        <v>1403</v>
      </c>
      <c r="K381" s="17" t="s">
        <v>1552</v>
      </c>
      <c r="L381" s="13" t="s">
        <v>1511</v>
      </c>
      <c r="M381" s="13" t="s">
        <v>1544</v>
      </c>
      <c r="N381" s="13" t="s">
        <v>1450</v>
      </c>
      <c r="O381" s="13" t="s">
        <v>1532</v>
      </c>
      <c r="P381" s="13" t="s">
        <v>1451</v>
      </c>
      <c r="Q381" s="13" t="s">
        <v>1541</v>
      </c>
      <c r="R381" s="13">
        <v>5</v>
      </c>
      <c r="S381" s="13" t="s">
        <v>1453</v>
      </c>
      <c r="T381" s="13" t="s">
        <v>1454</v>
      </c>
      <c r="U381" s="13" t="s">
        <v>1406</v>
      </c>
      <c r="V381" s="13">
        <v>13</v>
      </c>
      <c r="W381" s="13" t="b">
        <v>1</v>
      </c>
      <c r="X381" s="13">
        <v>240806</v>
      </c>
      <c r="Y381" s="13" t="s">
        <v>1405</v>
      </c>
      <c r="Z381" s="13">
        <v>0</v>
      </c>
      <c r="AA381" s="13">
        <v>0</v>
      </c>
      <c r="AB381" s="13" t="s">
        <v>1405</v>
      </c>
      <c r="AC381" s="13" t="s">
        <v>1405</v>
      </c>
      <c r="AD381" s="13">
        <v>0</v>
      </c>
      <c r="AE381" s="13" t="s">
        <v>1405</v>
      </c>
      <c r="AF381" s="13" t="s">
        <v>1405</v>
      </c>
    </row>
    <row r="382" spans="1:32" x14ac:dyDescent="0.2">
      <c r="A382" s="3" t="s">
        <v>2238</v>
      </c>
      <c r="B382" s="14" t="s">
        <v>1497</v>
      </c>
      <c r="C382" s="6">
        <v>381</v>
      </c>
      <c r="D382" s="14">
        <v>127</v>
      </c>
      <c r="E382" s="14" t="s">
        <v>1457</v>
      </c>
      <c r="F382" s="15" t="s">
        <v>1445</v>
      </c>
      <c r="G382" s="14" t="s">
        <v>1458</v>
      </c>
      <c r="H382" s="14" t="s">
        <v>70</v>
      </c>
      <c r="I382" s="14" t="s">
        <v>1411</v>
      </c>
      <c r="J382" s="14" t="s">
        <v>1403</v>
      </c>
      <c r="K382" s="17" t="s">
        <v>1553</v>
      </c>
      <c r="L382" s="16" t="s">
        <v>1511</v>
      </c>
      <c r="M382" s="16" t="s">
        <v>1544</v>
      </c>
      <c r="N382" s="16" t="s">
        <v>1450</v>
      </c>
      <c r="O382" s="16" t="s">
        <v>1532</v>
      </c>
      <c r="P382" s="16" t="s">
        <v>1451</v>
      </c>
      <c r="Q382" s="16" t="s">
        <v>1541</v>
      </c>
      <c r="R382" s="16">
        <v>5</v>
      </c>
      <c r="S382" s="16" t="s">
        <v>1453</v>
      </c>
      <c r="T382" s="16" t="s">
        <v>1454</v>
      </c>
      <c r="U382" s="16" t="s">
        <v>1406</v>
      </c>
      <c r="V382" s="16">
        <v>13</v>
      </c>
      <c r="W382" s="16" t="b">
        <v>1</v>
      </c>
      <c r="X382" s="16">
        <v>240806</v>
      </c>
      <c r="Y382" s="16" t="s">
        <v>1405</v>
      </c>
      <c r="Z382" s="16">
        <v>0</v>
      </c>
      <c r="AA382" s="16">
        <v>0</v>
      </c>
      <c r="AB382" s="16" t="s">
        <v>1405</v>
      </c>
      <c r="AC382" s="16" t="s">
        <v>1405</v>
      </c>
      <c r="AD382" s="16">
        <v>0</v>
      </c>
      <c r="AE382" s="16" t="s">
        <v>1405</v>
      </c>
      <c r="AF382" s="16" t="s">
        <v>1405</v>
      </c>
    </row>
    <row r="383" spans="1:32" x14ac:dyDescent="0.2">
      <c r="A383" s="3" t="s">
        <v>2239</v>
      </c>
      <c r="B383" s="12" t="s">
        <v>1497</v>
      </c>
      <c r="C383" s="6">
        <v>382</v>
      </c>
      <c r="D383" s="12">
        <v>128</v>
      </c>
      <c r="E383" s="12" t="s">
        <v>1444</v>
      </c>
      <c r="F383" s="12" t="s">
        <v>1445</v>
      </c>
      <c r="G383" s="12" t="s">
        <v>1446</v>
      </c>
      <c r="H383" s="12" t="s">
        <v>71</v>
      </c>
      <c r="I383" s="12" t="s">
        <v>1413</v>
      </c>
      <c r="J383" s="12" t="s">
        <v>1403</v>
      </c>
      <c r="K383" s="17" t="s">
        <v>1554</v>
      </c>
      <c r="L383" s="13" t="s">
        <v>1521</v>
      </c>
      <c r="M383" s="13" t="s">
        <v>1555</v>
      </c>
      <c r="N383" s="13" t="s">
        <v>1450</v>
      </c>
      <c r="O383" s="13" t="s">
        <v>1532</v>
      </c>
      <c r="P383" s="13" t="s">
        <v>1451</v>
      </c>
      <c r="Q383" s="13" t="s">
        <v>1396</v>
      </c>
      <c r="R383" s="13">
        <v>1</v>
      </c>
      <c r="S383" s="13" t="s">
        <v>1453</v>
      </c>
      <c r="T383" s="13" t="s">
        <v>1454</v>
      </c>
      <c r="U383" s="13" t="s">
        <v>1406</v>
      </c>
      <c r="V383" s="13">
        <v>13</v>
      </c>
      <c r="W383" s="13" t="b">
        <v>1</v>
      </c>
      <c r="X383" s="13">
        <v>240806</v>
      </c>
      <c r="Y383" s="13" t="s">
        <v>1405</v>
      </c>
      <c r="Z383" s="13">
        <v>0</v>
      </c>
      <c r="AA383" s="13">
        <v>0</v>
      </c>
      <c r="AB383" s="13" t="s">
        <v>1405</v>
      </c>
      <c r="AC383" s="13" t="s">
        <v>1405</v>
      </c>
      <c r="AD383" s="13">
        <v>0</v>
      </c>
      <c r="AE383" s="13" t="s">
        <v>1405</v>
      </c>
      <c r="AF383" s="13" t="s">
        <v>1405</v>
      </c>
    </row>
    <row r="384" spans="1:32" x14ac:dyDescent="0.2">
      <c r="A384" s="3" t="s">
        <v>2240</v>
      </c>
      <c r="B384" s="14" t="s">
        <v>1497</v>
      </c>
      <c r="C384" s="6">
        <v>383</v>
      </c>
      <c r="D384" s="14">
        <v>128</v>
      </c>
      <c r="E384" s="14" t="s">
        <v>1457</v>
      </c>
      <c r="F384" s="15" t="s">
        <v>1445</v>
      </c>
      <c r="G384" s="14" t="s">
        <v>1458</v>
      </c>
      <c r="H384" s="14" t="s">
        <v>71</v>
      </c>
      <c r="I384" s="14" t="s">
        <v>1411</v>
      </c>
      <c r="J384" s="14" t="s">
        <v>1403</v>
      </c>
      <c r="K384" s="17" t="s">
        <v>1556</v>
      </c>
      <c r="L384" s="16" t="s">
        <v>1521</v>
      </c>
      <c r="M384" s="16" t="s">
        <v>1555</v>
      </c>
      <c r="N384" s="16" t="s">
        <v>1450</v>
      </c>
      <c r="O384" s="16" t="s">
        <v>1532</v>
      </c>
      <c r="P384" s="16" t="s">
        <v>1451</v>
      </c>
      <c r="Q384" s="16" t="s">
        <v>1396</v>
      </c>
      <c r="R384" s="16">
        <v>1</v>
      </c>
      <c r="S384" s="16" t="s">
        <v>1453</v>
      </c>
      <c r="T384" s="16" t="s">
        <v>1454</v>
      </c>
      <c r="U384" s="16" t="s">
        <v>1406</v>
      </c>
      <c r="V384" s="16">
        <v>13</v>
      </c>
      <c r="W384" s="16" t="b">
        <v>1</v>
      </c>
      <c r="X384" s="16">
        <v>240806</v>
      </c>
      <c r="Y384" s="16" t="s">
        <v>1405</v>
      </c>
      <c r="Z384" s="16">
        <v>0</v>
      </c>
      <c r="AA384" s="16">
        <v>0</v>
      </c>
      <c r="AB384" s="16" t="s">
        <v>1405</v>
      </c>
      <c r="AC384" s="16" t="s">
        <v>1405</v>
      </c>
      <c r="AD384" s="16">
        <v>0</v>
      </c>
      <c r="AE384" s="16" t="s">
        <v>1405</v>
      </c>
      <c r="AF384" s="16" t="s">
        <v>1405</v>
      </c>
    </row>
    <row r="385" spans="1:32" x14ac:dyDescent="0.2">
      <c r="A385" s="3" t="s">
        <v>2241</v>
      </c>
      <c r="B385" s="12" t="s">
        <v>1497</v>
      </c>
      <c r="C385" s="6">
        <v>384</v>
      </c>
      <c r="D385" s="12">
        <v>129</v>
      </c>
      <c r="E385" s="12" t="s">
        <v>1444</v>
      </c>
      <c r="F385" s="12" t="s">
        <v>1445</v>
      </c>
      <c r="G385" s="12" t="s">
        <v>1446</v>
      </c>
      <c r="H385" s="12" t="s">
        <v>72</v>
      </c>
      <c r="I385" s="12" t="s">
        <v>1413</v>
      </c>
      <c r="J385" s="12" t="s">
        <v>1403</v>
      </c>
      <c r="K385" s="17" t="s">
        <v>1557</v>
      </c>
      <c r="L385" s="13" t="s">
        <v>1521</v>
      </c>
      <c r="M385" s="13" t="s">
        <v>1555</v>
      </c>
      <c r="N385" s="13" t="s">
        <v>1450</v>
      </c>
      <c r="O385" s="13" t="s">
        <v>1532</v>
      </c>
      <c r="P385" s="13" t="s">
        <v>1451</v>
      </c>
      <c r="Q385" s="13" t="s">
        <v>1398</v>
      </c>
      <c r="R385" s="13">
        <v>2</v>
      </c>
      <c r="S385" s="13" t="s">
        <v>1453</v>
      </c>
      <c r="T385" s="13" t="s">
        <v>1454</v>
      </c>
      <c r="U385" s="13" t="s">
        <v>1406</v>
      </c>
      <c r="V385" s="13">
        <v>13</v>
      </c>
      <c r="W385" s="13" t="b">
        <v>1</v>
      </c>
      <c r="X385" s="13">
        <v>240806</v>
      </c>
      <c r="Y385" s="13" t="s">
        <v>1405</v>
      </c>
      <c r="Z385" s="13">
        <v>0</v>
      </c>
      <c r="AA385" s="13">
        <v>0</v>
      </c>
      <c r="AB385" s="13" t="s">
        <v>1405</v>
      </c>
      <c r="AC385" s="13" t="s">
        <v>1405</v>
      </c>
      <c r="AD385" s="13">
        <v>0</v>
      </c>
      <c r="AE385" s="13" t="s">
        <v>1405</v>
      </c>
      <c r="AF385" s="13" t="s">
        <v>1405</v>
      </c>
    </row>
    <row r="386" spans="1:32" x14ac:dyDescent="0.2">
      <c r="A386" s="3" t="s">
        <v>2242</v>
      </c>
      <c r="B386" s="14" t="s">
        <v>1497</v>
      </c>
      <c r="C386" s="6">
        <v>385</v>
      </c>
      <c r="D386" s="14">
        <v>129</v>
      </c>
      <c r="E386" s="14" t="s">
        <v>1457</v>
      </c>
      <c r="F386" s="15" t="s">
        <v>1445</v>
      </c>
      <c r="G386" s="14" t="s">
        <v>1458</v>
      </c>
      <c r="H386" s="14" t="s">
        <v>72</v>
      </c>
      <c r="I386" s="14" t="s">
        <v>1411</v>
      </c>
      <c r="J386" s="14" t="s">
        <v>1403</v>
      </c>
      <c r="K386" s="17" t="s">
        <v>1558</v>
      </c>
      <c r="L386" s="16" t="s">
        <v>1521</v>
      </c>
      <c r="M386" s="16" t="s">
        <v>1555</v>
      </c>
      <c r="N386" s="16" t="s">
        <v>1450</v>
      </c>
      <c r="O386" s="16" t="s">
        <v>1532</v>
      </c>
      <c r="P386" s="16" t="s">
        <v>1451</v>
      </c>
      <c r="Q386" s="16" t="s">
        <v>1398</v>
      </c>
      <c r="R386" s="16">
        <v>2</v>
      </c>
      <c r="S386" s="16" t="s">
        <v>1453</v>
      </c>
      <c r="T386" s="16" t="s">
        <v>1454</v>
      </c>
      <c r="U386" s="16" t="s">
        <v>1406</v>
      </c>
      <c r="V386" s="16">
        <v>13</v>
      </c>
      <c r="W386" s="16" t="b">
        <v>1</v>
      </c>
      <c r="X386" s="16">
        <v>240806</v>
      </c>
      <c r="Y386" s="16" t="s">
        <v>1405</v>
      </c>
      <c r="Z386" s="16">
        <v>0</v>
      </c>
      <c r="AA386" s="16">
        <v>0</v>
      </c>
      <c r="AB386" s="16" t="s">
        <v>1405</v>
      </c>
      <c r="AC386" s="16" t="s">
        <v>1405</v>
      </c>
      <c r="AD386" s="16">
        <v>0</v>
      </c>
      <c r="AE386" s="16" t="s">
        <v>1405</v>
      </c>
      <c r="AF386" s="16" t="s">
        <v>1405</v>
      </c>
    </row>
    <row r="387" spans="1:32" x14ac:dyDescent="0.2">
      <c r="A387" s="3" t="s">
        <v>2243</v>
      </c>
      <c r="B387" s="12" t="s">
        <v>1497</v>
      </c>
      <c r="C387" s="6">
        <v>386</v>
      </c>
      <c r="D387" s="12">
        <v>130</v>
      </c>
      <c r="E387" s="12" t="s">
        <v>1444</v>
      </c>
      <c r="F387" s="12" t="s">
        <v>1445</v>
      </c>
      <c r="G387" s="12" t="s">
        <v>1446</v>
      </c>
      <c r="H387" s="12" t="s">
        <v>73</v>
      </c>
      <c r="I387" s="12" t="s">
        <v>1413</v>
      </c>
      <c r="J387" s="12" t="s">
        <v>1403</v>
      </c>
      <c r="K387" s="17" t="s">
        <v>1559</v>
      </c>
      <c r="L387" s="13" t="s">
        <v>1521</v>
      </c>
      <c r="M387" s="13" t="s">
        <v>1555</v>
      </c>
      <c r="N387" s="13" t="s">
        <v>1450</v>
      </c>
      <c r="O387" s="13" t="s">
        <v>1532</v>
      </c>
      <c r="P387" s="13" t="s">
        <v>1451</v>
      </c>
      <c r="Q387" s="13" t="s">
        <v>1399</v>
      </c>
      <c r="R387" s="13">
        <v>3</v>
      </c>
      <c r="S387" s="13" t="s">
        <v>1453</v>
      </c>
      <c r="T387" s="13" t="s">
        <v>1454</v>
      </c>
      <c r="U387" s="13" t="s">
        <v>1406</v>
      </c>
      <c r="V387" s="13">
        <v>13</v>
      </c>
      <c r="W387" s="13" t="b">
        <v>1</v>
      </c>
      <c r="X387" s="13">
        <v>240806</v>
      </c>
      <c r="Y387" s="13" t="s">
        <v>1405</v>
      </c>
      <c r="Z387" s="13">
        <v>0</v>
      </c>
      <c r="AA387" s="13">
        <v>0</v>
      </c>
      <c r="AB387" s="13" t="s">
        <v>1405</v>
      </c>
      <c r="AC387" s="13" t="s">
        <v>1405</v>
      </c>
      <c r="AD387" s="13">
        <v>0</v>
      </c>
      <c r="AE387" s="13" t="s">
        <v>1405</v>
      </c>
      <c r="AF387" s="13" t="s">
        <v>1405</v>
      </c>
    </row>
    <row r="388" spans="1:32" x14ac:dyDescent="0.2">
      <c r="A388" s="3" t="s">
        <v>2244</v>
      </c>
      <c r="B388" s="14" t="s">
        <v>1497</v>
      </c>
      <c r="C388" s="6">
        <v>387</v>
      </c>
      <c r="D388" s="14">
        <v>130</v>
      </c>
      <c r="E388" s="14" t="s">
        <v>1457</v>
      </c>
      <c r="F388" s="15" t="s">
        <v>1445</v>
      </c>
      <c r="G388" s="14" t="s">
        <v>1458</v>
      </c>
      <c r="H388" s="14" t="s">
        <v>73</v>
      </c>
      <c r="I388" s="14" t="s">
        <v>1411</v>
      </c>
      <c r="J388" s="14" t="s">
        <v>1403</v>
      </c>
      <c r="K388" s="17" t="s">
        <v>1560</v>
      </c>
      <c r="L388" s="16" t="s">
        <v>1521</v>
      </c>
      <c r="M388" s="16" t="s">
        <v>1555</v>
      </c>
      <c r="N388" s="16" t="s">
        <v>1450</v>
      </c>
      <c r="O388" s="16" t="s">
        <v>1532</v>
      </c>
      <c r="P388" s="16" t="s">
        <v>1451</v>
      </c>
      <c r="Q388" s="16" t="s">
        <v>1399</v>
      </c>
      <c r="R388" s="16">
        <v>3</v>
      </c>
      <c r="S388" s="16" t="s">
        <v>1453</v>
      </c>
      <c r="T388" s="16" t="s">
        <v>1454</v>
      </c>
      <c r="U388" s="16" t="s">
        <v>1406</v>
      </c>
      <c r="V388" s="16">
        <v>13</v>
      </c>
      <c r="W388" s="16" t="b">
        <v>1</v>
      </c>
      <c r="X388" s="16">
        <v>240806</v>
      </c>
      <c r="Y388" s="16" t="s">
        <v>1405</v>
      </c>
      <c r="Z388" s="16">
        <v>0</v>
      </c>
      <c r="AA388" s="16">
        <v>0</v>
      </c>
      <c r="AB388" s="16" t="s">
        <v>1405</v>
      </c>
      <c r="AC388" s="16" t="s">
        <v>1405</v>
      </c>
      <c r="AD388" s="16">
        <v>0</v>
      </c>
      <c r="AE388" s="16" t="s">
        <v>1405</v>
      </c>
      <c r="AF388" s="16" t="s">
        <v>1405</v>
      </c>
    </row>
    <row r="389" spans="1:32" x14ac:dyDescent="0.2">
      <c r="A389" s="3" t="s">
        <v>2245</v>
      </c>
      <c r="B389" s="12" t="s">
        <v>1497</v>
      </c>
      <c r="C389" s="6">
        <v>388</v>
      </c>
      <c r="D389" s="12">
        <v>131</v>
      </c>
      <c r="E389" s="12" t="s">
        <v>1444</v>
      </c>
      <c r="F389" s="12" t="s">
        <v>1445</v>
      </c>
      <c r="G389" s="12" t="s">
        <v>1446</v>
      </c>
      <c r="H389" s="12" t="s">
        <v>74</v>
      </c>
      <c r="I389" s="12" t="s">
        <v>1413</v>
      </c>
      <c r="J389" s="12" t="s">
        <v>1403</v>
      </c>
      <c r="K389" s="17" t="s">
        <v>1561</v>
      </c>
      <c r="L389" s="13" t="s">
        <v>1521</v>
      </c>
      <c r="M389" s="13" t="s">
        <v>1555</v>
      </c>
      <c r="N389" s="13" t="s">
        <v>1450</v>
      </c>
      <c r="O389" s="13" t="s">
        <v>1532</v>
      </c>
      <c r="P389" s="13" t="s">
        <v>1451</v>
      </c>
      <c r="Q389" s="13" t="s">
        <v>1400</v>
      </c>
      <c r="R389" s="13">
        <v>4</v>
      </c>
      <c r="S389" s="13" t="s">
        <v>1453</v>
      </c>
      <c r="T389" s="13" t="s">
        <v>1454</v>
      </c>
      <c r="U389" s="13" t="s">
        <v>1406</v>
      </c>
      <c r="V389" s="13">
        <v>13</v>
      </c>
      <c r="W389" s="13" t="b">
        <v>1</v>
      </c>
      <c r="X389" s="13">
        <v>240806</v>
      </c>
      <c r="Y389" s="13" t="s">
        <v>1405</v>
      </c>
      <c r="Z389" s="13">
        <v>0</v>
      </c>
      <c r="AA389" s="13">
        <v>0</v>
      </c>
      <c r="AB389" s="13" t="s">
        <v>1405</v>
      </c>
      <c r="AC389" s="13" t="s">
        <v>1405</v>
      </c>
      <c r="AD389" s="13">
        <v>0</v>
      </c>
      <c r="AE389" s="13" t="s">
        <v>1405</v>
      </c>
      <c r="AF389" s="13" t="s">
        <v>1405</v>
      </c>
    </row>
    <row r="390" spans="1:32" x14ac:dyDescent="0.2">
      <c r="A390" s="3" t="s">
        <v>2246</v>
      </c>
      <c r="B390" s="14" t="s">
        <v>1497</v>
      </c>
      <c r="C390" s="6">
        <v>389</v>
      </c>
      <c r="D390" s="14">
        <v>131</v>
      </c>
      <c r="E390" s="14" t="s">
        <v>1457</v>
      </c>
      <c r="F390" s="15" t="s">
        <v>1445</v>
      </c>
      <c r="G390" s="14" t="s">
        <v>1458</v>
      </c>
      <c r="H390" s="14" t="s">
        <v>74</v>
      </c>
      <c r="I390" s="14" t="s">
        <v>1411</v>
      </c>
      <c r="J390" s="14" t="s">
        <v>1403</v>
      </c>
      <c r="K390" s="17" t="s">
        <v>1562</v>
      </c>
      <c r="L390" s="16" t="s">
        <v>1521</v>
      </c>
      <c r="M390" s="16" t="s">
        <v>1555</v>
      </c>
      <c r="N390" s="16" t="s">
        <v>1450</v>
      </c>
      <c r="O390" s="16" t="s">
        <v>1532</v>
      </c>
      <c r="P390" s="16" t="s">
        <v>1451</v>
      </c>
      <c r="Q390" s="16" t="s">
        <v>1400</v>
      </c>
      <c r="R390" s="16">
        <v>4</v>
      </c>
      <c r="S390" s="16" t="s">
        <v>1453</v>
      </c>
      <c r="T390" s="16" t="s">
        <v>1454</v>
      </c>
      <c r="U390" s="16" t="s">
        <v>1406</v>
      </c>
      <c r="V390" s="16">
        <v>13</v>
      </c>
      <c r="W390" s="16" t="b">
        <v>1</v>
      </c>
      <c r="X390" s="16">
        <v>240806</v>
      </c>
      <c r="Y390" s="16" t="s">
        <v>1405</v>
      </c>
      <c r="Z390" s="16">
        <v>0</v>
      </c>
      <c r="AA390" s="16">
        <v>0</v>
      </c>
      <c r="AB390" s="16" t="s">
        <v>1405</v>
      </c>
      <c r="AC390" s="16" t="s">
        <v>1405</v>
      </c>
      <c r="AD390" s="16">
        <v>0</v>
      </c>
      <c r="AE390" s="16" t="s">
        <v>1405</v>
      </c>
      <c r="AF390" s="16" t="s">
        <v>1405</v>
      </c>
    </row>
    <row r="391" spans="1:32" x14ac:dyDescent="0.2">
      <c r="A391" s="3" t="s">
        <v>2247</v>
      </c>
      <c r="B391" s="12" t="s">
        <v>1497</v>
      </c>
      <c r="C391" s="6">
        <v>390</v>
      </c>
      <c r="D391" s="12">
        <v>132</v>
      </c>
      <c r="E391" s="12" t="s">
        <v>1444</v>
      </c>
      <c r="F391" s="12" t="s">
        <v>1445</v>
      </c>
      <c r="G391" s="12" t="s">
        <v>1446</v>
      </c>
      <c r="H391" s="12" t="s">
        <v>75</v>
      </c>
      <c r="I391" s="12" t="s">
        <v>1413</v>
      </c>
      <c r="J391" s="12" t="s">
        <v>1403</v>
      </c>
      <c r="K391" s="17" t="s">
        <v>1563</v>
      </c>
      <c r="L391" s="13" t="s">
        <v>1521</v>
      </c>
      <c r="M391" s="13" t="s">
        <v>1564</v>
      </c>
      <c r="N391" s="13" t="s">
        <v>1450</v>
      </c>
      <c r="O391" s="13" t="s">
        <v>1532</v>
      </c>
      <c r="P391" s="13" t="s">
        <v>1451</v>
      </c>
      <c r="Q391" s="13" t="s">
        <v>1396</v>
      </c>
      <c r="R391" s="13">
        <v>6</v>
      </c>
      <c r="S391" s="13" t="s">
        <v>1453</v>
      </c>
      <c r="T391" s="13" t="s">
        <v>1454</v>
      </c>
      <c r="U391" s="13" t="s">
        <v>1406</v>
      </c>
      <c r="V391" s="13">
        <v>13</v>
      </c>
      <c r="W391" s="13" t="b">
        <v>1</v>
      </c>
      <c r="X391" s="13">
        <v>240806</v>
      </c>
      <c r="Y391" s="13" t="s">
        <v>1405</v>
      </c>
      <c r="Z391" s="13">
        <v>0</v>
      </c>
      <c r="AA391" s="13">
        <v>0</v>
      </c>
      <c r="AB391" s="13" t="s">
        <v>1405</v>
      </c>
      <c r="AC391" s="13" t="s">
        <v>1405</v>
      </c>
      <c r="AD391" s="13">
        <v>0</v>
      </c>
      <c r="AE391" s="13" t="s">
        <v>1405</v>
      </c>
      <c r="AF391" s="13" t="s">
        <v>1405</v>
      </c>
    </row>
    <row r="392" spans="1:32" x14ac:dyDescent="0.2">
      <c r="A392" s="3" t="s">
        <v>2248</v>
      </c>
      <c r="B392" s="14" t="s">
        <v>1497</v>
      </c>
      <c r="C392" s="6">
        <v>391</v>
      </c>
      <c r="D392" s="14">
        <v>132</v>
      </c>
      <c r="E392" s="14" t="s">
        <v>1457</v>
      </c>
      <c r="F392" s="15" t="s">
        <v>1445</v>
      </c>
      <c r="G392" s="14" t="s">
        <v>1458</v>
      </c>
      <c r="H392" s="14" t="s">
        <v>75</v>
      </c>
      <c r="I392" s="14" t="s">
        <v>1411</v>
      </c>
      <c r="J392" s="14" t="s">
        <v>1403</v>
      </c>
      <c r="K392" s="17" t="s">
        <v>1565</v>
      </c>
      <c r="L392" s="16" t="s">
        <v>1521</v>
      </c>
      <c r="M392" s="16" t="s">
        <v>1564</v>
      </c>
      <c r="N392" s="16" t="s">
        <v>1450</v>
      </c>
      <c r="O392" s="16" t="s">
        <v>1532</v>
      </c>
      <c r="P392" s="16" t="s">
        <v>1451</v>
      </c>
      <c r="Q392" s="16" t="s">
        <v>1396</v>
      </c>
      <c r="R392" s="16">
        <v>6</v>
      </c>
      <c r="S392" s="16" t="s">
        <v>1453</v>
      </c>
      <c r="T392" s="16" t="s">
        <v>1454</v>
      </c>
      <c r="U392" s="16" t="s">
        <v>1406</v>
      </c>
      <c r="V392" s="16">
        <v>13</v>
      </c>
      <c r="W392" s="16" t="b">
        <v>1</v>
      </c>
      <c r="X392" s="16">
        <v>240806</v>
      </c>
      <c r="Y392" s="16" t="s">
        <v>1405</v>
      </c>
      <c r="Z392" s="16">
        <v>0</v>
      </c>
      <c r="AA392" s="16">
        <v>0</v>
      </c>
      <c r="AB392" s="16" t="s">
        <v>1405</v>
      </c>
      <c r="AC392" s="16" t="s">
        <v>1405</v>
      </c>
      <c r="AD392" s="16">
        <v>0</v>
      </c>
      <c r="AE392" s="16" t="s">
        <v>1405</v>
      </c>
      <c r="AF392" s="16" t="s">
        <v>1405</v>
      </c>
    </row>
    <row r="393" spans="1:32" x14ac:dyDescent="0.2">
      <c r="A393" s="3" t="s">
        <v>2249</v>
      </c>
      <c r="B393" s="12" t="s">
        <v>1497</v>
      </c>
      <c r="C393" s="6">
        <v>392</v>
      </c>
      <c r="D393" s="12">
        <v>133</v>
      </c>
      <c r="E393" s="12" t="s">
        <v>1444</v>
      </c>
      <c r="F393" s="12" t="s">
        <v>1445</v>
      </c>
      <c r="G393" s="12" t="s">
        <v>1446</v>
      </c>
      <c r="H393" s="12" t="s">
        <v>76</v>
      </c>
      <c r="I393" s="12" t="s">
        <v>1413</v>
      </c>
      <c r="J393" s="12" t="s">
        <v>1403</v>
      </c>
      <c r="K393" s="17" t="s">
        <v>1566</v>
      </c>
      <c r="L393" s="13" t="s">
        <v>1521</v>
      </c>
      <c r="M393" s="13" t="s">
        <v>1564</v>
      </c>
      <c r="N393" s="13" t="s">
        <v>1450</v>
      </c>
      <c r="O393" s="13" t="s">
        <v>1532</v>
      </c>
      <c r="P393" s="13" t="s">
        <v>1451</v>
      </c>
      <c r="Q393" s="13" t="s">
        <v>1398</v>
      </c>
      <c r="R393" s="13">
        <v>7</v>
      </c>
      <c r="S393" s="13" t="s">
        <v>1453</v>
      </c>
      <c r="T393" s="13" t="s">
        <v>1454</v>
      </c>
      <c r="U393" s="13" t="s">
        <v>1406</v>
      </c>
      <c r="V393" s="13">
        <v>13</v>
      </c>
      <c r="W393" s="13" t="b">
        <v>1</v>
      </c>
      <c r="X393" s="13">
        <v>240806</v>
      </c>
      <c r="Y393" s="13" t="s">
        <v>1405</v>
      </c>
      <c r="Z393" s="13">
        <v>0</v>
      </c>
      <c r="AA393" s="13">
        <v>0</v>
      </c>
      <c r="AB393" s="13" t="s">
        <v>1405</v>
      </c>
      <c r="AC393" s="13" t="s">
        <v>1405</v>
      </c>
      <c r="AD393" s="13">
        <v>0</v>
      </c>
      <c r="AE393" s="13" t="s">
        <v>1405</v>
      </c>
      <c r="AF393" s="13" t="s">
        <v>1405</v>
      </c>
    </row>
    <row r="394" spans="1:32" x14ac:dyDescent="0.2">
      <c r="A394" s="3" t="s">
        <v>2250</v>
      </c>
      <c r="B394" s="14" t="s">
        <v>1497</v>
      </c>
      <c r="C394" s="6">
        <v>393</v>
      </c>
      <c r="D394" s="14">
        <v>133</v>
      </c>
      <c r="E394" s="14" t="s">
        <v>1457</v>
      </c>
      <c r="F394" s="15" t="s">
        <v>1445</v>
      </c>
      <c r="G394" s="14" t="s">
        <v>1458</v>
      </c>
      <c r="H394" s="14" t="s">
        <v>76</v>
      </c>
      <c r="I394" s="14" t="s">
        <v>1411</v>
      </c>
      <c r="J394" s="14" t="s">
        <v>1403</v>
      </c>
      <c r="K394" s="17" t="s">
        <v>1567</v>
      </c>
      <c r="L394" s="16" t="s">
        <v>1521</v>
      </c>
      <c r="M394" s="16" t="s">
        <v>1564</v>
      </c>
      <c r="N394" s="16" t="s">
        <v>1450</v>
      </c>
      <c r="O394" s="16" t="s">
        <v>1532</v>
      </c>
      <c r="P394" s="16" t="s">
        <v>1451</v>
      </c>
      <c r="Q394" s="16" t="s">
        <v>1398</v>
      </c>
      <c r="R394" s="16">
        <v>7</v>
      </c>
      <c r="S394" s="16" t="s">
        <v>1453</v>
      </c>
      <c r="T394" s="16" t="s">
        <v>1454</v>
      </c>
      <c r="U394" s="16" t="s">
        <v>1406</v>
      </c>
      <c r="V394" s="16">
        <v>13</v>
      </c>
      <c r="W394" s="16" t="b">
        <v>1</v>
      </c>
      <c r="X394" s="16">
        <v>240806</v>
      </c>
      <c r="Y394" s="16" t="s">
        <v>1405</v>
      </c>
      <c r="Z394" s="16">
        <v>0</v>
      </c>
      <c r="AA394" s="16">
        <v>0</v>
      </c>
      <c r="AB394" s="16" t="s">
        <v>1405</v>
      </c>
      <c r="AC394" s="16" t="s">
        <v>1405</v>
      </c>
      <c r="AD394" s="16">
        <v>0</v>
      </c>
      <c r="AE394" s="16" t="s">
        <v>1405</v>
      </c>
      <c r="AF394" s="16" t="s">
        <v>1405</v>
      </c>
    </row>
    <row r="395" spans="1:32" x14ac:dyDescent="0.2">
      <c r="A395" s="3" t="s">
        <v>2251</v>
      </c>
      <c r="B395" s="12" t="s">
        <v>1497</v>
      </c>
      <c r="C395" s="6">
        <v>394</v>
      </c>
      <c r="D395" s="12">
        <v>134</v>
      </c>
      <c r="E395" s="12" t="s">
        <v>1444</v>
      </c>
      <c r="F395" s="12" t="s">
        <v>1445</v>
      </c>
      <c r="G395" s="12" t="s">
        <v>1446</v>
      </c>
      <c r="H395" s="12" t="s">
        <v>77</v>
      </c>
      <c r="I395" s="12" t="s">
        <v>1413</v>
      </c>
      <c r="J395" s="12" t="s">
        <v>1403</v>
      </c>
      <c r="K395" s="17" t="s">
        <v>1568</v>
      </c>
      <c r="L395" s="13" t="s">
        <v>1521</v>
      </c>
      <c r="M395" s="13" t="s">
        <v>1564</v>
      </c>
      <c r="N395" s="13" t="s">
        <v>1450</v>
      </c>
      <c r="O395" s="13" t="s">
        <v>1532</v>
      </c>
      <c r="P395" s="13" t="s">
        <v>1451</v>
      </c>
      <c r="Q395" s="13" t="s">
        <v>1399</v>
      </c>
      <c r="R395" s="13">
        <v>8</v>
      </c>
      <c r="S395" s="13" t="s">
        <v>1453</v>
      </c>
      <c r="T395" s="13" t="s">
        <v>1454</v>
      </c>
      <c r="U395" s="13" t="s">
        <v>1406</v>
      </c>
      <c r="V395" s="13">
        <v>13</v>
      </c>
      <c r="W395" s="13" t="b">
        <v>1</v>
      </c>
      <c r="X395" s="13">
        <v>240806</v>
      </c>
      <c r="Y395" s="13" t="s">
        <v>1405</v>
      </c>
      <c r="Z395" s="13">
        <v>0</v>
      </c>
      <c r="AA395" s="13">
        <v>0</v>
      </c>
      <c r="AB395" s="13" t="s">
        <v>1405</v>
      </c>
      <c r="AC395" s="13" t="s">
        <v>1405</v>
      </c>
      <c r="AD395" s="13">
        <v>0</v>
      </c>
      <c r="AE395" s="13" t="s">
        <v>1405</v>
      </c>
      <c r="AF395" s="13" t="s">
        <v>1405</v>
      </c>
    </row>
    <row r="396" spans="1:32" x14ac:dyDescent="0.2">
      <c r="A396" s="3" t="s">
        <v>2252</v>
      </c>
      <c r="B396" s="14" t="s">
        <v>1497</v>
      </c>
      <c r="C396" s="6">
        <v>395</v>
      </c>
      <c r="D396" s="14">
        <v>134</v>
      </c>
      <c r="E396" s="14" t="s">
        <v>1457</v>
      </c>
      <c r="F396" s="15" t="s">
        <v>1445</v>
      </c>
      <c r="G396" s="14" t="s">
        <v>1458</v>
      </c>
      <c r="H396" s="14" t="s">
        <v>77</v>
      </c>
      <c r="I396" s="14" t="s">
        <v>1411</v>
      </c>
      <c r="J396" s="14" t="s">
        <v>1403</v>
      </c>
      <c r="K396" s="17" t="s">
        <v>1569</v>
      </c>
      <c r="L396" s="16" t="s">
        <v>1521</v>
      </c>
      <c r="M396" s="16" t="s">
        <v>1564</v>
      </c>
      <c r="N396" s="16" t="s">
        <v>1450</v>
      </c>
      <c r="O396" s="16" t="s">
        <v>1532</v>
      </c>
      <c r="P396" s="16" t="s">
        <v>1451</v>
      </c>
      <c r="Q396" s="16" t="s">
        <v>1399</v>
      </c>
      <c r="R396" s="16">
        <v>8</v>
      </c>
      <c r="S396" s="16" t="s">
        <v>1453</v>
      </c>
      <c r="T396" s="16" t="s">
        <v>1454</v>
      </c>
      <c r="U396" s="16" t="s">
        <v>1406</v>
      </c>
      <c r="V396" s="16">
        <v>13</v>
      </c>
      <c r="W396" s="16" t="b">
        <v>1</v>
      </c>
      <c r="X396" s="16">
        <v>240806</v>
      </c>
      <c r="Y396" s="16" t="s">
        <v>1405</v>
      </c>
      <c r="Z396" s="16">
        <v>0</v>
      </c>
      <c r="AA396" s="16">
        <v>0</v>
      </c>
      <c r="AB396" s="16" t="s">
        <v>1405</v>
      </c>
      <c r="AC396" s="16" t="s">
        <v>1405</v>
      </c>
      <c r="AD396" s="16">
        <v>0</v>
      </c>
      <c r="AE396" s="16" t="s">
        <v>1405</v>
      </c>
      <c r="AF396" s="16" t="s">
        <v>1405</v>
      </c>
    </row>
    <row r="397" spans="1:32" x14ac:dyDescent="0.2">
      <c r="A397" s="3" t="s">
        <v>2253</v>
      </c>
      <c r="B397" s="12" t="s">
        <v>1497</v>
      </c>
      <c r="C397" s="6">
        <v>396</v>
      </c>
      <c r="D397" s="12">
        <v>135</v>
      </c>
      <c r="E397" s="12" t="s">
        <v>1444</v>
      </c>
      <c r="F397" s="12" t="s">
        <v>1445</v>
      </c>
      <c r="G397" s="12" t="s">
        <v>1446</v>
      </c>
      <c r="H397" s="12" t="s">
        <v>79</v>
      </c>
      <c r="I397" s="12" t="s">
        <v>1413</v>
      </c>
      <c r="J397" s="12" t="s">
        <v>1403</v>
      </c>
      <c r="K397" s="17" t="s">
        <v>1570</v>
      </c>
      <c r="L397" s="13" t="s">
        <v>1521</v>
      </c>
      <c r="M397" s="13" t="s">
        <v>1564</v>
      </c>
      <c r="N397" s="13" t="s">
        <v>1450</v>
      </c>
      <c r="O397" s="13" t="s">
        <v>1532</v>
      </c>
      <c r="P397" s="13" t="s">
        <v>1451</v>
      </c>
      <c r="Q397" s="13" t="s">
        <v>1400</v>
      </c>
      <c r="R397" s="13">
        <v>9</v>
      </c>
      <c r="S397" s="13" t="s">
        <v>1453</v>
      </c>
      <c r="T397" s="13" t="s">
        <v>1454</v>
      </c>
      <c r="U397" s="13" t="s">
        <v>1406</v>
      </c>
      <c r="V397" s="13">
        <v>13</v>
      </c>
      <c r="W397" s="13" t="b">
        <v>1</v>
      </c>
      <c r="X397" s="13">
        <v>240806</v>
      </c>
      <c r="Y397" s="13" t="s">
        <v>1405</v>
      </c>
      <c r="Z397" s="13">
        <v>0</v>
      </c>
      <c r="AA397" s="13">
        <v>0</v>
      </c>
      <c r="AB397" s="13" t="s">
        <v>1405</v>
      </c>
      <c r="AC397" s="13" t="s">
        <v>1405</v>
      </c>
      <c r="AD397" s="13">
        <v>0</v>
      </c>
      <c r="AE397" s="13" t="s">
        <v>1405</v>
      </c>
      <c r="AF397" s="13" t="s">
        <v>1405</v>
      </c>
    </row>
    <row r="398" spans="1:32" x14ac:dyDescent="0.2">
      <c r="A398" s="3" t="s">
        <v>2254</v>
      </c>
      <c r="B398" s="14" t="s">
        <v>1497</v>
      </c>
      <c r="C398" s="6">
        <v>397</v>
      </c>
      <c r="D398" s="14">
        <v>135</v>
      </c>
      <c r="E398" s="14" t="s">
        <v>1457</v>
      </c>
      <c r="F398" s="15" t="s">
        <v>1445</v>
      </c>
      <c r="G398" s="14" t="s">
        <v>1458</v>
      </c>
      <c r="H398" s="14" t="s">
        <v>79</v>
      </c>
      <c r="I398" s="14" t="s">
        <v>1411</v>
      </c>
      <c r="J398" s="14" t="s">
        <v>1403</v>
      </c>
      <c r="K398" s="17" t="s">
        <v>1571</v>
      </c>
      <c r="L398" s="16" t="s">
        <v>1521</v>
      </c>
      <c r="M398" s="16" t="s">
        <v>1564</v>
      </c>
      <c r="N398" s="16" t="s">
        <v>1450</v>
      </c>
      <c r="O398" s="16" t="s">
        <v>1532</v>
      </c>
      <c r="P398" s="16" t="s">
        <v>1451</v>
      </c>
      <c r="Q398" s="16" t="s">
        <v>1400</v>
      </c>
      <c r="R398" s="16">
        <v>9</v>
      </c>
      <c r="S398" s="16" t="s">
        <v>1453</v>
      </c>
      <c r="T398" s="16" t="s">
        <v>1454</v>
      </c>
      <c r="U398" s="16" t="s">
        <v>1406</v>
      </c>
      <c r="V398" s="16">
        <v>13</v>
      </c>
      <c r="W398" s="16" t="b">
        <v>1</v>
      </c>
      <c r="X398" s="16">
        <v>240806</v>
      </c>
      <c r="Y398" s="16" t="s">
        <v>1405</v>
      </c>
      <c r="Z398" s="16">
        <v>0</v>
      </c>
      <c r="AA398" s="16">
        <v>0</v>
      </c>
      <c r="AB398" s="16" t="s">
        <v>1405</v>
      </c>
      <c r="AC398" s="16" t="s">
        <v>1405</v>
      </c>
      <c r="AD398" s="16">
        <v>0</v>
      </c>
      <c r="AE398" s="16" t="s">
        <v>1405</v>
      </c>
      <c r="AF398" s="16" t="s">
        <v>1405</v>
      </c>
    </row>
    <row r="399" spans="1:32" x14ac:dyDescent="0.2">
      <c r="A399" s="3" t="s">
        <v>2255</v>
      </c>
      <c r="B399" s="12" t="s">
        <v>1497</v>
      </c>
      <c r="C399" s="6">
        <v>398</v>
      </c>
      <c r="D399" s="12">
        <v>136</v>
      </c>
      <c r="E399" s="12" t="s">
        <v>1444</v>
      </c>
      <c r="F399" s="12" t="s">
        <v>1445</v>
      </c>
      <c r="G399" s="12" t="s">
        <v>1446</v>
      </c>
      <c r="H399" s="12" t="s">
        <v>80</v>
      </c>
      <c r="I399" s="12" t="s">
        <v>1413</v>
      </c>
      <c r="J399" s="12" t="s">
        <v>1403</v>
      </c>
      <c r="K399" s="17" t="s">
        <v>1572</v>
      </c>
      <c r="L399" s="13" t="s">
        <v>1521</v>
      </c>
      <c r="M399" s="13" t="s">
        <v>1564</v>
      </c>
      <c r="N399" s="13" t="s">
        <v>1450</v>
      </c>
      <c r="O399" s="13" t="s">
        <v>1532</v>
      </c>
      <c r="P399" s="13" t="s">
        <v>1451</v>
      </c>
      <c r="Q399" s="13" t="s">
        <v>1541</v>
      </c>
      <c r="R399" s="13">
        <v>10</v>
      </c>
      <c r="S399" s="13" t="s">
        <v>1453</v>
      </c>
      <c r="T399" s="13" t="s">
        <v>1454</v>
      </c>
      <c r="U399" s="13" t="s">
        <v>1406</v>
      </c>
      <c r="V399" s="13">
        <v>13</v>
      </c>
      <c r="W399" s="13" t="b">
        <v>1</v>
      </c>
      <c r="X399" s="13">
        <v>240806</v>
      </c>
      <c r="Y399" s="13" t="s">
        <v>1405</v>
      </c>
      <c r="Z399" s="13">
        <v>0</v>
      </c>
      <c r="AA399" s="13">
        <v>0</v>
      </c>
      <c r="AB399" s="13" t="s">
        <v>1405</v>
      </c>
      <c r="AC399" s="13" t="s">
        <v>1405</v>
      </c>
      <c r="AD399" s="13">
        <v>0</v>
      </c>
      <c r="AE399" s="13" t="s">
        <v>1405</v>
      </c>
      <c r="AF399" s="13" t="s">
        <v>1405</v>
      </c>
    </row>
    <row r="400" spans="1:32" x14ac:dyDescent="0.2">
      <c r="A400" s="3" t="s">
        <v>2256</v>
      </c>
      <c r="B400" s="14" t="s">
        <v>1497</v>
      </c>
      <c r="C400" s="6">
        <v>399</v>
      </c>
      <c r="D400" s="14">
        <v>136</v>
      </c>
      <c r="E400" s="14" t="s">
        <v>1457</v>
      </c>
      <c r="F400" s="15" t="s">
        <v>1445</v>
      </c>
      <c r="G400" s="14" t="s">
        <v>1458</v>
      </c>
      <c r="H400" s="14" t="s">
        <v>80</v>
      </c>
      <c r="I400" s="14" t="s">
        <v>1411</v>
      </c>
      <c r="J400" s="14" t="s">
        <v>1403</v>
      </c>
      <c r="K400" s="17" t="s">
        <v>1573</v>
      </c>
      <c r="L400" s="16" t="s">
        <v>1521</v>
      </c>
      <c r="M400" s="16" t="s">
        <v>1564</v>
      </c>
      <c r="N400" s="16" t="s">
        <v>1450</v>
      </c>
      <c r="O400" s="16" t="s">
        <v>1532</v>
      </c>
      <c r="P400" s="16" t="s">
        <v>1451</v>
      </c>
      <c r="Q400" s="16" t="s">
        <v>1541</v>
      </c>
      <c r="R400" s="16">
        <v>10</v>
      </c>
      <c r="S400" s="16" t="s">
        <v>1453</v>
      </c>
      <c r="T400" s="16" t="s">
        <v>1454</v>
      </c>
      <c r="U400" s="16" t="s">
        <v>1406</v>
      </c>
      <c r="V400" s="16">
        <v>13</v>
      </c>
      <c r="W400" s="16" t="b">
        <v>1</v>
      </c>
      <c r="X400" s="16">
        <v>240806</v>
      </c>
      <c r="Y400" s="16" t="s">
        <v>1405</v>
      </c>
      <c r="Z400" s="16">
        <v>0</v>
      </c>
      <c r="AA400" s="16">
        <v>0</v>
      </c>
      <c r="AB400" s="16" t="s">
        <v>1405</v>
      </c>
      <c r="AC400" s="16" t="s">
        <v>1405</v>
      </c>
      <c r="AD400" s="16">
        <v>0</v>
      </c>
      <c r="AE400" s="16" t="s">
        <v>1405</v>
      </c>
      <c r="AF400" s="16" t="s">
        <v>1405</v>
      </c>
    </row>
    <row r="401" spans="1:32" x14ac:dyDescent="0.2">
      <c r="A401" s="3" t="s">
        <v>2257</v>
      </c>
      <c r="B401" s="12" t="s">
        <v>1497</v>
      </c>
      <c r="C401" s="6">
        <v>400</v>
      </c>
      <c r="D401" s="12">
        <v>137</v>
      </c>
      <c r="E401" s="12" t="s">
        <v>1444</v>
      </c>
      <c r="F401" s="12" t="s">
        <v>1445</v>
      </c>
      <c r="G401" s="12" t="s">
        <v>1446</v>
      </c>
      <c r="H401" s="12" t="s">
        <v>81</v>
      </c>
      <c r="I401" s="12" t="s">
        <v>1413</v>
      </c>
      <c r="J401" s="12" t="s">
        <v>1403</v>
      </c>
      <c r="K401" s="17" t="s">
        <v>1574</v>
      </c>
      <c r="L401" s="13" t="s">
        <v>1521</v>
      </c>
      <c r="M401" s="13" t="s">
        <v>1575</v>
      </c>
      <c r="N401" s="13" t="s">
        <v>1450</v>
      </c>
      <c r="O401" s="13" t="s">
        <v>1532</v>
      </c>
      <c r="P401" s="13" t="s">
        <v>1451</v>
      </c>
      <c r="Q401" s="13" t="s">
        <v>1396</v>
      </c>
      <c r="R401" s="13">
        <v>11</v>
      </c>
      <c r="S401" s="13" t="s">
        <v>1453</v>
      </c>
      <c r="T401" s="13" t="s">
        <v>1454</v>
      </c>
      <c r="U401" s="13" t="s">
        <v>1406</v>
      </c>
      <c r="V401" s="13">
        <v>13</v>
      </c>
      <c r="W401" s="13" t="b">
        <v>1</v>
      </c>
      <c r="X401" s="13">
        <v>240806</v>
      </c>
      <c r="Y401" s="13" t="s">
        <v>1405</v>
      </c>
      <c r="Z401" s="13">
        <v>0</v>
      </c>
      <c r="AA401" s="13">
        <v>0</v>
      </c>
      <c r="AB401" s="13" t="s">
        <v>1405</v>
      </c>
      <c r="AC401" s="13" t="s">
        <v>1405</v>
      </c>
      <c r="AD401" s="13">
        <v>0</v>
      </c>
      <c r="AE401" s="13" t="s">
        <v>1405</v>
      </c>
      <c r="AF401" s="13" t="s">
        <v>1405</v>
      </c>
    </row>
    <row r="402" spans="1:32" x14ac:dyDescent="0.2">
      <c r="A402" s="3" t="s">
        <v>2258</v>
      </c>
      <c r="B402" s="14" t="s">
        <v>1497</v>
      </c>
      <c r="C402" s="6">
        <v>401</v>
      </c>
      <c r="D402" s="14">
        <v>137</v>
      </c>
      <c r="E402" s="14" t="s">
        <v>1457</v>
      </c>
      <c r="F402" s="15" t="s">
        <v>1445</v>
      </c>
      <c r="G402" s="14" t="s">
        <v>1458</v>
      </c>
      <c r="H402" s="14" t="s">
        <v>81</v>
      </c>
      <c r="I402" s="14" t="s">
        <v>1411</v>
      </c>
      <c r="J402" s="14" t="s">
        <v>1403</v>
      </c>
      <c r="K402" s="17" t="s">
        <v>1576</v>
      </c>
      <c r="L402" s="16" t="s">
        <v>1521</v>
      </c>
      <c r="M402" s="16" t="s">
        <v>1575</v>
      </c>
      <c r="N402" s="16" t="s">
        <v>1450</v>
      </c>
      <c r="O402" s="16" t="s">
        <v>1532</v>
      </c>
      <c r="P402" s="16" t="s">
        <v>1451</v>
      </c>
      <c r="Q402" s="16" t="s">
        <v>1396</v>
      </c>
      <c r="R402" s="16">
        <v>11</v>
      </c>
      <c r="S402" s="16" t="s">
        <v>1453</v>
      </c>
      <c r="T402" s="16" t="s">
        <v>1454</v>
      </c>
      <c r="U402" s="16" t="s">
        <v>1406</v>
      </c>
      <c r="V402" s="16">
        <v>13</v>
      </c>
      <c r="W402" s="16" t="b">
        <v>1</v>
      </c>
      <c r="X402" s="16">
        <v>240806</v>
      </c>
      <c r="Y402" s="16" t="s">
        <v>1405</v>
      </c>
      <c r="Z402" s="16">
        <v>0</v>
      </c>
      <c r="AA402" s="16">
        <v>0</v>
      </c>
      <c r="AB402" s="16" t="s">
        <v>1405</v>
      </c>
      <c r="AC402" s="16" t="s">
        <v>1405</v>
      </c>
      <c r="AD402" s="16">
        <v>0</v>
      </c>
      <c r="AE402" s="16" t="s">
        <v>1405</v>
      </c>
      <c r="AF402" s="16" t="s">
        <v>1405</v>
      </c>
    </row>
    <row r="403" spans="1:32" x14ac:dyDescent="0.2">
      <c r="A403" s="3" t="s">
        <v>2259</v>
      </c>
      <c r="B403" s="12" t="s">
        <v>1497</v>
      </c>
      <c r="C403" s="6">
        <v>402</v>
      </c>
      <c r="D403" s="12">
        <v>138</v>
      </c>
      <c r="E403" s="12" t="s">
        <v>1444</v>
      </c>
      <c r="F403" s="12" t="s">
        <v>1445</v>
      </c>
      <c r="G403" s="12" t="s">
        <v>1446</v>
      </c>
      <c r="H403" s="12" t="s">
        <v>82</v>
      </c>
      <c r="I403" s="12" t="s">
        <v>1413</v>
      </c>
      <c r="J403" s="12" t="s">
        <v>1403</v>
      </c>
      <c r="K403" s="17" t="s">
        <v>1577</v>
      </c>
      <c r="L403" s="13" t="s">
        <v>1521</v>
      </c>
      <c r="M403" s="13" t="s">
        <v>1575</v>
      </c>
      <c r="N403" s="13" t="s">
        <v>1450</v>
      </c>
      <c r="O403" s="13" t="s">
        <v>1532</v>
      </c>
      <c r="P403" s="13" t="s">
        <v>1451</v>
      </c>
      <c r="Q403" s="13" t="s">
        <v>1398</v>
      </c>
      <c r="R403" s="13">
        <v>12</v>
      </c>
      <c r="S403" s="13" t="s">
        <v>1453</v>
      </c>
      <c r="T403" s="13" t="s">
        <v>1454</v>
      </c>
      <c r="U403" s="13" t="s">
        <v>1406</v>
      </c>
      <c r="V403" s="13">
        <v>13</v>
      </c>
      <c r="W403" s="13" t="b">
        <v>1</v>
      </c>
      <c r="X403" s="13">
        <v>240806</v>
      </c>
      <c r="Y403" s="13" t="s">
        <v>1405</v>
      </c>
      <c r="Z403" s="13">
        <v>0</v>
      </c>
      <c r="AA403" s="13">
        <v>0</v>
      </c>
      <c r="AB403" s="13" t="s">
        <v>1405</v>
      </c>
      <c r="AC403" s="13" t="s">
        <v>1405</v>
      </c>
      <c r="AD403" s="13">
        <v>0</v>
      </c>
      <c r="AE403" s="13" t="s">
        <v>1405</v>
      </c>
      <c r="AF403" s="13" t="s">
        <v>1405</v>
      </c>
    </row>
    <row r="404" spans="1:32" x14ac:dyDescent="0.2">
      <c r="A404" s="3" t="s">
        <v>2260</v>
      </c>
      <c r="B404" s="14" t="s">
        <v>1497</v>
      </c>
      <c r="C404" s="6">
        <v>403</v>
      </c>
      <c r="D404" s="14">
        <v>138</v>
      </c>
      <c r="E404" s="14" t="s">
        <v>1457</v>
      </c>
      <c r="F404" s="15" t="s">
        <v>1445</v>
      </c>
      <c r="G404" s="14" t="s">
        <v>1458</v>
      </c>
      <c r="H404" s="14" t="s">
        <v>82</v>
      </c>
      <c r="I404" s="14" t="s">
        <v>1411</v>
      </c>
      <c r="J404" s="14" t="s">
        <v>1403</v>
      </c>
      <c r="K404" s="17" t="s">
        <v>1578</v>
      </c>
      <c r="L404" s="16" t="s">
        <v>1521</v>
      </c>
      <c r="M404" s="16" t="s">
        <v>1575</v>
      </c>
      <c r="N404" s="16" t="s">
        <v>1450</v>
      </c>
      <c r="O404" s="16" t="s">
        <v>1532</v>
      </c>
      <c r="P404" s="16" t="s">
        <v>1451</v>
      </c>
      <c r="Q404" s="16" t="s">
        <v>1398</v>
      </c>
      <c r="R404" s="16">
        <v>12</v>
      </c>
      <c r="S404" s="16" t="s">
        <v>1453</v>
      </c>
      <c r="T404" s="16" t="s">
        <v>1454</v>
      </c>
      <c r="U404" s="16" t="s">
        <v>1406</v>
      </c>
      <c r="V404" s="16">
        <v>13</v>
      </c>
      <c r="W404" s="16" t="b">
        <v>1</v>
      </c>
      <c r="X404" s="16">
        <v>240806</v>
      </c>
      <c r="Y404" s="16" t="s">
        <v>1405</v>
      </c>
      <c r="Z404" s="16">
        <v>0</v>
      </c>
      <c r="AA404" s="16">
        <v>0</v>
      </c>
      <c r="AB404" s="16" t="s">
        <v>1405</v>
      </c>
      <c r="AC404" s="16" t="s">
        <v>1405</v>
      </c>
      <c r="AD404" s="16">
        <v>0</v>
      </c>
      <c r="AE404" s="16" t="s">
        <v>1405</v>
      </c>
      <c r="AF404" s="16" t="s">
        <v>1405</v>
      </c>
    </row>
    <row r="405" spans="1:32" x14ac:dyDescent="0.2">
      <c r="A405" s="3" t="s">
        <v>2261</v>
      </c>
      <c r="B405" s="12" t="s">
        <v>1497</v>
      </c>
      <c r="C405" s="6">
        <v>404</v>
      </c>
      <c r="D405" s="12">
        <v>139</v>
      </c>
      <c r="E405" s="12" t="s">
        <v>1444</v>
      </c>
      <c r="F405" s="12" t="s">
        <v>1445</v>
      </c>
      <c r="G405" s="12" t="s">
        <v>1446</v>
      </c>
      <c r="H405" s="12" t="s">
        <v>83</v>
      </c>
      <c r="I405" s="12" t="s">
        <v>1413</v>
      </c>
      <c r="J405" s="12" t="s">
        <v>1403</v>
      </c>
      <c r="K405" s="17" t="s">
        <v>1579</v>
      </c>
      <c r="L405" s="13" t="s">
        <v>1499</v>
      </c>
      <c r="M405" s="13" t="s">
        <v>1580</v>
      </c>
      <c r="N405" s="13" t="s">
        <v>1450</v>
      </c>
      <c r="O405" s="13" t="s">
        <v>1581</v>
      </c>
      <c r="P405" s="13" t="s">
        <v>1451</v>
      </c>
      <c r="Q405" s="13" t="s">
        <v>1396</v>
      </c>
      <c r="R405" s="13">
        <v>1</v>
      </c>
      <c r="S405" s="13" t="s">
        <v>1453</v>
      </c>
      <c r="T405" s="13" t="s">
        <v>1454</v>
      </c>
      <c r="U405" s="13" t="s">
        <v>1406</v>
      </c>
      <c r="V405" s="13">
        <v>13</v>
      </c>
      <c r="W405" s="13" t="b">
        <v>1</v>
      </c>
      <c r="X405" s="13">
        <v>240806</v>
      </c>
      <c r="Y405" s="13" t="s">
        <v>1405</v>
      </c>
      <c r="Z405" s="13">
        <v>0</v>
      </c>
      <c r="AA405" s="13">
        <v>0</v>
      </c>
      <c r="AB405" s="13" t="s">
        <v>1405</v>
      </c>
      <c r="AC405" s="13" t="s">
        <v>1405</v>
      </c>
      <c r="AD405" s="13">
        <v>0</v>
      </c>
      <c r="AE405" s="13" t="s">
        <v>1405</v>
      </c>
      <c r="AF405" s="13" t="s">
        <v>1405</v>
      </c>
    </row>
    <row r="406" spans="1:32" x14ac:dyDescent="0.2">
      <c r="A406" s="3" t="s">
        <v>2262</v>
      </c>
      <c r="B406" s="14" t="s">
        <v>1497</v>
      </c>
      <c r="C406" s="6">
        <v>405</v>
      </c>
      <c r="D406" s="14">
        <v>139</v>
      </c>
      <c r="E406" s="14" t="s">
        <v>1457</v>
      </c>
      <c r="F406" s="15" t="s">
        <v>1445</v>
      </c>
      <c r="G406" s="14" t="s">
        <v>1458</v>
      </c>
      <c r="H406" s="14" t="s">
        <v>83</v>
      </c>
      <c r="I406" s="14" t="s">
        <v>1411</v>
      </c>
      <c r="J406" s="14" t="s">
        <v>1403</v>
      </c>
      <c r="K406" s="17" t="s">
        <v>1582</v>
      </c>
      <c r="L406" s="16" t="s">
        <v>1499</v>
      </c>
      <c r="M406" s="16" t="s">
        <v>1580</v>
      </c>
      <c r="N406" s="16" t="s">
        <v>1450</v>
      </c>
      <c r="O406" s="16" t="s">
        <v>1581</v>
      </c>
      <c r="P406" s="16" t="s">
        <v>1451</v>
      </c>
      <c r="Q406" s="16" t="s">
        <v>1396</v>
      </c>
      <c r="R406" s="16">
        <v>1</v>
      </c>
      <c r="S406" s="16" t="s">
        <v>1453</v>
      </c>
      <c r="T406" s="16" t="s">
        <v>1454</v>
      </c>
      <c r="U406" s="16" t="s">
        <v>1406</v>
      </c>
      <c r="V406" s="16">
        <v>13</v>
      </c>
      <c r="W406" s="16" t="b">
        <v>1</v>
      </c>
      <c r="X406" s="16">
        <v>240806</v>
      </c>
      <c r="Y406" s="16" t="s">
        <v>1405</v>
      </c>
      <c r="Z406" s="16">
        <v>0</v>
      </c>
      <c r="AA406" s="16">
        <v>0</v>
      </c>
      <c r="AB406" s="16" t="s">
        <v>1405</v>
      </c>
      <c r="AC406" s="16" t="s">
        <v>1405</v>
      </c>
      <c r="AD406" s="16">
        <v>0</v>
      </c>
      <c r="AE406" s="16" t="s">
        <v>1405</v>
      </c>
      <c r="AF406" s="16" t="s">
        <v>1405</v>
      </c>
    </row>
    <row r="407" spans="1:32" x14ac:dyDescent="0.2">
      <c r="A407" s="3" t="s">
        <v>2263</v>
      </c>
      <c r="B407" s="12" t="s">
        <v>1497</v>
      </c>
      <c r="C407" s="6">
        <v>406</v>
      </c>
      <c r="D407" s="12">
        <v>140</v>
      </c>
      <c r="E407" s="12" t="s">
        <v>1444</v>
      </c>
      <c r="F407" s="12" t="s">
        <v>1445</v>
      </c>
      <c r="G407" s="12" t="s">
        <v>1446</v>
      </c>
      <c r="H407" s="12" t="s">
        <v>85</v>
      </c>
      <c r="I407" s="12" t="s">
        <v>1413</v>
      </c>
      <c r="J407" s="12" t="s">
        <v>1403</v>
      </c>
      <c r="K407" s="17" t="s">
        <v>1585</v>
      </c>
      <c r="L407" s="13" t="s">
        <v>1499</v>
      </c>
      <c r="M407" s="13" t="s">
        <v>1580</v>
      </c>
      <c r="N407" s="13" t="s">
        <v>1450</v>
      </c>
      <c r="O407" s="13" t="s">
        <v>1581</v>
      </c>
      <c r="P407" s="13" t="s">
        <v>1451</v>
      </c>
      <c r="Q407" s="13" t="s">
        <v>1399</v>
      </c>
      <c r="R407" s="13">
        <v>3</v>
      </c>
      <c r="S407" s="13" t="s">
        <v>1453</v>
      </c>
      <c r="T407" s="13" t="s">
        <v>1454</v>
      </c>
      <c r="U407" s="13" t="s">
        <v>1406</v>
      </c>
      <c r="V407" s="13">
        <v>13</v>
      </c>
      <c r="W407" s="13" t="b">
        <v>1</v>
      </c>
      <c r="X407" s="13">
        <v>240806</v>
      </c>
      <c r="Y407" s="13" t="s">
        <v>1405</v>
      </c>
      <c r="Z407" s="13">
        <v>0</v>
      </c>
      <c r="AA407" s="13">
        <v>0</v>
      </c>
      <c r="AB407" s="13" t="s">
        <v>1405</v>
      </c>
      <c r="AC407" s="13" t="s">
        <v>1405</v>
      </c>
      <c r="AD407" s="13">
        <v>0</v>
      </c>
      <c r="AE407" s="13" t="s">
        <v>1405</v>
      </c>
      <c r="AF407" s="13" t="s">
        <v>1405</v>
      </c>
    </row>
    <row r="408" spans="1:32" x14ac:dyDescent="0.2">
      <c r="A408" s="3" t="s">
        <v>2264</v>
      </c>
      <c r="B408" s="14" t="s">
        <v>1497</v>
      </c>
      <c r="C408" s="6">
        <v>407</v>
      </c>
      <c r="D408" s="14">
        <v>140</v>
      </c>
      <c r="E408" s="14" t="s">
        <v>1457</v>
      </c>
      <c r="F408" s="15" t="s">
        <v>1445</v>
      </c>
      <c r="G408" s="14" t="s">
        <v>1458</v>
      </c>
      <c r="H408" s="14" t="s">
        <v>85</v>
      </c>
      <c r="I408" s="14" t="s">
        <v>1411</v>
      </c>
      <c r="J408" s="14" t="s">
        <v>1403</v>
      </c>
      <c r="K408" s="17" t="s">
        <v>1586</v>
      </c>
      <c r="L408" s="16" t="s">
        <v>1499</v>
      </c>
      <c r="M408" s="16" t="s">
        <v>1580</v>
      </c>
      <c r="N408" s="16" t="s">
        <v>1450</v>
      </c>
      <c r="O408" s="16" t="s">
        <v>1581</v>
      </c>
      <c r="P408" s="16" t="s">
        <v>1451</v>
      </c>
      <c r="Q408" s="16" t="s">
        <v>1399</v>
      </c>
      <c r="R408" s="16">
        <v>3</v>
      </c>
      <c r="S408" s="16" t="s">
        <v>1453</v>
      </c>
      <c r="T408" s="16" t="s">
        <v>1454</v>
      </c>
      <c r="U408" s="16" t="s">
        <v>1406</v>
      </c>
      <c r="V408" s="16">
        <v>13</v>
      </c>
      <c r="W408" s="16" t="b">
        <v>1</v>
      </c>
      <c r="X408" s="16">
        <v>240806</v>
      </c>
      <c r="Y408" s="16" t="s">
        <v>1405</v>
      </c>
      <c r="Z408" s="16">
        <v>0</v>
      </c>
      <c r="AA408" s="16">
        <v>0</v>
      </c>
      <c r="AB408" s="16" t="s">
        <v>1405</v>
      </c>
      <c r="AC408" s="16" t="s">
        <v>1405</v>
      </c>
      <c r="AD408" s="16">
        <v>0</v>
      </c>
      <c r="AE408" s="16" t="s">
        <v>1405</v>
      </c>
      <c r="AF408" s="16" t="s">
        <v>1405</v>
      </c>
    </row>
    <row r="409" spans="1:32" x14ac:dyDescent="0.2">
      <c r="A409" s="3" t="s">
        <v>2265</v>
      </c>
      <c r="B409" s="12" t="s">
        <v>1497</v>
      </c>
      <c r="C409" s="6">
        <v>408</v>
      </c>
      <c r="D409" s="12">
        <v>141</v>
      </c>
      <c r="E409" s="12" t="s">
        <v>1444</v>
      </c>
      <c r="F409" s="12" t="s">
        <v>1445</v>
      </c>
      <c r="G409" s="12" t="s">
        <v>1446</v>
      </c>
      <c r="H409" s="12" t="s">
        <v>86</v>
      </c>
      <c r="I409" s="12" t="s">
        <v>1413</v>
      </c>
      <c r="J409" s="12" t="s">
        <v>1403</v>
      </c>
      <c r="K409" s="17" t="s">
        <v>1587</v>
      </c>
      <c r="L409" s="13" t="s">
        <v>1499</v>
      </c>
      <c r="M409" s="13" t="s">
        <v>1580</v>
      </c>
      <c r="N409" s="13" t="s">
        <v>1450</v>
      </c>
      <c r="O409" s="13" t="s">
        <v>1581</v>
      </c>
      <c r="P409" s="13" t="s">
        <v>1451</v>
      </c>
      <c r="Q409" s="13" t="s">
        <v>1400</v>
      </c>
      <c r="R409" s="13">
        <v>4</v>
      </c>
      <c r="S409" s="13" t="s">
        <v>1453</v>
      </c>
      <c r="T409" s="13" t="s">
        <v>1454</v>
      </c>
      <c r="U409" s="13" t="s">
        <v>1406</v>
      </c>
      <c r="V409" s="13">
        <v>13</v>
      </c>
      <c r="W409" s="13" t="b">
        <v>1</v>
      </c>
      <c r="X409" s="13">
        <v>240806</v>
      </c>
      <c r="Y409" s="13" t="s">
        <v>1405</v>
      </c>
      <c r="Z409" s="13">
        <v>0</v>
      </c>
      <c r="AA409" s="13">
        <v>0</v>
      </c>
      <c r="AB409" s="13" t="s">
        <v>1405</v>
      </c>
      <c r="AC409" s="13" t="s">
        <v>1405</v>
      </c>
      <c r="AD409" s="13">
        <v>0</v>
      </c>
      <c r="AE409" s="13" t="s">
        <v>1405</v>
      </c>
      <c r="AF409" s="13" t="s">
        <v>1405</v>
      </c>
    </row>
    <row r="410" spans="1:32" x14ac:dyDescent="0.2">
      <c r="A410" s="3" t="s">
        <v>2266</v>
      </c>
      <c r="B410" s="14" t="s">
        <v>1497</v>
      </c>
      <c r="C410" s="6">
        <v>409</v>
      </c>
      <c r="D410" s="14">
        <v>141</v>
      </c>
      <c r="E410" s="14" t="s">
        <v>1457</v>
      </c>
      <c r="F410" s="15" t="s">
        <v>1445</v>
      </c>
      <c r="G410" s="14" t="s">
        <v>1458</v>
      </c>
      <c r="H410" s="14" t="s">
        <v>86</v>
      </c>
      <c r="I410" s="14" t="s">
        <v>1411</v>
      </c>
      <c r="J410" s="14" t="s">
        <v>1403</v>
      </c>
      <c r="K410" s="17" t="s">
        <v>1588</v>
      </c>
      <c r="L410" s="16" t="s">
        <v>1499</v>
      </c>
      <c r="M410" s="16" t="s">
        <v>1580</v>
      </c>
      <c r="N410" s="16" t="s">
        <v>1450</v>
      </c>
      <c r="O410" s="16" t="s">
        <v>1581</v>
      </c>
      <c r="P410" s="16" t="s">
        <v>1451</v>
      </c>
      <c r="Q410" s="16" t="s">
        <v>1400</v>
      </c>
      <c r="R410" s="16">
        <v>4</v>
      </c>
      <c r="S410" s="16" t="s">
        <v>1453</v>
      </c>
      <c r="T410" s="16" t="s">
        <v>1454</v>
      </c>
      <c r="U410" s="16" t="s">
        <v>1406</v>
      </c>
      <c r="V410" s="16">
        <v>13</v>
      </c>
      <c r="W410" s="16" t="b">
        <v>1</v>
      </c>
      <c r="X410" s="16">
        <v>240806</v>
      </c>
      <c r="Y410" s="16" t="s">
        <v>1405</v>
      </c>
      <c r="Z410" s="16">
        <v>0</v>
      </c>
      <c r="AA410" s="16">
        <v>0</v>
      </c>
      <c r="AB410" s="16" t="s">
        <v>1405</v>
      </c>
      <c r="AC410" s="16" t="s">
        <v>1405</v>
      </c>
      <c r="AD410" s="16">
        <v>0</v>
      </c>
      <c r="AE410" s="16" t="s">
        <v>1405</v>
      </c>
      <c r="AF410" s="16" t="s">
        <v>1405</v>
      </c>
    </row>
    <row r="411" spans="1:32" x14ac:dyDescent="0.2">
      <c r="A411" s="3" t="s">
        <v>2267</v>
      </c>
      <c r="B411" s="12" t="s">
        <v>1497</v>
      </c>
      <c r="C411" s="6">
        <v>410</v>
      </c>
      <c r="D411" s="12">
        <v>142</v>
      </c>
      <c r="E411" s="12" t="s">
        <v>1444</v>
      </c>
      <c r="F411" s="12" t="s">
        <v>1445</v>
      </c>
      <c r="G411" s="12" t="s">
        <v>1446</v>
      </c>
      <c r="H411" s="12" t="s">
        <v>87</v>
      </c>
      <c r="I411" s="12" t="s">
        <v>1413</v>
      </c>
      <c r="J411" s="12" t="s">
        <v>1403</v>
      </c>
      <c r="K411" s="17" t="s">
        <v>1589</v>
      </c>
      <c r="L411" s="13" t="s">
        <v>1521</v>
      </c>
      <c r="M411" s="13" t="s">
        <v>1590</v>
      </c>
      <c r="N411" s="13" t="s">
        <v>1450</v>
      </c>
      <c r="O411" s="13" t="s">
        <v>1581</v>
      </c>
      <c r="P411" s="13" t="s">
        <v>1451</v>
      </c>
      <c r="Q411" s="13" t="s">
        <v>1396</v>
      </c>
      <c r="R411" s="13">
        <v>1</v>
      </c>
      <c r="S411" s="13" t="s">
        <v>1453</v>
      </c>
      <c r="T411" s="13" t="s">
        <v>1454</v>
      </c>
      <c r="U411" s="13" t="s">
        <v>1406</v>
      </c>
      <c r="V411" s="13">
        <v>13</v>
      </c>
      <c r="W411" s="13" t="b">
        <v>1</v>
      </c>
      <c r="X411" s="13">
        <v>240806</v>
      </c>
      <c r="Y411" s="13" t="s">
        <v>1405</v>
      </c>
      <c r="Z411" s="13">
        <v>0</v>
      </c>
      <c r="AA411" s="13">
        <v>0</v>
      </c>
      <c r="AB411" s="13" t="s">
        <v>1405</v>
      </c>
      <c r="AC411" s="13" t="s">
        <v>1405</v>
      </c>
      <c r="AD411" s="13">
        <v>0</v>
      </c>
      <c r="AE411" s="13" t="s">
        <v>1405</v>
      </c>
      <c r="AF411" s="13" t="s">
        <v>1405</v>
      </c>
    </row>
    <row r="412" spans="1:32" x14ac:dyDescent="0.2">
      <c r="A412" s="3" t="s">
        <v>2268</v>
      </c>
      <c r="B412" s="14" t="s">
        <v>1497</v>
      </c>
      <c r="C412" s="6">
        <v>411</v>
      </c>
      <c r="D412" s="14">
        <v>142</v>
      </c>
      <c r="E412" s="14" t="s">
        <v>1457</v>
      </c>
      <c r="F412" s="15" t="s">
        <v>1445</v>
      </c>
      <c r="G412" s="14" t="s">
        <v>1458</v>
      </c>
      <c r="H412" s="14" t="s">
        <v>87</v>
      </c>
      <c r="I412" s="14" t="s">
        <v>1411</v>
      </c>
      <c r="J412" s="14" t="s">
        <v>1403</v>
      </c>
      <c r="K412" s="17" t="s">
        <v>1591</v>
      </c>
      <c r="L412" s="16" t="s">
        <v>1521</v>
      </c>
      <c r="M412" s="16" t="s">
        <v>1590</v>
      </c>
      <c r="N412" s="16" t="s">
        <v>1450</v>
      </c>
      <c r="O412" s="16" t="s">
        <v>1581</v>
      </c>
      <c r="P412" s="16" t="s">
        <v>1451</v>
      </c>
      <c r="Q412" s="16" t="s">
        <v>1396</v>
      </c>
      <c r="R412" s="16">
        <v>1</v>
      </c>
      <c r="S412" s="16" t="s">
        <v>1453</v>
      </c>
      <c r="T412" s="16" t="s">
        <v>1454</v>
      </c>
      <c r="U412" s="16" t="s">
        <v>1406</v>
      </c>
      <c r="V412" s="16">
        <v>13</v>
      </c>
      <c r="W412" s="16" t="b">
        <v>1</v>
      </c>
      <c r="X412" s="16">
        <v>240806</v>
      </c>
      <c r="Y412" s="16" t="s">
        <v>1405</v>
      </c>
      <c r="Z412" s="16">
        <v>0</v>
      </c>
      <c r="AA412" s="16">
        <v>0</v>
      </c>
      <c r="AB412" s="16" t="s">
        <v>1405</v>
      </c>
      <c r="AC412" s="16" t="s">
        <v>1405</v>
      </c>
      <c r="AD412" s="16">
        <v>0</v>
      </c>
      <c r="AE412" s="16" t="s">
        <v>1405</v>
      </c>
      <c r="AF412" s="16" t="s">
        <v>1405</v>
      </c>
    </row>
    <row r="413" spans="1:32" x14ac:dyDescent="0.2">
      <c r="A413" s="3" t="s">
        <v>2269</v>
      </c>
      <c r="B413" s="12" t="s">
        <v>1497</v>
      </c>
      <c r="C413" s="6">
        <v>412</v>
      </c>
      <c r="D413" s="12">
        <v>143</v>
      </c>
      <c r="E413" s="12" t="s">
        <v>1444</v>
      </c>
      <c r="F413" s="12" t="s">
        <v>1445</v>
      </c>
      <c r="G413" s="12" t="s">
        <v>1446</v>
      </c>
      <c r="H413" s="12" t="s">
        <v>88</v>
      </c>
      <c r="I413" s="12" t="s">
        <v>1413</v>
      </c>
      <c r="J413" s="12" t="s">
        <v>1403</v>
      </c>
      <c r="K413" s="17" t="s">
        <v>1592</v>
      </c>
      <c r="L413" s="13" t="s">
        <v>1521</v>
      </c>
      <c r="M413" s="13" t="s">
        <v>1590</v>
      </c>
      <c r="N413" s="13" t="s">
        <v>1450</v>
      </c>
      <c r="O413" s="13" t="s">
        <v>1581</v>
      </c>
      <c r="P413" s="13" t="s">
        <v>1451</v>
      </c>
      <c r="Q413" s="13" t="s">
        <v>1398</v>
      </c>
      <c r="R413" s="13">
        <v>2</v>
      </c>
      <c r="S413" s="13" t="s">
        <v>1453</v>
      </c>
      <c r="T413" s="13" t="s">
        <v>1454</v>
      </c>
      <c r="U413" s="13" t="s">
        <v>1406</v>
      </c>
      <c r="V413" s="13">
        <v>13</v>
      </c>
      <c r="W413" s="13" t="b">
        <v>1</v>
      </c>
      <c r="X413" s="13">
        <v>240806</v>
      </c>
      <c r="Y413" s="13" t="s">
        <v>1405</v>
      </c>
      <c r="Z413" s="13">
        <v>0</v>
      </c>
      <c r="AA413" s="13">
        <v>0</v>
      </c>
      <c r="AB413" s="13" t="s">
        <v>1405</v>
      </c>
      <c r="AC413" s="13" t="s">
        <v>1405</v>
      </c>
      <c r="AD413" s="13">
        <v>0</v>
      </c>
      <c r="AE413" s="13" t="s">
        <v>1405</v>
      </c>
      <c r="AF413" s="13" t="s">
        <v>1405</v>
      </c>
    </row>
    <row r="414" spans="1:32" x14ac:dyDescent="0.2">
      <c r="A414" s="3" t="s">
        <v>2270</v>
      </c>
      <c r="B414" s="14" t="s">
        <v>1497</v>
      </c>
      <c r="C414" s="6">
        <v>413</v>
      </c>
      <c r="D414" s="14">
        <v>143</v>
      </c>
      <c r="E414" s="14" t="s">
        <v>1457</v>
      </c>
      <c r="F414" s="15" t="s">
        <v>1445</v>
      </c>
      <c r="G414" s="14" t="s">
        <v>1458</v>
      </c>
      <c r="H414" s="14" t="s">
        <v>88</v>
      </c>
      <c r="I414" s="14" t="s">
        <v>1411</v>
      </c>
      <c r="J414" s="14" t="s">
        <v>1403</v>
      </c>
      <c r="K414" s="17" t="s">
        <v>1593</v>
      </c>
      <c r="L414" s="16" t="s">
        <v>1521</v>
      </c>
      <c r="M414" s="16" t="s">
        <v>1590</v>
      </c>
      <c r="N414" s="16" t="s">
        <v>1450</v>
      </c>
      <c r="O414" s="16" t="s">
        <v>1581</v>
      </c>
      <c r="P414" s="16" t="s">
        <v>1451</v>
      </c>
      <c r="Q414" s="16" t="s">
        <v>1398</v>
      </c>
      <c r="R414" s="16">
        <v>2</v>
      </c>
      <c r="S414" s="16" t="s">
        <v>1453</v>
      </c>
      <c r="T414" s="16" t="s">
        <v>1454</v>
      </c>
      <c r="U414" s="16" t="s">
        <v>1406</v>
      </c>
      <c r="V414" s="16">
        <v>13</v>
      </c>
      <c r="W414" s="16" t="b">
        <v>1</v>
      </c>
      <c r="X414" s="16">
        <v>240806</v>
      </c>
      <c r="Y414" s="16" t="s">
        <v>1405</v>
      </c>
      <c r="Z414" s="16">
        <v>0</v>
      </c>
      <c r="AA414" s="16">
        <v>0</v>
      </c>
      <c r="AB414" s="16" t="s">
        <v>1405</v>
      </c>
      <c r="AC414" s="16" t="s">
        <v>1405</v>
      </c>
      <c r="AD414" s="16">
        <v>0</v>
      </c>
      <c r="AE414" s="16" t="s">
        <v>1405</v>
      </c>
      <c r="AF414" s="16" t="s">
        <v>1405</v>
      </c>
    </row>
    <row r="415" spans="1:32" x14ac:dyDescent="0.2">
      <c r="A415" s="3" t="s">
        <v>2271</v>
      </c>
      <c r="B415" s="12" t="s">
        <v>1497</v>
      </c>
      <c r="C415" s="6">
        <v>414</v>
      </c>
      <c r="D415" s="12">
        <v>144</v>
      </c>
      <c r="E415" s="12" t="s">
        <v>1444</v>
      </c>
      <c r="F415" s="12" t="s">
        <v>1445</v>
      </c>
      <c r="G415" s="12" t="s">
        <v>1446</v>
      </c>
      <c r="H415" s="12" t="s">
        <v>89</v>
      </c>
      <c r="I415" s="12" t="s">
        <v>1413</v>
      </c>
      <c r="J415" s="12" t="s">
        <v>1403</v>
      </c>
      <c r="K415" s="17" t="s">
        <v>1594</v>
      </c>
      <c r="L415" s="13" t="s">
        <v>1521</v>
      </c>
      <c r="M415" s="13" t="s">
        <v>1590</v>
      </c>
      <c r="N415" s="13" t="s">
        <v>1450</v>
      </c>
      <c r="O415" s="13" t="s">
        <v>1581</v>
      </c>
      <c r="P415" s="13" t="s">
        <v>1451</v>
      </c>
      <c r="Q415" s="13" t="s">
        <v>1399</v>
      </c>
      <c r="R415" s="13">
        <v>3</v>
      </c>
      <c r="S415" s="13" t="s">
        <v>1453</v>
      </c>
      <c r="T415" s="13" t="s">
        <v>1454</v>
      </c>
      <c r="U415" s="13" t="s">
        <v>1406</v>
      </c>
      <c r="V415" s="13">
        <v>13</v>
      </c>
      <c r="W415" s="13" t="b">
        <v>1</v>
      </c>
      <c r="X415" s="13">
        <v>240806</v>
      </c>
      <c r="Y415" s="13" t="s">
        <v>1405</v>
      </c>
      <c r="Z415" s="13">
        <v>0</v>
      </c>
      <c r="AA415" s="13">
        <v>0</v>
      </c>
      <c r="AB415" s="13" t="s">
        <v>1405</v>
      </c>
      <c r="AC415" s="13" t="s">
        <v>1405</v>
      </c>
      <c r="AD415" s="13">
        <v>0</v>
      </c>
      <c r="AE415" s="13" t="s">
        <v>1405</v>
      </c>
      <c r="AF415" s="13" t="s">
        <v>1405</v>
      </c>
    </row>
    <row r="416" spans="1:32" x14ac:dyDescent="0.2">
      <c r="A416" s="3" t="s">
        <v>2272</v>
      </c>
      <c r="B416" s="14" t="s">
        <v>1497</v>
      </c>
      <c r="C416" s="6">
        <v>415</v>
      </c>
      <c r="D416" s="14">
        <v>144</v>
      </c>
      <c r="E416" s="14" t="s">
        <v>1457</v>
      </c>
      <c r="F416" s="15" t="s">
        <v>1445</v>
      </c>
      <c r="G416" s="14" t="s">
        <v>1458</v>
      </c>
      <c r="H416" s="14" t="s">
        <v>89</v>
      </c>
      <c r="I416" s="14" t="s">
        <v>1411</v>
      </c>
      <c r="J416" s="14" t="s">
        <v>1403</v>
      </c>
      <c r="K416" s="17" t="s">
        <v>1595</v>
      </c>
      <c r="L416" s="16" t="s">
        <v>1521</v>
      </c>
      <c r="M416" s="16" t="s">
        <v>1590</v>
      </c>
      <c r="N416" s="16" t="s">
        <v>1450</v>
      </c>
      <c r="O416" s="16" t="s">
        <v>1581</v>
      </c>
      <c r="P416" s="16" t="s">
        <v>1451</v>
      </c>
      <c r="Q416" s="16" t="s">
        <v>1399</v>
      </c>
      <c r="R416" s="16">
        <v>3</v>
      </c>
      <c r="S416" s="16" t="s">
        <v>1453</v>
      </c>
      <c r="T416" s="16" t="s">
        <v>1454</v>
      </c>
      <c r="U416" s="16" t="s">
        <v>1406</v>
      </c>
      <c r="V416" s="16">
        <v>13</v>
      </c>
      <c r="W416" s="16" t="b">
        <v>1</v>
      </c>
      <c r="X416" s="16">
        <v>240806</v>
      </c>
      <c r="Y416" s="16" t="s">
        <v>1405</v>
      </c>
      <c r="Z416" s="16">
        <v>0</v>
      </c>
      <c r="AA416" s="16">
        <v>0</v>
      </c>
      <c r="AB416" s="16" t="s">
        <v>1405</v>
      </c>
      <c r="AC416" s="16" t="s">
        <v>1405</v>
      </c>
      <c r="AD416" s="16">
        <v>0</v>
      </c>
      <c r="AE416" s="16" t="s">
        <v>1405</v>
      </c>
      <c r="AF416" s="16" t="s">
        <v>1405</v>
      </c>
    </row>
    <row r="417" spans="1:32" x14ac:dyDescent="0.2">
      <c r="A417" s="3" t="s">
        <v>2273</v>
      </c>
      <c r="B417" s="12" t="s">
        <v>1497</v>
      </c>
      <c r="C417" s="6">
        <v>416</v>
      </c>
      <c r="D417" s="12">
        <v>145</v>
      </c>
      <c r="E417" s="12" t="s">
        <v>1444</v>
      </c>
      <c r="F417" s="12" t="s">
        <v>1445</v>
      </c>
      <c r="G417" s="12" t="s">
        <v>1446</v>
      </c>
      <c r="H417" s="12" t="s">
        <v>90</v>
      </c>
      <c r="I417" s="12" t="s">
        <v>1413</v>
      </c>
      <c r="J417" s="12" t="s">
        <v>1403</v>
      </c>
      <c r="K417" s="17" t="s">
        <v>1596</v>
      </c>
      <c r="L417" s="13" t="s">
        <v>1521</v>
      </c>
      <c r="M417" s="13" t="s">
        <v>1590</v>
      </c>
      <c r="N417" s="13" t="s">
        <v>1450</v>
      </c>
      <c r="O417" s="13" t="s">
        <v>1581</v>
      </c>
      <c r="P417" s="13" t="s">
        <v>1451</v>
      </c>
      <c r="Q417" s="13" t="s">
        <v>1400</v>
      </c>
      <c r="R417" s="13">
        <v>4</v>
      </c>
      <c r="S417" s="13" t="s">
        <v>1453</v>
      </c>
      <c r="T417" s="13" t="s">
        <v>1454</v>
      </c>
      <c r="U417" s="13" t="s">
        <v>1406</v>
      </c>
      <c r="V417" s="13">
        <v>13</v>
      </c>
      <c r="W417" s="13" t="b">
        <v>1</v>
      </c>
      <c r="X417" s="13">
        <v>240806</v>
      </c>
      <c r="Y417" s="13" t="s">
        <v>1405</v>
      </c>
      <c r="Z417" s="13">
        <v>0</v>
      </c>
      <c r="AA417" s="13">
        <v>0</v>
      </c>
      <c r="AB417" s="13" t="s">
        <v>1405</v>
      </c>
      <c r="AC417" s="13" t="s">
        <v>1405</v>
      </c>
      <c r="AD417" s="13">
        <v>0</v>
      </c>
      <c r="AE417" s="13" t="s">
        <v>1405</v>
      </c>
      <c r="AF417" s="13" t="s">
        <v>1405</v>
      </c>
    </row>
    <row r="418" spans="1:32" x14ac:dyDescent="0.2">
      <c r="A418" s="3" t="s">
        <v>2274</v>
      </c>
      <c r="B418" s="14" t="s">
        <v>1497</v>
      </c>
      <c r="C418" s="6">
        <v>417</v>
      </c>
      <c r="D418" s="14">
        <v>145</v>
      </c>
      <c r="E418" s="14" t="s">
        <v>1457</v>
      </c>
      <c r="F418" s="15" t="s">
        <v>1445</v>
      </c>
      <c r="G418" s="14" t="s">
        <v>1458</v>
      </c>
      <c r="H418" s="14" t="s">
        <v>90</v>
      </c>
      <c r="I418" s="14" t="s">
        <v>1411</v>
      </c>
      <c r="J418" s="14" t="s">
        <v>1403</v>
      </c>
      <c r="K418" s="17" t="s">
        <v>1597</v>
      </c>
      <c r="L418" s="16" t="s">
        <v>1521</v>
      </c>
      <c r="M418" s="16" t="s">
        <v>1590</v>
      </c>
      <c r="N418" s="16" t="s">
        <v>1450</v>
      </c>
      <c r="O418" s="16" t="s">
        <v>1581</v>
      </c>
      <c r="P418" s="16" t="s">
        <v>1451</v>
      </c>
      <c r="Q418" s="16" t="s">
        <v>1400</v>
      </c>
      <c r="R418" s="16">
        <v>4</v>
      </c>
      <c r="S418" s="16" t="s">
        <v>1453</v>
      </c>
      <c r="T418" s="16" t="s">
        <v>1454</v>
      </c>
      <c r="U418" s="16" t="s">
        <v>1406</v>
      </c>
      <c r="V418" s="16">
        <v>13</v>
      </c>
      <c r="W418" s="16" t="b">
        <v>1</v>
      </c>
      <c r="X418" s="16">
        <v>240806</v>
      </c>
      <c r="Y418" s="16" t="s">
        <v>1405</v>
      </c>
      <c r="Z418" s="16">
        <v>0</v>
      </c>
      <c r="AA418" s="16">
        <v>0</v>
      </c>
      <c r="AB418" s="16" t="s">
        <v>1405</v>
      </c>
      <c r="AC418" s="16" t="s">
        <v>1405</v>
      </c>
      <c r="AD418" s="16">
        <v>0</v>
      </c>
      <c r="AE418" s="16" t="s">
        <v>1405</v>
      </c>
      <c r="AF418" s="16" t="s">
        <v>1405</v>
      </c>
    </row>
    <row r="419" spans="1:32" x14ac:dyDescent="0.2">
      <c r="A419" s="3" t="s">
        <v>2275</v>
      </c>
      <c r="B419" s="12" t="s">
        <v>1497</v>
      </c>
      <c r="C419" s="6">
        <v>418</v>
      </c>
      <c r="D419" s="12">
        <v>146</v>
      </c>
      <c r="E419" s="12" t="s">
        <v>1444</v>
      </c>
      <c r="F419" s="12" t="s">
        <v>1445</v>
      </c>
      <c r="G419" s="12" t="s">
        <v>1446</v>
      </c>
      <c r="H419" s="12" t="s">
        <v>92</v>
      </c>
      <c r="I419" s="12" t="s">
        <v>1413</v>
      </c>
      <c r="J419" s="12" t="s">
        <v>1403</v>
      </c>
      <c r="K419" s="17" t="s">
        <v>1598</v>
      </c>
      <c r="L419" s="13" t="s">
        <v>1521</v>
      </c>
      <c r="M419" s="13" t="s">
        <v>1590</v>
      </c>
      <c r="N419" s="13" t="s">
        <v>1450</v>
      </c>
      <c r="O419" s="13" t="s">
        <v>1581</v>
      </c>
      <c r="P419" s="13" t="s">
        <v>1451</v>
      </c>
      <c r="Q419" s="13" t="s">
        <v>1541</v>
      </c>
      <c r="R419" s="13">
        <v>5</v>
      </c>
      <c r="S419" s="13" t="s">
        <v>1453</v>
      </c>
      <c r="T419" s="13" t="s">
        <v>1454</v>
      </c>
      <c r="U419" s="13" t="s">
        <v>1406</v>
      </c>
      <c r="V419" s="13">
        <v>13</v>
      </c>
      <c r="W419" s="13" t="b">
        <v>1</v>
      </c>
      <c r="X419" s="13">
        <v>240806</v>
      </c>
      <c r="Y419" s="13" t="s">
        <v>1405</v>
      </c>
      <c r="Z419" s="13">
        <v>0</v>
      </c>
      <c r="AA419" s="13">
        <v>0</v>
      </c>
      <c r="AB419" s="13" t="s">
        <v>1405</v>
      </c>
      <c r="AC419" s="13" t="s">
        <v>1405</v>
      </c>
      <c r="AD419" s="13">
        <v>0</v>
      </c>
      <c r="AE419" s="13" t="s">
        <v>1405</v>
      </c>
      <c r="AF419" s="13" t="s">
        <v>1405</v>
      </c>
    </row>
    <row r="420" spans="1:32" x14ac:dyDescent="0.2">
      <c r="A420" s="3" t="s">
        <v>2276</v>
      </c>
      <c r="B420" s="14" t="s">
        <v>1497</v>
      </c>
      <c r="C420" s="6">
        <v>419</v>
      </c>
      <c r="D420" s="14">
        <v>146</v>
      </c>
      <c r="E420" s="14" t="s">
        <v>1457</v>
      </c>
      <c r="F420" s="15" t="s">
        <v>1445</v>
      </c>
      <c r="G420" s="14" t="s">
        <v>1458</v>
      </c>
      <c r="H420" s="14" t="s">
        <v>92</v>
      </c>
      <c r="I420" s="14" t="s">
        <v>1411</v>
      </c>
      <c r="J420" s="14" t="s">
        <v>1403</v>
      </c>
      <c r="K420" s="17" t="s">
        <v>1599</v>
      </c>
      <c r="L420" s="16" t="s">
        <v>1521</v>
      </c>
      <c r="M420" s="16" t="s">
        <v>1590</v>
      </c>
      <c r="N420" s="16" t="s">
        <v>1450</v>
      </c>
      <c r="O420" s="16" t="s">
        <v>1581</v>
      </c>
      <c r="P420" s="16" t="s">
        <v>1451</v>
      </c>
      <c r="Q420" s="16" t="s">
        <v>1541</v>
      </c>
      <c r="R420" s="16">
        <v>5</v>
      </c>
      <c r="S420" s="16" t="s">
        <v>1453</v>
      </c>
      <c r="T420" s="16" t="s">
        <v>1454</v>
      </c>
      <c r="U420" s="16" t="s">
        <v>1406</v>
      </c>
      <c r="V420" s="16">
        <v>13</v>
      </c>
      <c r="W420" s="16" t="b">
        <v>1</v>
      </c>
      <c r="X420" s="16">
        <v>240806</v>
      </c>
      <c r="Y420" s="16" t="s">
        <v>1405</v>
      </c>
      <c r="Z420" s="16">
        <v>0</v>
      </c>
      <c r="AA420" s="16">
        <v>0</v>
      </c>
      <c r="AB420" s="16" t="s">
        <v>1405</v>
      </c>
      <c r="AC420" s="16" t="s">
        <v>1405</v>
      </c>
      <c r="AD420" s="16">
        <v>0</v>
      </c>
      <c r="AE420" s="16" t="s">
        <v>1405</v>
      </c>
      <c r="AF420" s="16" t="s">
        <v>1405</v>
      </c>
    </row>
    <row r="421" spans="1:32" x14ac:dyDescent="0.2">
      <c r="A421" s="3" t="s">
        <v>2277</v>
      </c>
      <c r="B421" s="12" t="s">
        <v>1497</v>
      </c>
      <c r="C421" s="6">
        <v>420</v>
      </c>
      <c r="D421" s="12">
        <v>147</v>
      </c>
      <c r="E421" s="12" t="s">
        <v>1444</v>
      </c>
      <c r="F421" s="12" t="s">
        <v>1445</v>
      </c>
      <c r="G421" s="12" t="s">
        <v>1446</v>
      </c>
      <c r="H421" s="12" t="s">
        <v>93</v>
      </c>
      <c r="I421" s="12" t="s">
        <v>1413</v>
      </c>
      <c r="J421" s="12" t="s">
        <v>1403</v>
      </c>
      <c r="K421" s="17" t="s">
        <v>1620</v>
      </c>
      <c r="L421" s="13" t="s">
        <v>1521</v>
      </c>
      <c r="M421" s="13" t="s">
        <v>1601</v>
      </c>
      <c r="N421" s="13" t="s">
        <v>1450</v>
      </c>
      <c r="O421" s="13" t="s">
        <v>1581</v>
      </c>
      <c r="P421" s="13" t="s">
        <v>1451</v>
      </c>
      <c r="Q421" s="13" t="s">
        <v>1396</v>
      </c>
      <c r="R421" s="13">
        <v>6</v>
      </c>
      <c r="S421" s="13" t="s">
        <v>1453</v>
      </c>
      <c r="T421" s="13" t="s">
        <v>1454</v>
      </c>
      <c r="U421" s="13" t="s">
        <v>1406</v>
      </c>
      <c r="V421" s="13">
        <v>13</v>
      </c>
      <c r="W421" s="13" t="b">
        <v>1</v>
      </c>
      <c r="X421" s="13">
        <v>240806</v>
      </c>
      <c r="Y421" s="13" t="s">
        <v>1405</v>
      </c>
      <c r="Z421" s="13">
        <v>0</v>
      </c>
      <c r="AA421" s="13">
        <v>0</v>
      </c>
      <c r="AB421" s="13" t="s">
        <v>1405</v>
      </c>
      <c r="AC421" s="13" t="s">
        <v>1405</v>
      </c>
      <c r="AD421" s="13">
        <v>0</v>
      </c>
      <c r="AE421" s="13" t="s">
        <v>1405</v>
      </c>
      <c r="AF421" s="13" t="s">
        <v>1405</v>
      </c>
    </row>
    <row r="422" spans="1:32" x14ac:dyDescent="0.2">
      <c r="A422" s="3" t="s">
        <v>2278</v>
      </c>
      <c r="B422" s="14" t="s">
        <v>1497</v>
      </c>
      <c r="C422" s="6">
        <v>421</v>
      </c>
      <c r="D422" s="14">
        <v>147</v>
      </c>
      <c r="E422" s="14" t="s">
        <v>1457</v>
      </c>
      <c r="F422" s="15" t="s">
        <v>1445</v>
      </c>
      <c r="G422" s="14" t="s">
        <v>1458</v>
      </c>
      <c r="H422" s="14" t="s">
        <v>93</v>
      </c>
      <c r="I422" s="14" t="s">
        <v>1411</v>
      </c>
      <c r="J422" s="14" t="s">
        <v>1403</v>
      </c>
      <c r="K422" s="17" t="s">
        <v>1621</v>
      </c>
      <c r="L422" s="16" t="s">
        <v>1521</v>
      </c>
      <c r="M422" s="16" t="s">
        <v>1601</v>
      </c>
      <c r="N422" s="16" t="s">
        <v>1450</v>
      </c>
      <c r="O422" s="16" t="s">
        <v>1581</v>
      </c>
      <c r="P422" s="16" t="s">
        <v>1451</v>
      </c>
      <c r="Q422" s="16" t="s">
        <v>1396</v>
      </c>
      <c r="R422" s="16">
        <v>6</v>
      </c>
      <c r="S422" s="16" t="s">
        <v>1453</v>
      </c>
      <c r="T422" s="16" t="s">
        <v>1454</v>
      </c>
      <c r="U422" s="16" t="s">
        <v>1406</v>
      </c>
      <c r="V422" s="16">
        <v>13</v>
      </c>
      <c r="W422" s="16" t="b">
        <v>1</v>
      </c>
      <c r="X422" s="16">
        <v>240806</v>
      </c>
      <c r="Y422" s="16" t="s">
        <v>1405</v>
      </c>
      <c r="Z422" s="16">
        <v>0</v>
      </c>
      <c r="AA422" s="16">
        <v>0</v>
      </c>
      <c r="AB422" s="16" t="s">
        <v>1405</v>
      </c>
      <c r="AC422" s="16" t="s">
        <v>1405</v>
      </c>
      <c r="AD422" s="16">
        <v>0</v>
      </c>
      <c r="AE422" s="16" t="s">
        <v>1405</v>
      </c>
      <c r="AF422" s="16" t="s">
        <v>1405</v>
      </c>
    </row>
    <row r="423" spans="1:32" x14ac:dyDescent="0.2">
      <c r="A423" s="3" t="s">
        <v>2279</v>
      </c>
      <c r="B423" s="12" t="s">
        <v>1497</v>
      </c>
      <c r="C423" s="6">
        <v>422</v>
      </c>
      <c r="D423" s="12">
        <v>148</v>
      </c>
      <c r="E423" s="12" t="s">
        <v>1444</v>
      </c>
      <c r="F423" s="12" t="s">
        <v>1445</v>
      </c>
      <c r="G423" s="12" t="s">
        <v>1446</v>
      </c>
      <c r="H423" s="12" t="s">
        <v>94</v>
      </c>
      <c r="I423" s="12" t="s">
        <v>1413</v>
      </c>
      <c r="J423" s="12" t="s">
        <v>1403</v>
      </c>
      <c r="K423" s="17" t="s">
        <v>1600</v>
      </c>
      <c r="L423" s="13" t="s">
        <v>1521</v>
      </c>
      <c r="M423" s="13" t="s">
        <v>1601</v>
      </c>
      <c r="N423" s="13" t="s">
        <v>1450</v>
      </c>
      <c r="O423" s="13" t="s">
        <v>1581</v>
      </c>
      <c r="P423" s="13" t="s">
        <v>1451</v>
      </c>
      <c r="Q423" s="13" t="s">
        <v>1398</v>
      </c>
      <c r="R423" s="13">
        <v>7</v>
      </c>
      <c r="S423" s="13" t="s">
        <v>1453</v>
      </c>
      <c r="T423" s="13" t="s">
        <v>1454</v>
      </c>
      <c r="U423" s="13" t="s">
        <v>1406</v>
      </c>
      <c r="V423" s="13">
        <v>13</v>
      </c>
      <c r="W423" s="13" t="b">
        <v>1</v>
      </c>
      <c r="X423" s="13">
        <v>240806</v>
      </c>
      <c r="Y423" s="13" t="s">
        <v>1405</v>
      </c>
      <c r="Z423" s="13">
        <v>0</v>
      </c>
      <c r="AA423" s="13">
        <v>0</v>
      </c>
      <c r="AB423" s="13" t="s">
        <v>1405</v>
      </c>
      <c r="AC423" s="13" t="s">
        <v>1405</v>
      </c>
      <c r="AD423" s="13">
        <v>0</v>
      </c>
      <c r="AE423" s="13" t="s">
        <v>1405</v>
      </c>
      <c r="AF423" s="13" t="s">
        <v>1405</v>
      </c>
    </row>
    <row r="424" spans="1:32" x14ac:dyDescent="0.2">
      <c r="A424" s="3" t="s">
        <v>2280</v>
      </c>
      <c r="B424" s="14" t="s">
        <v>1497</v>
      </c>
      <c r="C424" s="6">
        <v>423</v>
      </c>
      <c r="D424" s="14">
        <v>148</v>
      </c>
      <c r="E424" s="14" t="s">
        <v>1457</v>
      </c>
      <c r="F424" s="15" t="s">
        <v>1445</v>
      </c>
      <c r="G424" s="14" t="s">
        <v>1458</v>
      </c>
      <c r="H424" s="14" t="s">
        <v>94</v>
      </c>
      <c r="I424" s="14" t="s">
        <v>1411</v>
      </c>
      <c r="J424" s="14" t="s">
        <v>1403</v>
      </c>
      <c r="K424" s="17" t="s">
        <v>1602</v>
      </c>
      <c r="L424" s="16" t="s">
        <v>1521</v>
      </c>
      <c r="M424" s="16" t="s">
        <v>1601</v>
      </c>
      <c r="N424" s="16" t="s">
        <v>1450</v>
      </c>
      <c r="O424" s="16" t="s">
        <v>1581</v>
      </c>
      <c r="P424" s="16" t="s">
        <v>1451</v>
      </c>
      <c r="Q424" s="16" t="s">
        <v>1398</v>
      </c>
      <c r="R424" s="16">
        <v>7</v>
      </c>
      <c r="S424" s="16" t="s">
        <v>1453</v>
      </c>
      <c r="T424" s="16" t="s">
        <v>1454</v>
      </c>
      <c r="U424" s="16" t="s">
        <v>1406</v>
      </c>
      <c r="V424" s="16">
        <v>13</v>
      </c>
      <c r="W424" s="16" t="b">
        <v>1</v>
      </c>
      <c r="X424" s="16">
        <v>240806</v>
      </c>
      <c r="Y424" s="16" t="s">
        <v>1405</v>
      </c>
      <c r="Z424" s="16">
        <v>0</v>
      </c>
      <c r="AA424" s="16">
        <v>0</v>
      </c>
      <c r="AB424" s="16" t="s">
        <v>1405</v>
      </c>
      <c r="AC424" s="16" t="s">
        <v>1405</v>
      </c>
      <c r="AD424" s="16">
        <v>0</v>
      </c>
      <c r="AE424" s="16" t="s">
        <v>1405</v>
      </c>
      <c r="AF424" s="16" t="s">
        <v>1405</v>
      </c>
    </row>
    <row r="425" spans="1:32" x14ac:dyDescent="0.2">
      <c r="A425" s="3" t="s">
        <v>2281</v>
      </c>
      <c r="B425" s="12" t="s">
        <v>1497</v>
      </c>
      <c r="C425" s="6">
        <v>424</v>
      </c>
      <c r="D425" s="12">
        <v>149</v>
      </c>
      <c r="E425" s="12" t="s">
        <v>1444</v>
      </c>
      <c r="F425" s="12" t="s">
        <v>1445</v>
      </c>
      <c r="G425" s="12" t="s">
        <v>1446</v>
      </c>
      <c r="H425" s="12" t="s">
        <v>95</v>
      </c>
      <c r="I425" s="12" t="s">
        <v>1413</v>
      </c>
      <c r="J425" s="12" t="s">
        <v>1403</v>
      </c>
      <c r="K425" s="17" t="s">
        <v>1603</v>
      </c>
      <c r="L425" s="13" t="s">
        <v>1521</v>
      </c>
      <c r="M425" s="13" t="s">
        <v>1601</v>
      </c>
      <c r="N425" s="13" t="s">
        <v>1450</v>
      </c>
      <c r="O425" s="13" t="s">
        <v>1581</v>
      </c>
      <c r="P425" s="13" t="s">
        <v>1451</v>
      </c>
      <c r="Q425" s="13" t="s">
        <v>1399</v>
      </c>
      <c r="R425" s="13">
        <v>8</v>
      </c>
      <c r="S425" s="13" t="s">
        <v>1453</v>
      </c>
      <c r="T425" s="13" t="s">
        <v>1454</v>
      </c>
      <c r="U425" s="13" t="s">
        <v>1406</v>
      </c>
      <c r="V425" s="13">
        <v>13</v>
      </c>
      <c r="W425" s="13" t="b">
        <v>1</v>
      </c>
      <c r="X425" s="13">
        <v>240806</v>
      </c>
      <c r="Y425" s="13" t="s">
        <v>1405</v>
      </c>
      <c r="Z425" s="13">
        <v>0</v>
      </c>
      <c r="AA425" s="13">
        <v>0</v>
      </c>
      <c r="AB425" s="13" t="s">
        <v>1405</v>
      </c>
      <c r="AC425" s="13" t="s">
        <v>1405</v>
      </c>
      <c r="AD425" s="13">
        <v>0</v>
      </c>
      <c r="AE425" s="13" t="s">
        <v>1405</v>
      </c>
      <c r="AF425" s="13" t="s">
        <v>1405</v>
      </c>
    </row>
    <row r="426" spans="1:32" x14ac:dyDescent="0.2">
      <c r="A426" s="3" t="s">
        <v>2282</v>
      </c>
      <c r="B426" s="14" t="s">
        <v>1497</v>
      </c>
      <c r="C426" s="6">
        <v>425</v>
      </c>
      <c r="D426" s="14">
        <v>149</v>
      </c>
      <c r="E426" s="14" t="s">
        <v>1457</v>
      </c>
      <c r="F426" s="15" t="s">
        <v>1445</v>
      </c>
      <c r="G426" s="14" t="s">
        <v>1458</v>
      </c>
      <c r="H426" s="14" t="s">
        <v>95</v>
      </c>
      <c r="I426" s="14" t="s">
        <v>1411</v>
      </c>
      <c r="J426" s="14" t="s">
        <v>1403</v>
      </c>
      <c r="K426" s="17" t="s">
        <v>1604</v>
      </c>
      <c r="L426" s="16" t="s">
        <v>1521</v>
      </c>
      <c r="M426" s="16" t="s">
        <v>1601</v>
      </c>
      <c r="N426" s="16" t="s">
        <v>1450</v>
      </c>
      <c r="O426" s="16" t="s">
        <v>1581</v>
      </c>
      <c r="P426" s="16" t="s">
        <v>1451</v>
      </c>
      <c r="Q426" s="16" t="s">
        <v>1399</v>
      </c>
      <c r="R426" s="16">
        <v>8</v>
      </c>
      <c r="S426" s="16" t="s">
        <v>1453</v>
      </c>
      <c r="T426" s="16" t="s">
        <v>1454</v>
      </c>
      <c r="U426" s="16" t="s">
        <v>1406</v>
      </c>
      <c r="V426" s="16">
        <v>13</v>
      </c>
      <c r="W426" s="16" t="b">
        <v>1</v>
      </c>
      <c r="X426" s="16">
        <v>240806</v>
      </c>
      <c r="Y426" s="16" t="s">
        <v>1405</v>
      </c>
      <c r="Z426" s="16">
        <v>0</v>
      </c>
      <c r="AA426" s="16">
        <v>0</v>
      </c>
      <c r="AB426" s="16" t="s">
        <v>1405</v>
      </c>
      <c r="AC426" s="16" t="s">
        <v>1405</v>
      </c>
      <c r="AD426" s="16">
        <v>0</v>
      </c>
      <c r="AE426" s="16" t="s">
        <v>1405</v>
      </c>
      <c r="AF426" s="16" t="s">
        <v>1405</v>
      </c>
    </row>
    <row r="427" spans="1:32" x14ac:dyDescent="0.2">
      <c r="A427" s="3" t="s">
        <v>2283</v>
      </c>
      <c r="B427" s="12" t="s">
        <v>1497</v>
      </c>
      <c r="C427" s="6">
        <v>426</v>
      </c>
      <c r="D427" s="12">
        <v>150</v>
      </c>
      <c r="E427" s="12" t="s">
        <v>1444</v>
      </c>
      <c r="F427" s="12" t="s">
        <v>1445</v>
      </c>
      <c r="G427" s="12" t="s">
        <v>1446</v>
      </c>
      <c r="H427" s="12" t="s">
        <v>96</v>
      </c>
      <c r="I427" s="12" t="s">
        <v>1413</v>
      </c>
      <c r="J427" s="12" t="s">
        <v>1403</v>
      </c>
      <c r="K427" s="17" t="s">
        <v>1605</v>
      </c>
      <c r="L427" s="13" t="s">
        <v>1521</v>
      </c>
      <c r="M427" s="13" t="s">
        <v>1601</v>
      </c>
      <c r="N427" s="13" t="s">
        <v>1450</v>
      </c>
      <c r="O427" s="13" t="s">
        <v>1581</v>
      </c>
      <c r="P427" s="13" t="s">
        <v>1451</v>
      </c>
      <c r="Q427" s="13" t="s">
        <v>1400</v>
      </c>
      <c r="R427" s="13">
        <v>9</v>
      </c>
      <c r="S427" s="13" t="s">
        <v>1453</v>
      </c>
      <c r="T427" s="13" t="s">
        <v>1454</v>
      </c>
      <c r="U427" s="13" t="s">
        <v>1406</v>
      </c>
      <c r="V427" s="13">
        <v>13</v>
      </c>
      <c r="W427" s="13" t="b">
        <v>1</v>
      </c>
      <c r="X427" s="13">
        <v>240806</v>
      </c>
      <c r="Y427" s="13" t="s">
        <v>1405</v>
      </c>
      <c r="Z427" s="13">
        <v>0</v>
      </c>
      <c r="AA427" s="13">
        <v>0</v>
      </c>
      <c r="AB427" s="13" t="s">
        <v>1405</v>
      </c>
      <c r="AC427" s="13" t="s">
        <v>1405</v>
      </c>
      <c r="AD427" s="13">
        <v>0</v>
      </c>
      <c r="AE427" s="13" t="s">
        <v>1405</v>
      </c>
      <c r="AF427" s="13" t="s">
        <v>1405</v>
      </c>
    </row>
    <row r="428" spans="1:32" x14ac:dyDescent="0.2">
      <c r="A428" s="3" t="s">
        <v>2284</v>
      </c>
      <c r="B428" s="14" t="s">
        <v>1497</v>
      </c>
      <c r="C428" s="6">
        <v>427</v>
      </c>
      <c r="D428" s="14">
        <v>150</v>
      </c>
      <c r="E428" s="14" t="s">
        <v>1457</v>
      </c>
      <c r="F428" s="15" t="s">
        <v>1445</v>
      </c>
      <c r="G428" s="14" t="s">
        <v>1458</v>
      </c>
      <c r="H428" s="14" t="s">
        <v>96</v>
      </c>
      <c r="I428" s="14" t="s">
        <v>1411</v>
      </c>
      <c r="J428" s="14" t="s">
        <v>1403</v>
      </c>
      <c r="K428" s="17" t="s">
        <v>1606</v>
      </c>
      <c r="L428" s="16" t="s">
        <v>1521</v>
      </c>
      <c r="M428" s="16" t="s">
        <v>1601</v>
      </c>
      <c r="N428" s="16" t="s">
        <v>1450</v>
      </c>
      <c r="O428" s="16" t="s">
        <v>1581</v>
      </c>
      <c r="P428" s="16" t="s">
        <v>1451</v>
      </c>
      <c r="Q428" s="16" t="s">
        <v>1400</v>
      </c>
      <c r="R428" s="16">
        <v>9</v>
      </c>
      <c r="S428" s="16" t="s">
        <v>1453</v>
      </c>
      <c r="T428" s="16" t="s">
        <v>1454</v>
      </c>
      <c r="U428" s="16" t="s">
        <v>1406</v>
      </c>
      <c r="V428" s="16">
        <v>13</v>
      </c>
      <c r="W428" s="16" t="b">
        <v>1</v>
      </c>
      <c r="X428" s="16">
        <v>240806</v>
      </c>
      <c r="Y428" s="16" t="s">
        <v>1405</v>
      </c>
      <c r="Z428" s="16">
        <v>0</v>
      </c>
      <c r="AA428" s="16">
        <v>0</v>
      </c>
      <c r="AB428" s="16" t="s">
        <v>1405</v>
      </c>
      <c r="AC428" s="16" t="s">
        <v>1405</v>
      </c>
      <c r="AD428" s="16">
        <v>0</v>
      </c>
      <c r="AE428" s="16" t="s">
        <v>1405</v>
      </c>
      <c r="AF428" s="16" t="s">
        <v>1405</v>
      </c>
    </row>
    <row r="429" spans="1:32" x14ac:dyDescent="0.2">
      <c r="A429" s="3" t="s">
        <v>2285</v>
      </c>
      <c r="B429" s="12" t="s">
        <v>1497</v>
      </c>
      <c r="C429" s="6">
        <v>428</v>
      </c>
      <c r="D429" s="12">
        <v>151</v>
      </c>
      <c r="E429" s="12" t="s">
        <v>1444</v>
      </c>
      <c r="F429" s="12" t="s">
        <v>1445</v>
      </c>
      <c r="G429" s="12" t="s">
        <v>1446</v>
      </c>
      <c r="H429" s="12" t="s">
        <v>97</v>
      </c>
      <c r="I429" s="12" t="s">
        <v>1413</v>
      </c>
      <c r="J429" s="12" t="s">
        <v>1403</v>
      </c>
      <c r="K429" s="17" t="s">
        <v>1607</v>
      </c>
      <c r="L429" s="13" t="s">
        <v>1521</v>
      </c>
      <c r="M429" s="13" t="s">
        <v>1601</v>
      </c>
      <c r="N429" s="13" t="s">
        <v>1450</v>
      </c>
      <c r="O429" s="13" t="s">
        <v>1581</v>
      </c>
      <c r="P429" s="13" t="s">
        <v>1451</v>
      </c>
      <c r="Q429" s="13" t="s">
        <v>1541</v>
      </c>
      <c r="R429" s="13">
        <v>10</v>
      </c>
      <c r="S429" s="13" t="s">
        <v>1453</v>
      </c>
      <c r="T429" s="13" t="s">
        <v>1454</v>
      </c>
      <c r="U429" s="13" t="s">
        <v>1406</v>
      </c>
      <c r="V429" s="13">
        <v>13</v>
      </c>
      <c r="W429" s="13" t="b">
        <v>1</v>
      </c>
      <c r="X429" s="13">
        <v>240806</v>
      </c>
      <c r="Y429" s="13" t="s">
        <v>1405</v>
      </c>
      <c r="Z429" s="13">
        <v>0</v>
      </c>
      <c r="AA429" s="13">
        <v>0</v>
      </c>
      <c r="AB429" s="13" t="s">
        <v>1405</v>
      </c>
      <c r="AC429" s="13" t="s">
        <v>1405</v>
      </c>
      <c r="AD429" s="13">
        <v>0</v>
      </c>
      <c r="AE429" s="13" t="s">
        <v>1405</v>
      </c>
      <c r="AF429" s="13" t="s">
        <v>1405</v>
      </c>
    </row>
    <row r="430" spans="1:32" x14ac:dyDescent="0.2">
      <c r="A430" s="3" t="s">
        <v>2286</v>
      </c>
      <c r="B430" s="14" t="s">
        <v>1497</v>
      </c>
      <c r="C430" s="6">
        <v>429</v>
      </c>
      <c r="D430" s="14">
        <v>151</v>
      </c>
      <c r="E430" s="14" t="s">
        <v>1457</v>
      </c>
      <c r="F430" s="15" t="s">
        <v>1445</v>
      </c>
      <c r="G430" s="14" t="s">
        <v>1458</v>
      </c>
      <c r="H430" s="14" t="s">
        <v>97</v>
      </c>
      <c r="I430" s="14" t="s">
        <v>1411</v>
      </c>
      <c r="J430" s="14" t="s">
        <v>1403</v>
      </c>
      <c r="K430" s="17" t="s">
        <v>1608</v>
      </c>
      <c r="L430" s="16" t="s">
        <v>1521</v>
      </c>
      <c r="M430" s="16" t="s">
        <v>1601</v>
      </c>
      <c r="N430" s="16" t="s">
        <v>1450</v>
      </c>
      <c r="O430" s="16" t="s">
        <v>1581</v>
      </c>
      <c r="P430" s="16" t="s">
        <v>1451</v>
      </c>
      <c r="Q430" s="16" t="s">
        <v>1541</v>
      </c>
      <c r="R430" s="16">
        <v>10</v>
      </c>
      <c r="S430" s="16" t="s">
        <v>1453</v>
      </c>
      <c r="T430" s="16" t="s">
        <v>1454</v>
      </c>
      <c r="U430" s="16" t="s">
        <v>1406</v>
      </c>
      <c r="V430" s="16">
        <v>13</v>
      </c>
      <c r="W430" s="16" t="b">
        <v>1</v>
      </c>
      <c r="X430" s="16">
        <v>240806</v>
      </c>
      <c r="Y430" s="16" t="s">
        <v>1405</v>
      </c>
      <c r="Z430" s="16">
        <v>0</v>
      </c>
      <c r="AA430" s="16">
        <v>0</v>
      </c>
      <c r="AB430" s="16" t="s">
        <v>1405</v>
      </c>
      <c r="AC430" s="16" t="s">
        <v>1405</v>
      </c>
      <c r="AD430" s="16">
        <v>0</v>
      </c>
      <c r="AE430" s="16" t="s">
        <v>1405</v>
      </c>
      <c r="AF430" s="16" t="s">
        <v>1405</v>
      </c>
    </row>
    <row r="431" spans="1:32" x14ac:dyDescent="0.2">
      <c r="A431" s="3" t="s">
        <v>2287</v>
      </c>
      <c r="B431" s="12" t="s">
        <v>1497</v>
      </c>
      <c r="C431" s="6">
        <v>430</v>
      </c>
      <c r="D431" s="12">
        <v>152</v>
      </c>
      <c r="E431" s="12" t="s">
        <v>1444</v>
      </c>
      <c r="F431" s="12" t="s">
        <v>1445</v>
      </c>
      <c r="G431" s="12" t="s">
        <v>1446</v>
      </c>
      <c r="H431" s="12" t="s">
        <v>98</v>
      </c>
      <c r="I431" s="12" t="s">
        <v>1413</v>
      </c>
      <c r="J431" s="12" t="s">
        <v>1403</v>
      </c>
      <c r="K431" s="17" t="s">
        <v>1609</v>
      </c>
      <c r="L431" s="13" t="s">
        <v>1521</v>
      </c>
      <c r="M431" s="13" t="s">
        <v>1610</v>
      </c>
      <c r="N431" s="13" t="s">
        <v>1450</v>
      </c>
      <c r="O431" s="13" t="s">
        <v>1581</v>
      </c>
      <c r="P431" s="13" t="s">
        <v>1451</v>
      </c>
      <c r="Q431" s="13" t="s">
        <v>1396</v>
      </c>
      <c r="R431" s="13">
        <v>11</v>
      </c>
      <c r="S431" s="13" t="s">
        <v>1453</v>
      </c>
      <c r="T431" s="13" t="s">
        <v>1454</v>
      </c>
      <c r="U431" s="13" t="s">
        <v>1406</v>
      </c>
      <c r="V431" s="13">
        <v>13</v>
      </c>
      <c r="W431" s="13" t="b">
        <v>1</v>
      </c>
      <c r="X431" s="13">
        <v>240806</v>
      </c>
      <c r="Y431" s="13" t="s">
        <v>1405</v>
      </c>
      <c r="Z431" s="13">
        <v>0</v>
      </c>
      <c r="AA431" s="13">
        <v>0</v>
      </c>
      <c r="AB431" s="13" t="s">
        <v>1405</v>
      </c>
      <c r="AC431" s="13" t="s">
        <v>1405</v>
      </c>
      <c r="AD431" s="13">
        <v>0</v>
      </c>
      <c r="AE431" s="13" t="s">
        <v>1405</v>
      </c>
      <c r="AF431" s="13" t="s">
        <v>1405</v>
      </c>
    </row>
    <row r="432" spans="1:32" x14ac:dyDescent="0.2">
      <c r="A432" s="3" t="s">
        <v>2288</v>
      </c>
      <c r="B432" s="14" t="s">
        <v>1497</v>
      </c>
      <c r="C432" s="6">
        <v>431</v>
      </c>
      <c r="D432" s="14">
        <v>152</v>
      </c>
      <c r="E432" s="14" t="s">
        <v>1457</v>
      </c>
      <c r="F432" s="15" t="s">
        <v>1445</v>
      </c>
      <c r="G432" s="14" t="s">
        <v>1458</v>
      </c>
      <c r="H432" s="14" t="s">
        <v>98</v>
      </c>
      <c r="I432" s="14" t="s">
        <v>1411</v>
      </c>
      <c r="J432" s="14" t="s">
        <v>1403</v>
      </c>
      <c r="K432" s="17" t="s">
        <v>1611</v>
      </c>
      <c r="L432" s="16" t="s">
        <v>1521</v>
      </c>
      <c r="M432" s="16" t="s">
        <v>1610</v>
      </c>
      <c r="N432" s="16" t="s">
        <v>1450</v>
      </c>
      <c r="O432" s="16" t="s">
        <v>1581</v>
      </c>
      <c r="P432" s="16" t="s">
        <v>1451</v>
      </c>
      <c r="Q432" s="16" t="s">
        <v>1396</v>
      </c>
      <c r="R432" s="16">
        <v>11</v>
      </c>
      <c r="S432" s="16" t="s">
        <v>1453</v>
      </c>
      <c r="T432" s="16" t="s">
        <v>1454</v>
      </c>
      <c r="U432" s="16" t="s">
        <v>1406</v>
      </c>
      <c r="V432" s="16">
        <v>13</v>
      </c>
      <c r="W432" s="16" t="b">
        <v>1</v>
      </c>
      <c r="X432" s="16">
        <v>240806</v>
      </c>
      <c r="Y432" s="16" t="s">
        <v>1405</v>
      </c>
      <c r="Z432" s="16">
        <v>0</v>
      </c>
      <c r="AA432" s="16">
        <v>0</v>
      </c>
      <c r="AB432" s="16" t="s">
        <v>1405</v>
      </c>
      <c r="AC432" s="16" t="s">
        <v>1405</v>
      </c>
      <c r="AD432" s="16">
        <v>0</v>
      </c>
      <c r="AE432" s="16" t="s">
        <v>1405</v>
      </c>
      <c r="AF432" s="16" t="s">
        <v>1405</v>
      </c>
    </row>
    <row r="433" spans="1:32" x14ac:dyDescent="0.2">
      <c r="A433" s="3" t="s">
        <v>2289</v>
      </c>
      <c r="B433" s="12" t="s">
        <v>1497</v>
      </c>
      <c r="C433" s="6">
        <v>432</v>
      </c>
      <c r="D433" s="12">
        <v>153</v>
      </c>
      <c r="E433" s="12" t="s">
        <v>1444</v>
      </c>
      <c r="F433" s="12" t="s">
        <v>1445</v>
      </c>
      <c r="G433" s="12" t="s">
        <v>1446</v>
      </c>
      <c r="H433" s="12" t="s">
        <v>99</v>
      </c>
      <c r="I433" s="12" t="s">
        <v>1413</v>
      </c>
      <c r="J433" s="12" t="s">
        <v>1403</v>
      </c>
      <c r="K433" s="17" t="s">
        <v>1612</v>
      </c>
      <c r="L433" s="13" t="s">
        <v>1521</v>
      </c>
      <c r="M433" s="13" t="s">
        <v>1610</v>
      </c>
      <c r="N433" s="13" t="s">
        <v>1450</v>
      </c>
      <c r="O433" s="13" t="s">
        <v>1581</v>
      </c>
      <c r="P433" s="13" t="s">
        <v>1451</v>
      </c>
      <c r="Q433" s="13" t="s">
        <v>1398</v>
      </c>
      <c r="R433" s="13">
        <v>12</v>
      </c>
      <c r="S433" s="13" t="s">
        <v>1453</v>
      </c>
      <c r="T433" s="13" t="s">
        <v>1454</v>
      </c>
      <c r="U433" s="13" t="s">
        <v>1406</v>
      </c>
      <c r="V433" s="13">
        <v>13</v>
      </c>
      <c r="W433" s="13" t="b">
        <v>1</v>
      </c>
      <c r="X433" s="13">
        <v>240806</v>
      </c>
      <c r="Y433" s="13" t="s">
        <v>1405</v>
      </c>
      <c r="Z433" s="13">
        <v>0</v>
      </c>
      <c r="AA433" s="13">
        <v>0</v>
      </c>
      <c r="AB433" s="13" t="s">
        <v>1405</v>
      </c>
      <c r="AC433" s="13" t="s">
        <v>1405</v>
      </c>
      <c r="AD433" s="13">
        <v>0</v>
      </c>
      <c r="AE433" s="13" t="s">
        <v>1405</v>
      </c>
      <c r="AF433" s="13" t="s">
        <v>1405</v>
      </c>
    </row>
    <row r="434" spans="1:32" x14ac:dyDescent="0.2">
      <c r="A434" s="3" t="s">
        <v>2290</v>
      </c>
      <c r="B434" s="14" t="s">
        <v>1497</v>
      </c>
      <c r="C434" s="6">
        <v>433</v>
      </c>
      <c r="D434" s="14">
        <v>153</v>
      </c>
      <c r="E434" s="14" t="s">
        <v>1457</v>
      </c>
      <c r="F434" s="15" t="s">
        <v>1445</v>
      </c>
      <c r="G434" s="14" t="s">
        <v>1458</v>
      </c>
      <c r="H434" s="14" t="s">
        <v>99</v>
      </c>
      <c r="I434" s="14" t="s">
        <v>1411</v>
      </c>
      <c r="J434" s="14" t="s">
        <v>1403</v>
      </c>
      <c r="K434" s="17" t="s">
        <v>1613</v>
      </c>
      <c r="L434" s="16" t="s">
        <v>1521</v>
      </c>
      <c r="M434" s="16" t="s">
        <v>1610</v>
      </c>
      <c r="N434" s="16" t="s">
        <v>1450</v>
      </c>
      <c r="O434" s="16" t="s">
        <v>1581</v>
      </c>
      <c r="P434" s="16" t="s">
        <v>1451</v>
      </c>
      <c r="Q434" s="16" t="s">
        <v>1398</v>
      </c>
      <c r="R434" s="16">
        <v>12</v>
      </c>
      <c r="S434" s="16" t="s">
        <v>1453</v>
      </c>
      <c r="T434" s="16" t="s">
        <v>1454</v>
      </c>
      <c r="U434" s="16" t="s">
        <v>1406</v>
      </c>
      <c r="V434" s="16">
        <v>13</v>
      </c>
      <c r="W434" s="16" t="b">
        <v>1</v>
      </c>
      <c r="X434" s="16">
        <v>240806</v>
      </c>
      <c r="Y434" s="16" t="s">
        <v>1405</v>
      </c>
      <c r="Z434" s="16">
        <v>0</v>
      </c>
      <c r="AA434" s="16">
        <v>0</v>
      </c>
      <c r="AB434" s="16" t="s">
        <v>1405</v>
      </c>
      <c r="AC434" s="16" t="s">
        <v>1405</v>
      </c>
      <c r="AD434" s="16">
        <v>0</v>
      </c>
      <c r="AE434" s="16" t="s">
        <v>1405</v>
      </c>
      <c r="AF434" s="16" t="s">
        <v>1405</v>
      </c>
    </row>
    <row r="435" spans="1:32" x14ac:dyDescent="0.2">
      <c r="A435" s="3" t="s">
        <v>2291</v>
      </c>
      <c r="B435" s="12" t="s">
        <v>1497</v>
      </c>
      <c r="C435" s="6">
        <v>434</v>
      </c>
      <c r="D435" s="12">
        <v>154</v>
      </c>
      <c r="E435" s="12" t="s">
        <v>1444</v>
      </c>
      <c r="F435" s="12" t="s">
        <v>1445</v>
      </c>
      <c r="G435" s="12" t="s">
        <v>1446</v>
      </c>
      <c r="H435" s="12" t="s">
        <v>100</v>
      </c>
      <c r="I435" s="12" t="s">
        <v>1413</v>
      </c>
      <c r="J435" s="12" t="s">
        <v>1403</v>
      </c>
      <c r="K435" s="17" t="s">
        <v>1614</v>
      </c>
      <c r="L435" s="13" t="s">
        <v>1521</v>
      </c>
      <c r="M435" s="13" t="s">
        <v>1610</v>
      </c>
      <c r="N435" s="13" t="s">
        <v>1450</v>
      </c>
      <c r="O435" s="13" t="s">
        <v>1581</v>
      </c>
      <c r="P435" s="13" t="s">
        <v>1451</v>
      </c>
      <c r="Q435" s="13" t="s">
        <v>1399</v>
      </c>
      <c r="R435" s="13">
        <v>13</v>
      </c>
      <c r="S435" s="13" t="s">
        <v>1453</v>
      </c>
      <c r="T435" s="13" t="s">
        <v>1454</v>
      </c>
      <c r="U435" s="13" t="s">
        <v>1406</v>
      </c>
      <c r="V435" s="13">
        <v>13</v>
      </c>
      <c r="W435" s="13" t="b">
        <v>1</v>
      </c>
      <c r="X435" s="13">
        <v>240806</v>
      </c>
      <c r="Y435" s="13" t="s">
        <v>1405</v>
      </c>
      <c r="Z435" s="13">
        <v>0</v>
      </c>
      <c r="AA435" s="13">
        <v>0</v>
      </c>
      <c r="AB435" s="13" t="s">
        <v>1405</v>
      </c>
      <c r="AC435" s="13" t="s">
        <v>1405</v>
      </c>
      <c r="AD435" s="13">
        <v>0</v>
      </c>
      <c r="AE435" s="13" t="s">
        <v>1405</v>
      </c>
      <c r="AF435" s="13" t="s">
        <v>1405</v>
      </c>
    </row>
    <row r="436" spans="1:32" x14ac:dyDescent="0.2">
      <c r="A436" s="3" t="s">
        <v>2292</v>
      </c>
      <c r="B436" s="14" t="s">
        <v>1497</v>
      </c>
      <c r="C436" s="6">
        <v>435</v>
      </c>
      <c r="D436" s="14">
        <v>154</v>
      </c>
      <c r="E436" s="14" t="s">
        <v>1457</v>
      </c>
      <c r="F436" s="15" t="s">
        <v>1445</v>
      </c>
      <c r="G436" s="14" t="s">
        <v>1458</v>
      </c>
      <c r="H436" s="14" t="s">
        <v>100</v>
      </c>
      <c r="I436" s="14" t="s">
        <v>1411</v>
      </c>
      <c r="J436" s="14" t="s">
        <v>1403</v>
      </c>
      <c r="K436" s="17" t="s">
        <v>1615</v>
      </c>
      <c r="L436" s="16" t="s">
        <v>1521</v>
      </c>
      <c r="M436" s="16" t="s">
        <v>1610</v>
      </c>
      <c r="N436" s="16" t="s">
        <v>1450</v>
      </c>
      <c r="O436" s="16" t="s">
        <v>1581</v>
      </c>
      <c r="P436" s="16" t="s">
        <v>1451</v>
      </c>
      <c r="Q436" s="16" t="s">
        <v>1399</v>
      </c>
      <c r="R436" s="16">
        <v>13</v>
      </c>
      <c r="S436" s="16" t="s">
        <v>1453</v>
      </c>
      <c r="T436" s="16" t="s">
        <v>1454</v>
      </c>
      <c r="U436" s="16" t="s">
        <v>1406</v>
      </c>
      <c r="V436" s="16">
        <v>13</v>
      </c>
      <c r="W436" s="16" t="b">
        <v>1</v>
      </c>
      <c r="X436" s="16">
        <v>240806</v>
      </c>
      <c r="Y436" s="16" t="s">
        <v>1405</v>
      </c>
      <c r="Z436" s="16">
        <v>0</v>
      </c>
      <c r="AA436" s="16">
        <v>0</v>
      </c>
      <c r="AB436" s="16" t="s">
        <v>1405</v>
      </c>
      <c r="AC436" s="16" t="s">
        <v>1405</v>
      </c>
      <c r="AD436" s="16">
        <v>0</v>
      </c>
      <c r="AE436" s="16" t="s">
        <v>1405</v>
      </c>
      <c r="AF436" s="16" t="s">
        <v>1405</v>
      </c>
    </row>
    <row r="437" spans="1:32" x14ac:dyDescent="0.2">
      <c r="A437" s="3" t="s">
        <v>2293</v>
      </c>
      <c r="B437" s="12" t="s">
        <v>1497</v>
      </c>
      <c r="C437" s="6">
        <v>436</v>
      </c>
      <c r="D437" s="12">
        <v>155</v>
      </c>
      <c r="E437" s="12" t="s">
        <v>1444</v>
      </c>
      <c r="F437" s="12" t="s">
        <v>1445</v>
      </c>
      <c r="G437" s="12" t="s">
        <v>1446</v>
      </c>
      <c r="H437" s="12" t="s">
        <v>101</v>
      </c>
      <c r="I437" s="12" t="s">
        <v>1413</v>
      </c>
      <c r="J437" s="12" t="s">
        <v>1403</v>
      </c>
      <c r="K437" s="17" t="s">
        <v>1616</v>
      </c>
      <c r="L437" s="13" t="s">
        <v>1521</v>
      </c>
      <c r="M437" s="13" t="s">
        <v>1610</v>
      </c>
      <c r="N437" s="13" t="s">
        <v>1450</v>
      </c>
      <c r="O437" s="13" t="s">
        <v>1581</v>
      </c>
      <c r="P437" s="13" t="s">
        <v>1451</v>
      </c>
      <c r="Q437" s="13" t="s">
        <v>1400</v>
      </c>
      <c r="R437" s="13">
        <v>14</v>
      </c>
      <c r="S437" s="13" t="s">
        <v>1453</v>
      </c>
      <c r="T437" s="13" t="s">
        <v>1454</v>
      </c>
      <c r="U437" s="13" t="s">
        <v>1406</v>
      </c>
      <c r="V437" s="13">
        <v>13</v>
      </c>
      <c r="W437" s="13" t="b">
        <v>1</v>
      </c>
      <c r="X437" s="13">
        <v>240806</v>
      </c>
      <c r="Y437" s="13" t="s">
        <v>1405</v>
      </c>
      <c r="Z437" s="13">
        <v>0</v>
      </c>
      <c r="AA437" s="13">
        <v>0</v>
      </c>
      <c r="AB437" s="13" t="s">
        <v>1405</v>
      </c>
      <c r="AC437" s="13" t="s">
        <v>1405</v>
      </c>
      <c r="AD437" s="13">
        <v>0</v>
      </c>
      <c r="AE437" s="13" t="s">
        <v>1405</v>
      </c>
      <c r="AF437" s="13" t="s">
        <v>1405</v>
      </c>
    </row>
    <row r="438" spans="1:32" x14ac:dyDescent="0.2">
      <c r="A438" s="3" t="s">
        <v>2294</v>
      </c>
      <c r="B438" s="14" t="s">
        <v>1497</v>
      </c>
      <c r="C438" s="6">
        <v>437</v>
      </c>
      <c r="D438" s="14">
        <v>155</v>
      </c>
      <c r="E438" s="14" t="s">
        <v>1457</v>
      </c>
      <c r="F438" s="15" t="s">
        <v>1445</v>
      </c>
      <c r="G438" s="14" t="s">
        <v>1458</v>
      </c>
      <c r="H438" s="14" t="s">
        <v>101</v>
      </c>
      <c r="I438" s="14" t="s">
        <v>1411</v>
      </c>
      <c r="J438" s="14" t="s">
        <v>1403</v>
      </c>
      <c r="K438" s="17" t="s">
        <v>1617</v>
      </c>
      <c r="L438" s="16" t="s">
        <v>1521</v>
      </c>
      <c r="M438" s="16" t="s">
        <v>1610</v>
      </c>
      <c r="N438" s="16" t="s">
        <v>1450</v>
      </c>
      <c r="O438" s="16" t="s">
        <v>1581</v>
      </c>
      <c r="P438" s="16" t="s">
        <v>1451</v>
      </c>
      <c r="Q438" s="16" t="s">
        <v>1400</v>
      </c>
      <c r="R438" s="16">
        <v>14</v>
      </c>
      <c r="S438" s="16" t="s">
        <v>1453</v>
      </c>
      <c r="T438" s="16" t="s">
        <v>1454</v>
      </c>
      <c r="U438" s="16" t="s">
        <v>1406</v>
      </c>
      <c r="V438" s="16">
        <v>13</v>
      </c>
      <c r="W438" s="16" t="b">
        <v>1</v>
      </c>
      <c r="X438" s="16">
        <v>240806</v>
      </c>
      <c r="Y438" s="16" t="s">
        <v>1405</v>
      </c>
      <c r="Z438" s="16">
        <v>0</v>
      </c>
      <c r="AA438" s="16">
        <v>0</v>
      </c>
      <c r="AB438" s="16" t="s">
        <v>1405</v>
      </c>
      <c r="AC438" s="16" t="s">
        <v>1405</v>
      </c>
      <c r="AD438" s="16">
        <v>0</v>
      </c>
      <c r="AE438" s="16" t="s">
        <v>1405</v>
      </c>
      <c r="AF438" s="16" t="s">
        <v>1405</v>
      </c>
    </row>
    <row r="439" spans="1:32" x14ac:dyDescent="0.2">
      <c r="A439" s="3" t="s">
        <v>2295</v>
      </c>
      <c r="B439" s="12" t="s">
        <v>1497</v>
      </c>
      <c r="C439" s="6">
        <v>438</v>
      </c>
      <c r="D439" s="12">
        <v>156</v>
      </c>
      <c r="E439" s="12" t="s">
        <v>1444</v>
      </c>
      <c r="F439" s="12" t="s">
        <v>1445</v>
      </c>
      <c r="G439" s="12" t="s">
        <v>1446</v>
      </c>
      <c r="H439" s="12" t="s">
        <v>102</v>
      </c>
      <c r="I439" s="12" t="s">
        <v>1413</v>
      </c>
      <c r="J439" s="12" t="s">
        <v>1403</v>
      </c>
      <c r="K439" s="17" t="s">
        <v>1618</v>
      </c>
      <c r="L439" s="13" t="s">
        <v>1521</v>
      </c>
      <c r="M439" s="13" t="s">
        <v>1610</v>
      </c>
      <c r="N439" s="13" t="s">
        <v>1450</v>
      </c>
      <c r="O439" s="13" t="s">
        <v>1581</v>
      </c>
      <c r="P439" s="13" t="s">
        <v>1451</v>
      </c>
      <c r="Q439" s="13" t="s">
        <v>1541</v>
      </c>
      <c r="R439" s="13">
        <v>15</v>
      </c>
      <c r="S439" s="13" t="s">
        <v>1453</v>
      </c>
      <c r="T439" s="13" t="s">
        <v>1454</v>
      </c>
      <c r="U439" s="13" t="s">
        <v>1406</v>
      </c>
      <c r="V439" s="13">
        <v>13</v>
      </c>
      <c r="W439" s="13" t="b">
        <v>1</v>
      </c>
      <c r="X439" s="13">
        <v>240806</v>
      </c>
      <c r="Y439" s="13" t="s">
        <v>1405</v>
      </c>
      <c r="Z439" s="13">
        <v>0</v>
      </c>
      <c r="AA439" s="13">
        <v>0</v>
      </c>
      <c r="AB439" s="13" t="s">
        <v>1405</v>
      </c>
      <c r="AC439" s="13" t="s">
        <v>1405</v>
      </c>
      <c r="AD439" s="13">
        <v>0</v>
      </c>
      <c r="AE439" s="13" t="s">
        <v>1405</v>
      </c>
      <c r="AF439" s="13" t="s">
        <v>1405</v>
      </c>
    </row>
    <row r="440" spans="1:32" x14ac:dyDescent="0.2">
      <c r="A440" s="3" t="s">
        <v>2296</v>
      </c>
      <c r="B440" s="14" t="s">
        <v>1497</v>
      </c>
      <c r="C440" s="6">
        <v>439</v>
      </c>
      <c r="D440" s="14">
        <v>156</v>
      </c>
      <c r="E440" s="14" t="s">
        <v>1457</v>
      </c>
      <c r="F440" s="15" t="s">
        <v>1445</v>
      </c>
      <c r="G440" s="14" t="s">
        <v>1458</v>
      </c>
      <c r="H440" s="14" t="s">
        <v>102</v>
      </c>
      <c r="I440" s="14" t="s">
        <v>1411</v>
      </c>
      <c r="J440" s="14" t="s">
        <v>1403</v>
      </c>
      <c r="K440" s="17" t="s">
        <v>1619</v>
      </c>
      <c r="L440" s="16" t="s">
        <v>1521</v>
      </c>
      <c r="M440" s="16" t="s">
        <v>1610</v>
      </c>
      <c r="N440" s="16" t="s">
        <v>1450</v>
      </c>
      <c r="O440" s="16" t="s">
        <v>1581</v>
      </c>
      <c r="P440" s="16" t="s">
        <v>1451</v>
      </c>
      <c r="Q440" s="16" t="s">
        <v>1541</v>
      </c>
      <c r="R440" s="16">
        <v>15</v>
      </c>
      <c r="S440" s="16" t="s">
        <v>1453</v>
      </c>
      <c r="T440" s="16" t="s">
        <v>1454</v>
      </c>
      <c r="U440" s="16" t="s">
        <v>1406</v>
      </c>
      <c r="V440" s="16">
        <v>13</v>
      </c>
      <c r="W440" s="16" t="b">
        <v>1</v>
      </c>
      <c r="X440" s="16">
        <v>240806</v>
      </c>
      <c r="Y440" s="16" t="s">
        <v>1405</v>
      </c>
      <c r="Z440" s="16">
        <v>0</v>
      </c>
      <c r="AA440" s="16">
        <v>0</v>
      </c>
      <c r="AB440" s="16" t="s">
        <v>1405</v>
      </c>
      <c r="AC440" s="16" t="s">
        <v>1405</v>
      </c>
      <c r="AD440" s="16">
        <v>0</v>
      </c>
      <c r="AE440" s="16" t="s">
        <v>1405</v>
      </c>
      <c r="AF440" s="16" t="s">
        <v>1405</v>
      </c>
    </row>
    <row r="441" spans="1:32" x14ac:dyDescent="0.2">
      <c r="A441" s="3" t="s">
        <v>2297</v>
      </c>
      <c r="B441" s="12" t="s">
        <v>1497</v>
      </c>
      <c r="C441" s="6">
        <v>440</v>
      </c>
      <c r="D441" s="12">
        <v>157</v>
      </c>
      <c r="E441" s="12" t="s">
        <v>1444</v>
      </c>
      <c r="F441" s="12" t="s">
        <v>1445</v>
      </c>
      <c r="G441" s="12" t="s">
        <v>1446</v>
      </c>
      <c r="H441" s="12" t="s">
        <v>103</v>
      </c>
      <c r="I441" s="12" t="s">
        <v>1413</v>
      </c>
      <c r="J441" s="12" t="s">
        <v>1397</v>
      </c>
      <c r="K441" s="17" t="s">
        <v>1498</v>
      </c>
      <c r="L441" s="13" t="s">
        <v>1499</v>
      </c>
      <c r="M441" s="13" t="s">
        <v>1500</v>
      </c>
      <c r="N441" s="13" t="s">
        <v>1397</v>
      </c>
      <c r="O441" s="13" t="s">
        <v>1501</v>
      </c>
      <c r="P441" s="13" t="s">
        <v>1451</v>
      </c>
      <c r="Q441" s="13" t="s">
        <v>1396</v>
      </c>
      <c r="R441" s="13">
        <v>1</v>
      </c>
      <c r="S441" s="13" t="s">
        <v>1453</v>
      </c>
      <c r="T441" s="13" t="s">
        <v>1454</v>
      </c>
      <c r="U441" s="13" t="s">
        <v>1406</v>
      </c>
      <c r="V441" s="13">
        <v>13</v>
      </c>
      <c r="W441" s="13" t="b">
        <v>1</v>
      </c>
      <c r="X441" s="13">
        <v>240806</v>
      </c>
      <c r="Y441" s="13" t="s">
        <v>1405</v>
      </c>
      <c r="Z441" s="13">
        <v>0</v>
      </c>
      <c r="AA441" s="13">
        <v>0</v>
      </c>
      <c r="AB441" s="13" t="s">
        <v>1405</v>
      </c>
      <c r="AC441" s="13" t="s">
        <v>1405</v>
      </c>
      <c r="AD441" s="13">
        <v>0</v>
      </c>
      <c r="AE441" s="13" t="s">
        <v>1405</v>
      </c>
      <c r="AF441" s="13" t="s">
        <v>1405</v>
      </c>
    </row>
    <row r="442" spans="1:32" x14ac:dyDescent="0.2">
      <c r="A442" s="3" t="s">
        <v>2298</v>
      </c>
      <c r="B442" s="14" t="s">
        <v>1497</v>
      </c>
      <c r="C442" s="6">
        <v>441</v>
      </c>
      <c r="D442" s="14">
        <v>157</v>
      </c>
      <c r="E442" s="14" t="s">
        <v>1457</v>
      </c>
      <c r="F442" s="15" t="s">
        <v>1445</v>
      </c>
      <c r="G442" s="14" t="s">
        <v>1458</v>
      </c>
      <c r="H442" s="14" t="s">
        <v>51</v>
      </c>
      <c r="I442" s="14" t="s">
        <v>1409</v>
      </c>
      <c r="J442" s="14" t="s">
        <v>1397</v>
      </c>
      <c r="K442" s="17" t="s">
        <v>1503</v>
      </c>
      <c r="L442" s="16" t="s">
        <v>1499</v>
      </c>
      <c r="M442" s="16" t="s">
        <v>1500</v>
      </c>
      <c r="N442" s="16" t="s">
        <v>1397</v>
      </c>
      <c r="O442" s="16" t="s">
        <v>1501</v>
      </c>
      <c r="P442" s="16" t="s">
        <v>1451</v>
      </c>
      <c r="Q442" s="16" t="s">
        <v>1396</v>
      </c>
      <c r="R442" s="16">
        <v>1</v>
      </c>
      <c r="S442" s="16" t="s">
        <v>1453</v>
      </c>
      <c r="T442" s="16" t="s">
        <v>1454</v>
      </c>
      <c r="U442" s="16" t="s">
        <v>1406</v>
      </c>
      <c r="V442" s="16">
        <v>13</v>
      </c>
      <c r="W442" s="16" t="b">
        <v>1</v>
      </c>
      <c r="X442" s="16">
        <v>240806</v>
      </c>
      <c r="Y442" s="16" t="s">
        <v>1405</v>
      </c>
      <c r="Z442" s="16">
        <v>0</v>
      </c>
      <c r="AA442" s="16">
        <v>0</v>
      </c>
      <c r="AB442" s="16" t="s">
        <v>1405</v>
      </c>
      <c r="AC442" s="16" t="s">
        <v>1405</v>
      </c>
      <c r="AD442" s="16">
        <v>0</v>
      </c>
      <c r="AE442" s="16" t="s">
        <v>1405</v>
      </c>
      <c r="AF442" s="16" t="s">
        <v>1405</v>
      </c>
    </row>
    <row r="443" spans="1:32" x14ac:dyDescent="0.2">
      <c r="A443" s="3" t="s">
        <v>2299</v>
      </c>
      <c r="B443" s="12" t="s">
        <v>1497</v>
      </c>
      <c r="C443" s="6">
        <v>442</v>
      </c>
      <c r="D443" s="12">
        <v>158</v>
      </c>
      <c r="E443" s="12" t="s">
        <v>1444</v>
      </c>
      <c r="F443" s="12" t="s">
        <v>1445</v>
      </c>
      <c r="G443" s="12" t="s">
        <v>1446</v>
      </c>
      <c r="H443" s="12" t="s">
        <v>105</v>
      </c>
      <c r="I443" s="12" t="s">
        <v>1413</v>
      </c>
      <c r="J443" s="12" t="s">
        <v>1397</v>
      </c>
      <c r="K443" s="17" t="s">
        <v>1504</v>
      </c>
      <c r="L443" s="13" t="s">
        <v>1499</v>
      </c>
      <c r="M443" s="13" t="s">
        <v>1500</v>
      </c>
      <c r="N443" s="13" t="s">
        <v>1397</v>
      </c>
      <c r="O443" s="13" t="s">
        <v>1501</v>
      </c>
      <c r="P443" s="13" t="s">
        <v>1451</v>
      </c>
      <c r="Q443" s="13" t="s">
        <v>1398</v>
      </c>
      <c r="R443" s="13">
        <v>2</v>
      </c>
      <c r="S443" s="13" t="s">
        <v>1453</v>
      </c>
      <c r="T443" s="13" t="s">
        <v>1454</v>
      </c>
      <c r="U443" s="13" t="s">
        <v>1406</v>
      </c>
      <c r="V443" s="13">
        <v>13</v>
      </c>
      <c r="W443" s="13" t="b">
        <v>1</v>
      </c>
      <c r="X443" s="13">
        <v>240806</v>
      </c>
      <c r="Y443" s="13" t="s">
        <v>1405</v>
      </c>
      <c r="Z443" s="13">
        <v>0</v>
      </c>
      <c r="AA443" s="13">
        <v>0</v>
      </c>
      <c r="AB443" s="13" t="s">
        <v>1405</v>
      </c>
      <c r="AC443" s="13" t="s">
        <v>1405</v>
      </c>
      <c r="AD443" s="13">
        <v>0</v>
      </c>
      <c r="AE443" s="13" t="s">
        <v>1405</v>
      </c>
      <c r="AF443" s="13" t="s">
        <v>1405</v>
      </c>
    </row>
    <row r="444" spans="1:32" x14ac:dyDescent="0.2">
      <c r="A444" s="3" t="s">
        <v>2300</v>
      </c>
      <c r="B444" s="14" t="s">
        <v>1497</v>
      </c>
      <c r="C444" s="6">
        <v>443</v>
      </c>
      <c r="D444" s="14">
        <v>158</v>
      </c>
      <c r="E444" s="14" t="s">
        <v>1457</v>
      </c>
      <c r="F444" s="15" t="s">
        <v>1445</v>
      </c>
      <c r="G444" s="14" t="s">
        <v>1458</v>
      </c>
      <c r="H444" s="14" t="s">
        <v>53</v>
      </c>
      <c r="I444" s="14" t="s">
        <v>1409</v>
      </c>
      <c r="J444" s="14" t="s">
        <v>1397</v>
      </c>
      <c r="K444" s="17" t="s">
        <v>1505</v>
      </c>
      <c r="L444" s="16" t="s">
        <v>1499</v>
      </c>
      <c r="M444" s="16" t="s">
        <v>1500</v>
      </c>
      <c r="N444" s="16" t="s">
        <v>1397</v>
      </c>
      <c r="O444" s="16" t="s">
        <v>1501</v>
      </c>
      <c r="P444" s="16" t="s">
        <v>1451</v>
      </c>
      <c r="Q444" s="16" t="s">
        <v>1398</v>
      </c>
      <c r="R444" s="16">
        <v>2</v>
      </c>
      <c r="S444" s="16" t="s">
        <v>1453</v>
      </c>
      <c r="T444" s="16" t="s">
        <v>1454</v>
      </c>
      <c r="U444" s="16" t="s">
        <v>1406</v>
      </c>
      <c r="V444" s="16">
        <v>13</v>
      </c>
      <c r="W444" s="16" t="b">
        <v>1</v>
      </c>
      <c r="X444" s="16">
        <v>240806</v>
      </c>
      <c r="Y444" s="16" t="s">
        <v>1405</v>
      </c>
      <c r="Z444" s="16">
        <v>0</v>
      </c>
      <c r="AA444" s="16">
        <v>0</v>
      </c>
      <c r="AB444" s="16" t="s">
        <v>1405</v>
      </c>
      <c r="AC444" s="16" t="s">
        <v>1405</v>
      </c>
      <c r="AD444" s="16">
        <v>0</v>
      </c>
      <c r="AE444" s="16" t="s">
        <v>1405</v>
      </c>
      <c r="AF444" s="16" t="s">
        <v>1405</v>
      </c>
    </row>
    <row r="445" spans="1:32" x14ac:dyDescent="0.2">
      <c r="A445" s="3" t="s">
        <v>2301</v>
      </c>
      <c r="B445" s="12" t="s">
        <v>1497</v>
      </c>
      <c r="C445" s="6">
        <v>444</v>
      </c>
      <c r="D445" s="12">
        <v>159</v>
      </c>
      <c r="E445" s="12" t="s">
        <v>1444</v>
      </c>
      <c r="F445" s="12" t="s">
        <v>1445</v>
      </c>
      <c r="G445" s="12" t="s">
        <v>1446</v>
      </c>
      <c r="H445" s="12" t="s">
        <v>106</v>
      </c>
      <c r="I445" s="12" t="s">
        <v>1413</v>
      </c>
      <c r="J445" s="12" t="s">
        <v>1397</v>
      </c>
      <c r="K445" s="17" t="s">
        <v>1506</v>
      </c>
      <c r="L445" s="13" t="s">
        <v>1499</v>
      </c>
      <c r="M445" s="13" t="s">
        <v>1500</v>
      </c>
      <c r="N445" s="13" t="s">
        <v>1397</v>
      </c>
      <c r="O445" s="13" t="s">
        <v>1501</v>
      </c>
      <c r="P445" s="13" t="s">
        <v>1451</v>
      </c>
      <c r="Q445" s="13" t="s">
        <v>1399</v>
      </c>
      <c r="R445" s="13">
        <v>3</v>
      </c>
      <c r="S445" s="13" t="s">
        <v>1453</v>
      </c>
      <c r="T445" s="13" t="s">
        <v>1454</v>
      </c>
      <c r="U445" s="13" t="s">
        <v>1406</v>
      </c>
      <c r="V445" s="13">
        <v>13</v>
      </c>
      <c r="W445" s="13" t="b">
        <v>1</v>
      </c>
      <c r="X445" s="13">
        <v>240806</v>
      </c>
      <c r="Y445" s="13" t="s">
        <v>1405</v>
      </c>
      <c r="Z445" s="13">
        <v>0</v>
      </c>
      <c r="AA445" s="13">
        <v>0</v>
      </c>
      <c r="AB445" s="13" t="s">
        <v>1405</v>
      </c>
      <c r="AC445" s="13" t="s">
        <v>1405</v>
      </c>
      <c r="AD445" s="13">
        <v>0</v>
      </c>
      <c r="AE445" s="13" t="s">
        <v>1405</v>
      </c>
      <c r="AF445" s="13" t="s">
        <v>1405</v>
      </c>
    </row>
    <row r="446" spans="1:32" x14ac:dyDescent="0.2">
      <c r="A446" s="3" t="s">
        <v>2302</v>
      </c>
      <c r="B446" s="14" t="s">
        <v>1497</v>
      </c>
      <c r="C446" s="6">
        <v>445</v>
      </c>
      <c r="D446" s="14">
        <v>159</v>
      </c>
      <c r="E446" s="14" t="s">
        <v>1457</v>
      </c>
      <c r="F446" s="15" t="s">
        <v>1445</v>
      </c>
      <c r="G446" s="14" t="s">
        <v>1458</v>
      </c>
      <c r="H446" s="14" t="s">
        <v>54</v>
      </c>
      <c r="I446" s="14" t="s">
        <v>1409</v>
      </c>
      <c r="J446" s="14" t="s">
        <v>1397</v>
      </c>
      <c r="K446" s="17" t="s">
        <v>1507</v>
      </c>
      <c r="L446" s="16" t="s">
        <v>1499</v>
      </c>
      <c r="M446" s="16" t="s">
        <v>1500</v>
      </c>
      <c r="N446" s="16" t="s">
        <v>1397</v>
      </c>
      <c r="O446" s="16" t="s">
        <v>1501</v>
      </c>
      <c r="P446" s="16" t="s">
        <v>1451</v>
      </c>
      <c r="Q446" s="16" t="s">
        <v>1399</v>
      </c>
      <c r="R446" s="16">
        <v>3</v>
      </c>
      <c r="S446" s="16" t="s">
        <v>1453</v>
      </c>
      <c r="T446" s="16" t="s">
        <v>1454</v>
      </c>
      <c r="U446" s="16" t="s">
        <v>1406</v>
      </c>
      <c r="V446" s="16">
        <v>13</v>
      </c>
      <c r="W446" s="16" t="b">
        <v>1</v>
      </c>
      <c r="X446" s="16">
        <v>240806</v>
      </c>
      <c r="Y446" s="16" t="s">
        <v>1405</v>
      </c>
      <c r="Z446" s="16">
        <v>0</v>
      </c>
      <c r="AA446" s="16">
        <v>0</v>
      </c>
      <c r="AB446" s="16" t="s">
        <v>1405</v>
      </c>
      <c r="AC446" s="16" t="s">
        <v>1405</v>
      </c>
      <c r="AD446" s="16">
        <v>0</v>
      </c>
      <c r="AE446" s="16" t="s">
        <v>1405</v>
      </c>
      <c r="AF446" s="16" t="s">
        <v>1405</v>
      </c>
    </row>
    <row r="447" spans="1:32" x14ac:dyDescent="0.2">
      <c r="A447" s="3" t="s">
        <v>2303</v>
      </c>
      <c r="B447" s="12" t="s">
        <v>1497</v>
      </c>
      <c r="C447" s="6">
        <v>446</v>
      </c>
      <c r="D447" s="12">
        <v>160</v>
      </c>
      <c r="E447" s="12" t="s">
        <v>1444</v>
      </c>
      <c r="F447" s="12" t="s">
        <v>1445</v>
      </c>
      <c r="G447" s="12" t="s">
        <v>1446</v>
      </c>
      <c r="H447" s="12" t="s">
        <v>107</v>
      </c>
      <c r="I447" s="12" t="s">
        <v>1413</v>
      </c>
      <c r="J447" s="12" t="s">
        <v>1397</v>
      </c>
      <c r="K447" s="17" t="s">
        <v>1508</v>
      </c>
      <c r="L447" s="13" t="s">
        <v>1499</v>
      </c>
      <c r="M447" s="13" t="s">
        <v>1500</v>
      </c>
      <c r="N447" s="13" t="s">
        <v>1397</v>
      </c>
      <c r="O447" s="13" t="s">
        <v>1501</v>
      </c>
      <c r="P447" s="13" t="s">
        <v>1451</v>
      </c>
      <c r="Q447" s="13" t="s">
        <v>1400</v>
      </c>
      <c r="R447" s="13">
        <v>4</v>
      </c>
      <c r="S447" s="13" t="s">
        <v>1453</v>
      </c>
      <c r="T447" s="13" t="s">
        <v>1454</v>
      </c>
      <c r="U447" s="13" t="s">
        <v>1406</v>
      </c>
      <c r="V447" s="13">
        <v>13</v>
      </c>
      <c r="W447" s="13" t="b">
        <v>1</v>
      </c>
      <c r="X447" s="13">
        <v>240806</v>
      </c>
      <c r="Y447" s="13" t="s">
        <v>1405</v>
      </c>
      <c r="Z447" s="13">
        <v>0</v>
      </c>
      <c r="AA447" s="13">
        <v>0</v>
      </c>
      <c r="AB447" s="13" t="s">
        <v>1405</v>
      </c>
      <c r="AC447" s="13" t="s">
        <v>1405</v>
      </c>
      <c r="AD447" s="13">
        <v>0</v>
      </c>
      <c r="AE447" s="13" t="s">
        <v>1405</v>
      </c>
      <c r="AF447" s="13" t="s">
        <v>1405</v>
      </c>
    </row>
    <row r="448" spans="1:32" x14ac:dyDescent="0.2">
      <c r="A448" s="3" t="s">
        <v>2304</v>
      </c>
      <c r="B448" s="14" t="s">
        <v>1497</v>
      </c>
      <c r="C448" s="6">
        <v>447</v>
      </c>
      <c r="D448" s="14">
        <v>160</v>
      </c>
      <c r="E448" s="14" t="s">
        <v>1457</v>
      </c>
      <c r="F448" s="15" t="s">
        <v>1445</v>
      </c>
      <c r="G448" s="14" t="s">
        <v>1458</v>
      </c>
      <c r="H448" s="14" t="s">
        <v>55</v>
      </c>
      <c r="I448" s="14" t="s">
        <v>1409</v>
      </c>
      <c r="J448" s="14" t="s">
        <v>1397</v>
      </c>
      <c r="K448" s="17" t="s">
        <v>1509</v>
      </c>
      <c r="L448" s="16" t="s">
        <v>1499</v>
      </c>
      <c r="M448" s="16" t="s">
        <v>1500</v>
      </c>
      <c r="N448" s="16" t="s">
        <v>1397</v>
      </c>
      <c r="O448" s="16" t="s">
        <v>1501</v>
      </c>
      <c r="P448" s="16" t="s">
        <v>1451</v>
      </c>
      <c r="Q448" s="16" t="s">
        <v>1400</v>
      </c>
      <c r="R448" s="16">
        <v>4</v>
      </c>
      <c r="S448" s="16" t="s">
        <v>1453</v>
      </c>
      <c r="T448" s="16" t="s">
        <v>1454</v>
      </c>
      <c r="U448" s="16" t="s">
        <v>1406</v>
      </c>
      <c r="V448" s="16">
        <v>13</v>
      </c>
      <c r="W448" s="16" t="b">
        <v>1</v>
      </c>
      <c r="X448" s="16">
        <v>240806</v>
      </c>
      <c r="Y448" s="16" t="s">
        <v>1405</v>
      </c>
      <c r="Z448" s="16">
        <v>0</v>
      </c>
      <c r="AA448" s="16">
        <v>0</v>
      </c>
      <c r="AB448" s="16" t="s">
        <v>1405</v>
      </c>
      <c r="AC448" s="16" t="s">
        <v>1405</v>
      </c>
      <c r="AD448" s="16">
        <v>0</v>
      </c>
      <c r="AE448" s="16" t="s">
        <v>1405</v>
      </c>
      <c r="AF448" s="16" t="s">
        <v>1405</v>
      </c>
    </row>
    <row r="449" spans="1:32" x14ac:dyDescent="0.2">
      <c r="A449" s="3" t="s">
        <v>2305</v>
      </c>
      <c r="B449" s="12" t="s">
        <v>1497</v>
      </c>
      <c r="C449" s="6">
        <v>448</v>
      </c>
      <c r="D449" s="12">
        <v>161</v>
      </c>
      <c r="E449" s="12" t="s">
        <v>1444</v>
      </c>
      <c r="F449" s="12" t="s">
        <v>1445</v>
      </c>
      <c r="G449" s="12" t="s">
        <v>1446</v>
      </c>
      <c r="H449" s="12" t="s">
        <v>108</v>
      </c>
      <c r="I449" s="12" t="s">
        <v>1413</v>
      </c>
      <c r="J449" s="12" t="s">
        <v>1397</v>
      </c>
      <c r="K449" s="17" t="s">
        <v>1510</v>
      </c>
      <c r="L449" s="13" t="s">
        <v>1511</v>
      </c>
      <c r="M449" s="13" t="s">
        <v>1512</v>
      </c>
      <c r="N449" s="13" t="s">
        <v>1397</v>
      </c>
      <c r="O449" s="13" t="s">
        <v>1501</v>
      </c>
      <c r="P449" s="13" t="s">
        <v>1451</v>
      </c>
      <c r="Q449" s="13" t="s">
        <v>1396</v>
      </c>
      <c r="R449" s="13">
        <v>1</v>
      </c>
      <c r="S449" s="13" t="s">
        <v>1453</v>
      </c>
      <c r="T449" s="13" t="s">
        <v>1454</v>
      </c>
      <c r="U449" s="13" t="s">
        <v>1406</v>
      </c>
      <c r="V449" s="13">
        <v>13</v>
      </c>
      <c r="W449" s="13" t="b">
        <v>1</v>
      </c>
      <c r="X449" s="13">
        <v>240806</v>
      </c>
      <c r="Y449" s="13" t="s">
        <v>1405</v>
      </c>
      <c r="Z449" s="13">
        <v>0</v>
      </c>
      <c r="AA449" s="13">
        <v>0</v>
      </c>
      <c r="AB449" s="13" t="s">
        <v>1405</v>
      </c>
      <c r="AC449" s="13" t="s">
        <v>1405</v>
      </c>
      <c r="AD449" s="13">
        <v>0</v>
      </c>
      <c r="AE449" s="13" t="s">
        <v>1405</v>
      </c>
      <c r="AF449" s="13" t="s">
        <v>1405</v>
      </c>
    </row>
    <row r="450" spans="1:32" x14ac:dyDescent="0.2">
      <c r="A450" s="3" t="s">
        <v>2306</v>
      </c>
      <c r="B450" s="14" t="s">
        <v>1497</v>
      </c>
      <c r="C450" s="6">
        <v>449</v>
      </c>
      <c r="D450" s="14">
        <v>161</v>
      </c>
      <c r="E450" s="14" t="s">
        <v>1457</v>
      </c>
      <c r="F450" s="15" t="s">
        <v>1445</v>
      </c>
      <c r="G450" s="14" t="s">
        <v>1458</v>
      </c>
      <c r="H450" s="14" t="s">
        <v>56</v>
      </c>
      <c r="I450" s="14" t="s">
        <v>1409</v>
      </c>
      <c r="J450" s="14" t="s">
        <v>1397</v>
      </c>
      <c r="K450" s="17" t="s">
        <v>1513</v>
      </c>
      <c r="L450" s="16" t="s">
        <v>1511</v>
      </c>
      <c r="M450" s="16" t="s">
        <v>1512</v>
      </c>
      <c r="N450" s="16" t="s">
        <v>1397</v>
      </c>
      <c r="O450" s="16" t="s">
        <v>1501</v>
      </c>
      <c r="P450" s="16" t="s">
        <v>1451</v>
      </c>
      <c r="Q450" s="16" t="s">
        <v>1396</v>
      </c>
      <c r="R450" s="16">
        <v>1</v>
      </c>
      <c r="S450" s="16" t="s">
        <v>1453</v>
      </c>
      <c r="T450" s="16" t="s">
        <v>1454</v>
      </c>
      <c r="U450" s="16" t="s">
        <v>1406</v>
      </c>
      <c r="V450" s="16">
        <v>13</v>
      </c>
      <c r="W450" s="16" t="b">
        <v>1</v>
      </c>
      <c r="X450" s="16">
        <v>240806</v>
      </c>
      <c r="Y450" s="16" t="s">
        <v>1405</v>
      </c>
      <c r="Z450" s="16">
        <v>0</v>
      </c>
      <c r="AA450" s="16">
        <v>0</v>
      </c>
      <c r="AB450" s="16" t="s">
        <v>1405</v>
      </c>
      <c r="AC450" s="16" t="s">
        <v>1405</v>
      </c>
      <c r="AD450" s="16">
        <v>0</v>
      </c>
      <c r="AE450" s="16" t="s">
        <v>1405</v>
      </c>
      <c r="AF450" s="16" t="s">
        <v>1405</v>
      </c>
    </row>
    <row r="451" spans="1:32" x14ac:dyDescent="0.2">
      <c r="A451" s="3" t="s">
        <v>2307</v>
      </c>
      <c r="B451" s="12" t="s">
        <v>1497</v>
      </c>
      <c r="C451" s="6">
        <v>450</v>
      </c>
      <c r="D451" s="12">
        <v>162</v>
      </c>
      <c r="E451" s="12" t="s">
        <v>1444</v>
      </c>
      <c r="F451" s="12" t="s">
        <v>1445</v>
      </c>
      <c r="G451" s="12" t="s">
        <v>1446</v>
      </c>
      <c r="H451" s="12" t="s">
        <v>109</v>
      </c>
      <c r="I451" s="12" t="s">
        <v>1413</v>
      </c>
      <c r="J451" s="12" t="s">
        <v>1397</v>
      </c>
      <c r="K451" s="17" t="s">
        <v>1514</v>
      </c>
      <c r="L451" s="13" t="s">
        <v>1511</v>
      </c>
      <c r="M451" s="13" t="s">
        <v>1512</v>
      </c>
      <c r="N451" s="13" t="s">
        <v>1397</v>
      </c>
      <c r="O451" s="13" t="s">
        <v>1501</v>
      </c>
      <c r="P451" s="13" t="s">
        <v>1451</v>
      </c>
      <c r="Q451" s="13" t="s">
        <v>1398</v>
      </c>
      <c r="R451" s="13">
        <v>2</v>
      </c>
      <c r="S451" s="13" t="s">
        <v>1453</v>
      </c>
      <c r="T451" s="13" t="s">
        <v>1454</v>
      </c>
      <c r="U451" s="13" t="s">
        <v>1406</v>
      </c>
      <c r="V451" s="13">
        <v>13</v>
      </c>
      <c r="W451" s="13" t="b">
        <v>1</v>
      </c>
      <c r="X451" s="13">
        <v>240806</v>
      </c>
      <c r="Y451" s="13" t="s">
        <v>1405</v>
      </c>
      <c r="Z451" s="13">
        <v>0</v>
      </c>
      <c r="AA451" s="13">
        <v>0</v>
      </c>
      <c r="AB451" s="13" t="s">
        <v>1405</v>
      </c>
      <c r="AC451" s="13" t="s">
        <v>1405</v>
      </c>
      <c r="AD451" s="13">
        <v>0</v>
      </c>
      <c r="AE451" s="13" t="s">
        <v>1405</v>
      </c>
      <c r="AF451" s="13" t="s">
        <v>1405</v>
      </c>
    </row>
    <row r="452" spans="1:32" x14ac:dyDescent="0.2">
      <c r="A452" s="3" t="s">
        <v>2308</v>
      </c>
      <c r="B452" s="14" t="s">
        <v>1497</v>
      </c>
      <c r="C452" s="6">
        <v>451</v>
      </c>
      <c r="D452" s="14">
        <v>162</v>
      </c>
      <c r="E452" s="14" t="s">
        <v>1457</v>
      </c>
      <c r="F452" s="15" t="s">
        <v>1445</v>
      </c>
      <c r="G452" s="14" t="s">
        <v>1458</v>
      </c>
      <c r="H452" s="14" t="s">
        <v>57</v>
      </c>
      <c r="I452" s="14" t="s">
        <v>1409</v>
      </c>
      <c r="J452" s="14" t="s">
        <v>1397</v>
      </c>
      <c r="K452" s="17" t="s">
        <v>1515</v>
      </c>
      <c r="L452" s="16" t="s">
        <v>1511</v>
      </c>
      <c r="M452" s="16" t="s">
        <v>1512</v>
      </c>
      <c r="N452" s="16" t="s">
        <v>1397</v>
      </c>
      <c r="O452" s="16" t="s">
        <v>1501</v>
      </c>
      <c r="P452" s="16" t="s">
        <v>1451</v>
      </c>
      <c r="Q452" s="16" t="s">
        <v>1398</v>
      </c>
      <c r="R452" s="16">
        <v>2</v>
      </c>
      <c r="S452" s="16" t="s">
        <v>1453</v>
      </c>
      <c r="T452" s="16" t="s">
        <v>1454</v>
      </c>
      <c r="U452" s="16" t="s">
        <v>1406</v>
      </c>
      <c r="V452" s="16">
        <v>13</v>
      </c>
      <c r="W452" s="16" t="b">
        <v>1</v>
      </c>
      <c r="X452" s="16">
        <v>240806</v>
      </c>
      <c r="Y452" s="16" t="s">
        <v>1405</v>
      </c>
      <c r="Z452" s="16">
        <v>0</v>
      </c>
      <c r="AA452" s="16">
        <v>0</v>
      </c>
      <c r="AB452" s="16" t="s">
        <v>1405</v>
      </c>
      <c r="AC452" s="16" t="s">
        <v>1405</v>
      </c>
      <c r="AD452" s="16">
        <v>0</v>
      </c>
      <c r="AE452" s="16" t="s">
        <v>1405</v>
      </c>
      <c r="AF452" s="16" t="s">
        <v>1405</v>
      </c>
    </row>
    <row r="453" spans="1:32" x14ac:dyDescent="0.2">
      <c r="A453" s="3" t="s">
        <v>2309</v>
      </c>
      <c r="B453" s="12" t="s">
        <v>1497</v>
      </c>
      <c r="C453" s="6">
        <v>452</v>
      </c>
      <c r="D453" s="12">
        <v>163</v>
      </c>
      <c r="E453" s="12" t="s">
        <v>1444</v>
      </c>
      <c r="F453" s="12" t="s">
        <v>1445</v>
      </c>
      <c r="G453" s="12" t="s">
        <v>1446</v>
      </c>
      <c r="H453" s="12" t="s">
        <v>110</v>
      </c>
      <c r="I453" s="12" t="s">
        <v>1413</v>
      </c>
      <c r="J453" s="12" t="s">
        <v>1397</v>
      </c>
      <c r="K453" s="17" t="s">
        <v>1516</v>
      </c>
      <c r="L453" s="13" t="s">
        <v>1511</v>
      </c>
      <c r="M453" s="13" t="s">
        <v>1512</v>
      </c>
      <c r="N453" s="13" t="s">
        <v>1397</v>
      </c>
      <c r="O453" s="13" t="s">
        <v>1501</v>
      </c>
      <c r="P453" s="13" t="s">
        <v>1451</v>
      </c>
      <c r="Q453" s="13" t="s">
        <v>1399</v>
      </c>
      <c r="R453" s="13">
        <v>3</v>
      </c>
      <c r="S453" s="13" t="s">
        <v>1453</v>
      </c>
      <c r="T453" s="13" t="s">
        <v>1454</v>
      </c>
      <c r="U453" s="13" t="s">
        <v>1406</v>
      </c>
      <c r="V453" s="13">
        <v>13</v>
      </c>
      <c r="W453" s="13" t="b">
        <v>1</v>
      </c>
      <c r="X453" s="13">
        <v>240806</v>
      </c>
      <c r="Y453" s="13" t="s">
        <v>1405</v>
      </c>
      <c r="Z453" s="13">
        <v>0</v>
      </c>
      <c r="AA453" s="13">
        <v>0</v>
      </c>
      <c r="AB453" s="13" t="s">
        <v>1405</v>
      </c>
      <c r="AC453" s="13" t="s">
        <v>1405</v>
      </c>
      <c r="AD453" s="13">
        <v>0</v>
      </c>
      <c r="AE453" s="13" t="s">
        <v>1405</v>
      </c>
      <c r="AF453" s="13" t="s">
        <v>1405</v>
      </c>
    </row>
    <row r="454" spans="1:32" x14ac:dyDescent="0.2">
      <c r="A454" s="3" t="s">
        <v>2310</v>
      </c>
      <c r="B454" s="14" t="s">
        <v>1497</v>
      </c>
      <c r="C454" s="6">
        <v>453</v>
      </c>
      <c r="D454" s="14">
        <v>163</v>
      </c>
      <c r="E454" s="14" t="s">
        <v>1457</v>
      </c>
      <c r="F454" s="15" t="s">
        <v>1445</v>
      </c>
      <c r="G454" s="14" t="s">
        <v>1458</v>
      </c>
      <c r="H454" s="14" t="s">
        <v>58</v>
      </c>
      <c r="I454" s="14" t="s">
        <v>1409</v>
      </c>
      <c r="J454" s="14" t="s">
        <v>1397</v>
      </c>
      <c r="K454" s="17" t="s">
        <v>1517</v>
      </c>
      <c r="L454" s="16" t="s">
        <v>1511</v>
      </c>
      <c r="M454" s="16" t="s">
        <v>1512</v>
      </c>
      <c r="N454" s="16" t="s">
        <v>1397</v>
      </c>
      <c r="O454" s="16" t="s">
        <v>1501</v>
      </c>
      <c r="P454" s="16" t="s">
        <v>1451</v>
      </c>
      <c r="Q454" s="16" t="s">
        <v>1399</v>
      </c>
      <c r="R454" s="16">
        <v>3</v>
      </c>
      <c r="S454" s="16" t="s">
        <v>1453</v>
      </c>
      <c r="T454" s="16" t="s">
        <v>1454</v>
      </c>
      <c r="U454" s="16" t="s">
        <v>1406</v>
      </c>
      <c r="V454" s="16">
        <v>13</v>
      </c>
      <c r="W454" s="16" t="b">
        <v>1</v>
      </c>
      <c r="X454" s="16">
        <v>240806</v>
      </c>
      <c r="Y454" s="16" t="s">
        <v>1405</v>
      </c>
      <c r="Z454" s="16">
        <v>0</v>
      </c>
      <c r="AA454" s="16">
        <v>0</v>
      </c>
      <c r="AB454" s="16" t="s">
        <v>1405</v>
      </c>
      <c r="AC454" s="16" t="s">
        <v>1405</v>
      </c>
      <c r="AD454" s="16">
        <v>0</v>
      </c>
      <c r="AE454" s="16" t="s">
        <v>1405</v>
      </c>
      <c r="AF454" s="16" t="s">
        <v>1405</v>
      </c>
    </row>
    <row r="455" spans="1:32" x14ac:dyDescent="0.2">
      <c r="A455" s="3" t="s">
        <v>2311</v>
      </c>
      <c r="B455" s="12" t="s">
        <v>1497</v>
      </c>
      <c r="C455" s="6">
        <v>454</v>
      </c>
      <c r="D455" s="12">
        <v>164</v>
      </c>
      <c r="E455" s="12" t="s">
        <v>1444</v>
      </c>
      <c r="F455" s="12" t="s">
        <v>1445</v>
      </c>
      <c r="G455" s="12" t="s">
        <v>1446</v>
      </c>
      <c r="H455" s="12" t="s">
        <v>111</v>
      </c>
      <c r="I455" s="12" t="s">
        <v>1413</v>
      </c>
      <c r="J455" s="12" t="s">
        <v>1397</v>
      </c>
      <c r="K455" s="17" t="s">
        <v>1518</v>
      </c>
      <c r="L455" s="13" t="s">
        <v>1511</v>
      </c>
      <c r="M455" s="13" t="s">
        <v>1512</v>
      </c>
      <c r="N455" s="13" t="s">
        <v>1397</v>
      </c>
      <c r="O455" s="13" t="s">
        <v>1501</v>
      </c>
      <c r="P455" s="13" t="s">
        <v>1451</v>
      </c>
      <c r="Q455" s="13" t="s">
        <v>1400</v>
      </c>
      <c r="R455" s="13">
        <v>4</v>
      </c>
      <c r="S455" s="13" t="s">
        <v>1453</v>
      </c>
      <c r="T455" s="13" t="s">
        <v>1454</v>
      </c>
      <c r="U455" s="13" t="s">
        <v>1406</v>
      </c>
      <c r="V455" s="13">
        <v>13</v>
      </c>
      <c r="W455" s="13" t="b">
        <v>1</v>
      </c>
      <c r="X455" s="13">
        <v>240806</v>
      </c>
      <c r="Y455" s="13" t="s">
        <v>1405</v>
      </c>
      <c r="Z455" s="13">
        <v>0</v>
      </c>
      <c r="AA455" s="13">
        <v>0</v>
      </c>
      <c r="AB455" s="13" t="s">
        <v>1405</v>
      </c>
      <c r="AC455" s="13" t="s">
        <v>1405</v>
      </c>
      <c r="AD455" s="13">
        <v>0</v>
      </c>
      <c r="AE455" s="13" t="s">
        <v>1405</v>
      </c>
      <c r="AF455" s="13" t="s">
        <v>1405</v>
      </c>
    </row>
    <row r="456" spans="1:32" x14ac:dyDescent="0.2">
      <c r="A456" s="3" t="s">
        <v>2312</v>
      </c>
      <c r="B456" s="14" t="s">
        <v>1497</v>
      </c>
      <c r="C456" s="6">
        <v>455</v>
      </c>
      <c r="D456" s="14">
        <v>164</v>
      </c>
      <c r="E456" s="14" t="s">
        <v>1457</v>
      </c>
      <c r="F456" s="15" t="s">
        <v>1445</v>
      </c>
      <c r="G456" s="14" t="s">
        <v>1458</v>
      </c>
      <c r="H456" s="14" t="s">
        <v>59</v>
      </c>
      <c r="I456" s="14" t="s">
        <v>1409</v>
      </c>
      <c r="J456" s="14" t="s">
        <v>1397</v>
      </c>
      <c r="K456" s="8" t="s">
        <v>1519</v>
      </c>
      <c r="L456" s="16" t="s">
        <v>1511</v>
      </c>
      <c r="M456" s="16" t="s">
        <v>1512</v>
      </c>
      <c r="N456" s="16" t="s">
        <v>1397</v>
      </c>
      <c r="O456" s="16" t="s">
        <v>1501</v>
      </c>
      <c r="P456" s="16" t="s">
        <v>1451</v>
      </c>
      <c r="Q456" s="16" t="s">
        <v>1400</v>
      </c>
      <c r="R456" s="16">
        <v>4</v>
      </c>
      <c r="S456" s="16" t="s">
        <v>1453</v>
      </c>
      <c r="T456" s="16" t="s">
        <v>1454</v>
      </c>
      <c r="U456" s="16" t="s">
        <v>1406</v>
      </c>
      <c r="V456" s="16">
        <v>13</v>
      </c>
      <c r="W456" s="16" t="b">
        <v>1</v>
      </c>
      <c r="X456" s="16">
        <v>240806</v>
      </c>
      <c r="Y456" s="16" t="s">
        <v>1405</v>
      </c>
      <c r="Z456" s="16">
        <v>0</v>
      </c>
      <c r="AA456" s="16">
        <v>0</v>
      </c>
      <c r="AB456" s="16" t="s">
        <v>1405</v>
      </c>
      <c r="AC456" s="16" t="s">
        <v>1405</v>
      </c>
      <c r="AD456" s="16">
        <v>0</v>
      </c>
      <c r="AE456" s="16" t="s">
        <v>1405</v>
      </c>
      <c r="AF456" s="16" t="s">
        <v>1405</v>
      </c>
    </row>
    <row r="457" spans="1:32" x14ac:dyDescent="0.2">
      <c r="A457" s="3" t="s">
        <v>2313</v>
      </c>
      <c r="B457" s="12" t="s">
        <v>1497</v>
      </c>
      <c r="C457" s="6">
        <v>456</v>
      </c>
      <c r="D457" s="12">
        <v>165</v>
      </c>
      <c r="E457" s="12" t="s">
        <v>1444</v>
      </c>
      <c r="F457" s="12" t="s">
        <v>1445</v>
      </c>
      <c r="G457" s="12" t="s">
        <v>1446</v>
      </c>
      <c r="H457" s="12" t="s">
        <v>112</v>
      </c>
      <c r="I457" s="12" t="s">
        <v>1413</v>
      </c>
      <c r="J457" s="12" t="s">
        <v>1397</v>
      </c>
      <c r="K457" s="8" t="s">
        <v>1520</v>
      </c>
      <c r="L457" s="13" t="s">
        <v>1521</v>
      </c>
      <c r="M457" s="13" t="s">
        <v>1522</v>
      </c>
      <c r="N457" s="13" t="s">
        <v>1397</v>
      </c>
      <c r="O457" s="13" t="s">
        <v>1501</v>
      </c>
      <c r="P457" s="13" t="s">
        <v>1451</v>
      </c>
      <c r="Q457" s="13" t="s">
        <v>1396</v>
      </c>
      <c r="R457" s="13">
        <v>1</v>
      </c>
      <c r="S457" s="13" t="s">
        <v>1453</v>
      </c>
      <c r="T457" s="13" t="s">
        <v>1454</v>
      </c>
      <c r="U457" s="13" t="s">
        <v>1406</v>
      </c>
      <c r="V457" s="13">
        <v>13</v>
      </c>
      <c r="W457" s="13" t="b">
        <v>1</v>
      </c>
      <c r="X457" s="13">
        <v>240806</v>
      </c>
      <c r="Y457" s="13" t="s">
        <v>1405</v>
      </c>
      <c r="Z457" s="13">
        <v>0</v>
      </c>
      <c r="AA457" s="13">
        <v>0</v>
      </c>
      <c r="AB457" s="13" t="s">
        <v>1405</v>
      </c>
      <c r="AC457" s="13" t="s">
        <v>1405</v>
      </c>
      <c r="AD457" s="13">
        <v>0</v>
      </c>
      <c r="AE457" s="13" t="s">
        <v>1405</v>
      </c>
      <c r="AF457" s="13" t="s">
        <v>1405</v>
      </c>
    </row>
    <row r="458" spans="1:32" x14ac:dyDescent="0.2">
      <c r="A458" s="3" t="s">
        <v>2314</v>
      </c>
      <c r="B458" s="14" t="s">
        <v>1497</v>
      </c>
      <c r="C458" s="6">
        <v>457</v>
      </c>
      <c r="D458" s="14">
        <v>165</v>
      </c>
      <c r="E458" s="14" t="s">
        <v>1457</v>
      </c>
      <c r="F458" s="15" t="s">
        <v>1445</v>
      </c>
      <c r="G458" s="14" t="s">
        <v>1458</v>
      </c>
      <c r="H458" s="14" t="s">
        <v>60</v>
      </c>
      <c r="I458" s="14" t="s">
        <v>1409</v>
      </c>
      <c r="J458" s="14" t="s">
        <v>1397</v>
      </c>
      <c r="K458" s="8" t="s">
        <v>1523</v>
      </c>
      <c r="L458" s="16" t="s">
        <v>1521</v>
      </c>
      <c r="M458" s="16" t="s">
        <v>1522</v>
      </c>
      <c r="N458" s="16" t="s">
        <v>1397</v>
      </c>
      <c r="O458" s="16" t="s">
        <v>1501</v>
      </c>
      <c r="P458" s="16" t="s">
        <v>1451</v>
      </c>
      <c r="Q458" s="16" t="s">
        <v>1396</v>
      </c>
      <c r="R458" s="16">
        <v>1</v>
      </c>
      <c r="S458" s="16" t="s">
        <v>1453</v>
      </c>
      <c r="T458" s="16" t="s">
        <v>1454</v>
      </c>
      <c r="U458" s="16" t="s">
        <v>1406</v>
      </c>
      <c r="V458" s="16">
        <v>13</v>
      </c>
      <c r="W458" s="16" t="b">
        <v>1</v>
      </c>
      <c r="X458" s="16">
        <v>240806</v>
      </c>
      <c r="Y458" s="16" t="s">
        <v>1405</v>
      </c>
      <c r="Z458" s="16">
        <v>0</v>
      </c>
      <c r="AA458" s="16">
        <v>0</v>
      </c>
      <c r="AB458" s="16" t="s">
        <v>1405</v>
      </c>
      <c r="AC458" s="16" t="s">
        <v>1405</v>
      </c>
      <c r="AD458" s="16">
        <v>0</v>
      </c>
      <c r="AE458" s="16" t="s">
        <v>1405</v>
      </c>
      <c r="AF458" s="16" t="s">
        <v>1405</v>
      </c>
    </row>
    <row r="459" spans="1:32" x14ac:dyDescent="0.2">
      <c r="A459" s="3" t="s">
        <v>2315</v>
      </c>
      <c r="B459" s="12" t="s">
        <v>1497</v>
      </c>
      <c r="C459" s="6">
        <v>458</v>
      </c>
      <c r="D459" s="12">
        <v>166</v>
      </c>
      <c r="E459" s="12" t="s">
        <v>1444</v>
      </c>
      <c r="F459" s="12" t="s">
        <v>1445</v>
      </c>
      <c r="G459" s="12" t="s">
        <v>1446</v>
      </c>
      <c r="H459" s="12" t="s">
        <v>113</v>
      </c>
      <c r="I459" s="12" t="s">
        <v>1413</v>
      </c>
      <c r="J459" s="12" t="s">
        <v>1397</v>
      </c>
      <c r="K459" s="8" t="s">
        <v>1524</v>
      </c>
      <c r="L459" s="13" t="s">
        <v>1521</v>
      </c>
      <c r="M459" s="13" t="s">
        <v>1522</v>
      </c>
      <c r="N459" s="13" t="s">
        <v>1397</v>
      </c>
      <c r="O459" s="13" t="s">
        <v>1501</v>
      </c>
      <c r="P459" s="13" t="s">
        <v>1451</v>
      </c>
      <c r="Q459" s="13" t="s">
        <v>1398</v>
      </c>
      <c r="R459" s="13">
        <v>2</v>
      </c>
      <c r="S459" s="13" t="s">
        <v>1453</v>
      </c>
      <c r="T459" s="13" t="s">
        <v>1454</v>
      </c>
      <c r="U459" s="13" t="s">
        <v>1406</v>
      </c>
      <c r="V459" s="13">
        <v>13</v>
      </c>
      <c r="W459" s="13" t="b">
        <v>1</v>
      </c>
      <c r="X459" s="13">
        <v>240806</v>
      </c>
      <c r="Y459" s="13" t="s">
        <v>1405</v>
      </c>
      <c r="Z459" s="13">
        <v>0</v>
      </c>
      <c r="AA459" s="13">
        <v>0</v>
      </c>
      <c r="AB459" s="13" t="s">
        <v>1405</v>
      </c>
      <c r="AC459" s="13" t="s">
        <v>1405</v>
      </c>
      <c r="AD459" s="13">
        <v>0</v>
      </c>
      <c r="AE459" s="13" t="s">
        <v>1405</v>
      </c>
      <c r="AF459" s="13" t="s">
        <v>1405</v>
      </c>
    </row>
    <row r="460" spans="1:32" x14ac:dyDescent="0.2">
      <c r="A460" s="3" t="s">
        <v>2316</v>
      </c>
      <c r="B460" s="14" t="s">
        <v>1497</v>
      </c>
      <c r="C460" s="6">
        <v>459</v>
      </c>
      <c r="D460" s="14">
        <v>166</v>
      </c>
      <c r="E460" s="14" t="s">
        <v>1457</v>
      </c>
      <c r="F460" s="15" t="s">
        <v>1445</v>
      </c>
      <c r="G460" s="14" t="s">
        <v>1458</v>
      </c>
      <c r="H460" s="14" t="s">
        <v>61</v>
      </c>
      <c r="I460" s="14" t="s">
        <v>1409</v>
      </c>
      <c r="J460" s="14" t="s">
        <v>1397</v>
      </c>
      <c r="K460" s="8" t="s">
        <v>1525</v>
      </c>
      <c r="L460" s="16" t="s">
        <v>1521</v>
      </c>
      <c r="M460" s="16" t="s">
        <v>1522</v>
      </c>
      <c r="N460" s="16" t="s">
        <v>1397</v>
      </c>
      <c r="O460" s="16" t="s">
        <v>1501</v>
      </c>
      <c r="P460" s="16" t="s">
        <v>1451</v>
      </c>
      <c r="Q460" s="16" t="s">
        <v>1398</v>
      </c>
      <c r="R460" s="16">
        <v>2</v>
      </c>
      <c r="S460" s="16" t="s">
        <v>1453</v>
      </c>
      <c r="T460" s="16" t="s">
        <v>1454</v>
      </c>
      <c r="U460" s="16" t="s">
        <v>1406</v>
      </c>
      <c r="V460" s="16">
        <v>13</v>
      </c>
      <c r="W460" s="16" t="b">
        <v>1</v>
      </c>
      <c r="X460" s="16">
        <v>240806</v>
      </c>
      <c r="Y460" s="16" t="s">
        <v>1405</v>
      </c>
      <c r="Z460" s="16">
        <v>0</v>
      </c>
      <c r="AA460" s="16">
        <v>0</v>
      </c>
      <c r="AB460" s="16" t="s">
        <v>1405</v>
      </c>
      <c r="AC460" s="16" t="s">
        <v>1405</v>
      </c>
      <c r="AD460" s="16">
        <v>0</v>
      </c>
      <c r="AE460" s="16" t="s">
        <v>1405</v>
      </c>
      <c r="AF460" s="16" t="s">
        <v>1405</v>
      </c>
    </row>
    <row r="461" spans="1:32" x14ac:dyDescent="0.2">
      <c r="A461" s="3" t="s">
        <v>2317</v>
      </c>
      <c r="B461" s="12" t="s">
        <v>1497</v>
      </c>
      <c r="C461" s="6">
        <v>460</v>
      </c>
      <c r="D461" s="12">
        <v>167</v>
      </c>
      <c r="E461" s="12" t="s">
        <v>1444</v>
      </c>
      <c r="F461" s="12" t="s">
        <v>1445</v>
      </c>
      <c r="G461" s="12" t="s">
        <v>1446</v>
      </c>
      <c r="H461" s="12" t="s">
        <v>114</v>
      </c>
      <c r="I461" s="12" t="s">
        <v>1413</v>
      </c>
      <c r="J461" s="12" t="s">
        <v>1397</v>
      </c>
      <c r="K461" s="8" t="s">
        <v>1526</v>
      </c>
      <c r="L461" s="13" t="s">
        <v>1521</v>
      </c>
      <c r="M461" s="13" t="s">
        <v>1522</v>
      </c>
      <c r="N461" s="13" t="s">
        <v>1397</v>
      </c>
      <c r="O461" s="13" t="s">
        <v>1501</v>
      </c>
      <c r="P461" s="13" t="s">
        <v>1451</v>
      </c>
      <c r="Q461" s="13" t="s">
        <v>1399</v>
      </c>
      <c r="R461" s="13">
        <v>3</v>
      </c>
      <c r="S461" s="13" t="s">
        <v>1453</v>
      </c>
      <c r="T461" s="13" t="s">
        <v>1454</v>
      </c>
      <c r="U461" s="13" t="s">
        <v>1406</v>
      </c>
      <c r="V461" s="13">
        <v>13</v>
      </c>
      <c r="W461" s="13" t="b">
        <v>1</v>
      </c>
      <c r="X461" s="13">
        <v>240806</v>
      </c>
      <c r="Y461" s="13" t="s">
        <v>1405</v>
      </c>
      <c r="Z461" s="13">
        <v>0</v>
      </c>
      <c r="AA461" s="13">
        <v>0</v>
      </c>
      <c r="AB461" s="13" t="s">
        <v>1405</v>
      </c>
      <c r="AC461" s="13" t="s">
        <v>1405</v>
      </c>
      <c r="AD461" s="13">
        <v>0</v>
      </c>
      <c r="AE461" s="13" t="s">
        <v>1405</v>
      </c>
      <c r="AF461" s="13" t="s">
        <v>1405</v>
      </c>
    </row>
    <row r="462" spans="1:32" x14ac:dyDescent="0.2">
      <c r="A462" s="3" t="s">
        <v>2318</v>
      </c>
      <c r="B462" s="14" t="s">
        <v>1497</v>
      </c>
      <c r="C462" s="6">
        <v>461</v>
      </c>
      <c r="D462" s="14">
        <v>167</v>
      </c>
      <c r="E462" s="14" t="s">
        <v>1457</v>
      </c>
      <c r="F462" s="15" t="s">
        <v>1445</v>
      </c>
      <c r="G462" s="14" t="s">
        <v>1458</v>
      </c>
      <c r="H462" s="14" t="s">
        <v>62</v>
      </c>
      <c r="I462" s="14" t="s">
        <v>1409</v>
      </c>
      <c r="J462" s="14" t="s">
        <v>1397</v>
      </c>
      <c r="K462" s="8" t="s">
        <v>1527</v>
      </c>
      <c r="L462" s="16" t="s">
        <v>1521</v>
      </c>
      <c r="M462" s="16" t="s">
        <v>1522</v>
      </c>
      <c r="N462" s="16" t="s">
        <v>1397</v>
      </c>
      <c r="O462" s="16" t="s">
        <v>1501</v>
      </c>
      <c r="P462" s="16" t="s">
        <v>1451</v>
      </c>
      <c r="Q462" s="16" t="s">
        <v>1399</v>
      </c>
      <c r="R462" s="16">
        <v>3</v>
      </c>
      <c r="S462" s="16" t="s">
        <v>1453</v>
      </c>
      <c r="T462" s="16" t="s">
        <v>1454</v>
      </c>
      <c r="U462" s="16" t="s">
        <v>1406</v>
      </c>
      <c r="V462" s="16">
        <v>13</v>
      </c>
      <c r="W462" s="16" t="b">
        <v>1</v>
      </c>
      <c r="X462" s="16">
        <v>240806</v>
      </c>
      <c r="Y462" s="16" t="s">
        <v>1405</v>
      </c>
      <c r="Z462" s="16">
        <v>0</v>
      </c>
      <c r="AA462" s="16">
        <v>0</v>
      </c>
      <c r="AB462" s="16" t="s">
        <v>1405</v>
      </c>
      <c r="AC462" s="16" t="s">
        <v>1405</v>
      </c>
      <c r="AD462" s="16">
        <v>0</v>
      </c>
      <c r="AE462" s="16" t="s">
        <v>1405</v>
      </c>
      <c r="AF462" s="16" t="s">
        <v>1405</v>
      </c>
    </row>
    <row r="463" spans="1:32" x14ac:dyDescent="0.2">
      <c r="A463" s="3" t="s">
        <v>2319</v>
      </c>
      <c r="B463" s="12" t="s">
        <v>1497</v>
      </c>
      <c r="C463" s="6">
        <v>462</v>
      </c>
      <c r="D463" s="12">
        <v>168</v>
      </c>
      <c r="E463" s="12" t="s">
        <v>1444</v>
      </c>
      <c r="F463" s="12" t="s">
        <v>1445</v>
      </c>
      <c r="G463" s="12" t="s">
        <v>1446</v>
      </c>
      <c r="H463" s="12" t="s">
        <v>115</v>
      </c>
      <c r="I463" s="12" t="s">
        <v>1413</v>
      </c>
      <c r="J463" s="12" t="s">
        <v>1397</v>
      </c>
      <c r="K463" s="8" t="s">
        <v>1528</v>
      </c>
      <c r="L463" s="13" t="s">
        <v>1521</v>
      </c>
      <c r="M463" s="13" t="s">
        <v>1522</v>
      </c>
      <c r="N463" s="13" t="s">
        <v>1397</v>
      </c>
      <c r="O463" s="13" t="s">
        <v>1501</v>
      </c>
      <c r="P463" s="13" t="s">
        <v>1451</v>
      </c>
      <c r="Q463" s="13" t="s">
        <v>1400</v>
      </c>
      <c r="R463" s="13">
        <v>4</v>
      </c>
      <c r="S463" s="13" t="s">
        <v>1453</v>
      </c>
      <c r="T463" s="13" t="s">
        <v>1454</v>
      </c>
      <c r="U463" s="13" t="s">
        <v>1406</v>
      </c>
      <c r="V463" s="13">
        <v>13</v>
      </c>
      <c r="W463" s="13" t="b">
        <v>1</v>
      </c>
      <c r="X463" s="13">
        <v>240806</v>
      </c>
      <c r="Y463" s="13" t="s">
        <v>1405</v>
      </c>
      <c r="Z463" s="13">
        <v>0</v>
      </c>
      <c r="AA463" s="13">
        <v>0</v>
      </c>
      <c r="AB463" s="13" t="s">
        <v>1405</v>
      </c>
      <c r="AC463" s="13" t="s">
        <v>1405</v>
      </c>
      <c r="AD463" s="13">
        <v>0</v>
      </c>
      <c r="AE463" s="13" t="s">
        <v>1405</v>
      </c>
      <c r="AF463" s="13" t="s">
        <v>1405</v>
      </c>
    </row>
    <row r="464" spans="1:32" x14ac:dyDescent="0.2">
      <c r="A464" s="3" t="s">
        <v>2320</v>
      </c>
      <c r="B464" s="14" t="s">
        <v>1497</v>
      </c>
      <c r="C464" s="6">
        <v>463</v>
      </c>
      <c r="D464" s="14">
        <v>168</v>
      </c>
      <c r="E464" s="14" t="s">
        <v>1457</v>
      </c>
      <c r="F464" s="15" t="s">
        <v>1445</v>
      </c>
      <c r="G464" s="14" t="s">
        <v>1458</v>
      </c>
      <c r="H464" s="14" t="s">
        <v>63</v>
      </c>
      <c r="I464" s="14" t="s">
        <v>1409</v>
      </c>
      <c r="J464" s="14" t="s">
        <v>1397</v>
      </c>
      <c r="K464" s="8" t="s">
        <v>1529</v>
      </c>
      <c r="L464" s="16" t="s">
        <v>1521</v>
      </c>
      <c r="M464" s="16" t="s">
        <v>1522</v>
      </c>
      <c r="N464" s="16" t="s">
        <v>1397</v>
      </c>
      <c r="O464" s="16" t="s">
        <v>1501</v>
      </c>
      <c r="P464" s="16" t="s">
        <v>1451</v>
      </c>
      <c r="Q464" s="16" t="s">
        <v>1400</v>
      </c>
      <c r="R464" s="16">
        <v>4</v>
      </c>
      <c r="S464" s="16" t="s">
        <v>1453</v>
      </c>
      <c r="T464" s="16" t="s">
        <v>1454</v>
      </c>
      <c r="U464" s="16" t="s">
        <v>1406</v>
      </c>
      <c r="V464" s="16">
        <v>13</v>
      </c>
      <c r="W464" s="16" t="b">
        <v>1</v>
      </c>
      <c r="X464" s="16">
        <v>240806</v>
      </c>
      <c r="Y464" s="16" t="s">
        <v>1405</v>
      </c>
      <c r="Z464" s="16">
        <v>0</v>
      </c>
      <c r="AA464" s="16">
        <v>0</v>
      </c>
      <c r="AB464" s="16" t="s">
        <v>1405</v>
      </c>
      <c r="AC464" s="16" t="s">
        <v>1405</v>
      </c>
      <c r="AD464" s="16">
        <v>0</v>
      </c>
      <c r="AE464" s="16" t="s">
        <v>1405</v>
      </c>
      <c r="AF464" s="16" t="s">
        <v>1405</v>
      </c>
    </row>
    <row r="465" spans="1:32" x14ac:dyDescent="0.2">
      <c r="A465" s="3" t="s">
        <v>2321</v>
      </c>
      <c r="B465" s="12" t="s">
        <v>1497</v>
      </c>
      <c r="C465" s="6">
        <v>464</v>
      </c>
      <c r="D465" s="12">
        <v>169</v>
      </c>
      <c r="E465" s="12" t="s">
        <v>1444</v>
      </c>
      <c r="F465" s="12" t="s">
        <v>1445</v>
      </c>
      <c r="G465" s="12" t="s">
        <v>1446</v>
      </c>
      <c r="H465" s="12" t="s">
        <v>116</v>
      </c>
      <c r="I465" s="12" t="s">
        <v>1413</v>
      </c>
      <c r="J465" s="12" t="s">
        <v>1397</v>
      </c>
      <c r="K465" s="8" t="s">
        <v>1530</v>
      </c>
      <c r="L465" s="13" t="s">
        <v>1499</v>
      </c>
      <c r="M465" s="13" t="s">
        <v>1531</v>
      </c>
      <c r="N465" s="13" t="s">
        <v>1397</v>
      </c>
      <c r="O465" s="13" t="s">
        <v>1532</v>
      </c>
      <c r="P465" s="13" t="s">
        <v>1451</v>
      </c>
      <c r="Q465" s="13" t="s">
        <v>1396</v>
      </c>
      <c r="R465" s="13">
        <v>1</v>
      </c>
      <c r="S465" s="13" t="s">
        <v>1453</v>
      </c>
      <c r="T465" s="13" t="s">
        <v>1454</v>
      </c>
      <c r="U465" s="13" t="s">
        <v>1406</v>
      </c>
      <c r="V465" s="13">
        <v>13</v>
      </c>
      <c r="W465" s="13" t="b">
        <v>1</v>
      </c>
      <c r="X465" s="13">
        <v>240806</v>
      </c>
      <c r="Y465" s="13" t="s">
        <v>1405</v>
      </c>
      <c r="Z465" s="13">
        <v>0</v>
      </c>
      <c r="AA465" s="13">
        <v>0</v>
      </c>
      <c r="AB465" s="13" t="s">
        <v>1405</v>
      </c>
      <c r="AC465" s="13" t="s">
        <v>1405</v>
      </c>
      <c r="AD465" s="13">
        <v>0</v>
      </c>
      <c r="AE465" s="13" t="s">
        <v>1405</v>
      </c>
      <c r="AF465" s="13" t="s">
        <v>1405</v>
      </c>
    </row>
    <row r="466" spans="1:32" x14ac:dyDescent="0.2">
      <c r="A466" s="3" t="s">
        <v>2322</v>
      </c>
      <c r="B466" s="14" t="s">
        <v>1497</v>
      </c>
      <c r="C466" s="6">
        <v>465</v>
      </c>
      <c r="D466" s="14">
        <v>169</v>
      </c>
      <c r="E466" s="14" t="s">
        <v>1457</v>
      </c>
      <c r="F466" s="15" t="s">
        <v>1445</v>
      </c>
      <c r="G466" s="14" t="s">
        <v>1458</v>
      </c>
      <c r="H466" s="14" t="s">
        <v>64</v>
      </c>
      <c r="I466" s="14" t="s">
        <v>1409</v>
      </c>
      <c r="J466" s="14" t="s">
        <v>1397</v>
      </c>
      <c r="K466" s="8" t="s">
        <v>1533</v>
      </c>
      <c r="L466" s="16" t="s">
        <v>1499</v>
      </c>
      <c r="M466" s="16" t="s">
        <v>1531</v>
      </c>
      <c r="N466" s="16" t="s">
        <v>1397</v>
      </c>
      <c r="O466" s="16" t="s">
        <v>1532</v>
      </c>
      <c r="P466" s="16" t="s">
        <v>1451</v>
      </c>
      <c r="Q466" s="16" t="s">
        <v>1396</v>
      </c>
      <c r="R466" s="16">
        <v>1</v>
      </c>
      <c r="S466" s="16" t="s">
        <v>1453</v>
      </c>
      <c r="T466" s="16" t="s">
        <v>1454</v>
      </c>
      <c r="U466" s="16" t="s">
        <v>1406</v>
      </c>
      <c r="V466" s="16">
        <v>13</v>
      </c>
      <c r="W466" s="16" t="b">
        <v>1</v>
      </c>
      <c r="X466" s="16">
        <v>240806</v>
      </c>
      <c r="Y466" s="16" t="s">
        <v>1405</v>
      </c>
      <c r="Z466" s="16">
        <v>0</v>
      </c>
      <c r="AA466" s="16">
        <v>0</v>
      </c>
      <c r="AB466" s="16" t="s">
        <v>1405</v>
      </c>
      <c r="AC466" s="16" t="s">
        <v>1405</v>
      </c>
      <c r="AD466" s="16">
        <v>0</v>
      </c>
      <c r="AE466" s="16" t="s">
        <v>1405</v>
      </c>
      <c r="AF466" s="16" t="s">
        <v>1405</v>
      </c>
    </row>
    <row r="467" spans="1:32" x14ac:dyDescent="0.2">
      <c r="A467" s="3" t="s">
        <v>2323</v>
      </c>
      <c r="B467" s="12" t="s">
        <v>1497</v>
      </c>
      <c r="C467" s="6">
        <v>466</v>
      </c>
      <c r="D467" s="12">
        <v>170</v>
      </c>
      <c r="E467" s="12" t="s">
        <v>1444</v>
      </c>
      <c r="F467" s="12" t="s">
        <v>1445</v>
      </c>
      <c r="G467" s="12" t="s">
        <v>1446</v>
      </c>
      <c r="H467" s="12" t="s">
        <v>118</v>
      </c>
      <c r="I467" s="12" t="s">
        <v>1413</v>
      </c>
      <c r="J467" s="12" t="s">
        <v>1397</v>
      </c>
      <c r="K467" s="8" t="s">
        <v>1534</v>
      </c>
      <c r="L467" s="13" t="s">
        <v>1499</v>
      </c>
      <c r="M467" s="13" t="s">
        <v>1531</v>
      </c>
      <c r="N467" s="13" t="s">
        <v>1397</v>
      </c>
      <c r="O467" s="13" t="s">
        <v>1532</v>
      </c>
      <c r="P467" s="13" t="s">
        <v>1451</v>
      </c>
      <c r="Q467" s="13" t="s">
        <v>1398</v>
      </c>
      <c r="R467" s="13">
        <v>2</v>
      </c>
      <c r="S467" s="13" t="s">
        <v>1453</v>
      </c>
      <c r="T467" s="13" t="s">
        <v>1454</v>
      </c>
      <c r="U467" s="13" t="s">
        <v>1406</v>
      </c>
      <c r="V467" s="13">
        <v>13</v>
      </c>
      <c r="W467" s="13" t="b">
        <v>1</v>
      </c>
      <c r="X467" s="13">
        <v>240806</v>
      </c>
      <c r="Y467" s="13" t="s">
        <v>1405</v>
      </c>
      <c r="Z467" s="13">
        <v>0</v>
      </c>
      <c r="AA467" s="13">
        <v>0</v>
      </c>
      <c r="AB467" s="13" t="s">
        <v>1405</v>
      </c>
      <c r="AC467" s="13" t="s">
        <v>1405</v>
      </c>
      <c r="AD467" s="13">
        <v>0</v>
      </c>
      <c r="AE467" s="13" t="s">
        <v>1405</v>
      </c>
      <c r="AF467" s="13" t="s">
        <v>1405</v>
      </c>
    </row>
    <row r="468" spans="1:32" x14ac:dyDescent="0.2">
      <c r="A468" s="3" t="s">
        <v>2324</v>
      </c>
      <c r="B468" s="14" t="s">
        <v>1497</v>
      </c>
      <c r="C468" s="6">
        <v>467</v>
      </c>
      <c r="D468" s="14">
        <v>170</v>
      </c>
      <c r="E468" s="14" t="s">
        <v>1457</v>
      </c>
      <c r="F468" s="15" t="s">
        <v>1445</v>
      </c>
      <c r="G468" s="14" t="s">
        <v>1458</v>
      </c>
      <c r="H468" s="14" t="s">
        <v>66</v>
      </c>
      <c r="I468" s="14" t="s">
        <v>1409</v>
      </c>
      <c r="J468" s="14" t="s">
        <v>1397</v>
      </c>
      <c r="K468" s="8" t="s">
        <v>1535</v>
      </c>
      <c r="L468" s="16" t="s">
        <v>1499</v>
      </c>
      <c r="M468" s="16" t="s">
        <v>1531</v>
      </c>
      <c r="N468" s="16" t="s">
        <v>1397</v>
      </c>
      <c r="O468" s="16" t="s">
        <v>1532</v>
      </c>
      <c r="P468" s="16" t="s">
        <v>1451</v>
      </c>
      <c r="Q468" s="16" t="s">
        <v>1398</v>
      </c>
      <c r="R468" s="16">
        <v>2</v>
      </c>
      <c r="S468" s="16" t="s">
        <v>1453</v>
      </c>
      <c r="T468" s="16" t="s">
        <v>1454</v>
      </c>
      <c r="U468" s="16" t="s">
        <v>1406</v>
      </c>
      <c r="V468" s="16">
        <v>13</v>
      </c>
      <c r="W468" s="16" t="b">
        <v>1</v>
      </c>
      <c r="X468" s="16">
        <v>240806</v>
      </c>
      <c r="Y468" s="16" t="s">
        <v>1405</v>
      </c>
      <c r="Z468" s="16">
        <v>0</v>
      </c>
      <c r="AA468" s="16">
        <v>0</v>
      </c>
      <c r="AB468" s="16" t="s">
        <v>1405</v>
      </c>
      <c r="AC468" s="16" t="s">
        <v>1405</v>
      </c>
      <c r="AD468" s="16">
        <v>0</v>
      </c>
      <c r="AE468" s="16" t="s">
        <v>1405</v>
      </c>
      <c r="AF468" s="16" t="s">
        <v>1405</v>
      </c>
    </row>
    <row r="469" spans="1:32" x14ac:dyDescent="0.2">
      <c r="A469" s="3" t="s">
        <v>2325</v>
      </c>
      <c r="B469" s="12" t="s">
        <v>1497</v>
      </c>
      <c r="C469" s="6">
        <v>468</v>
      </c>
      <c r="D469" s="12">
        <v>171</v>
      </c>
      <c r="E469" s="12" t="s">
        <v>1444</v>
      </c>
      <c r="F469" s="12" t="s">
        <v>1445</v>
      </c>
      <c r="G469" s="12" t="s">
        <v>1446</v>
      </c>
      <c r="H469" s="12" t="s">
        <v>119</v>
      </c>
      <c r="I469" s="12" t="s">
        <v>1413</v>
      </c>
      <c r="J469" s="12" t="s">
        <v>1397</v>
      </c>
      <c r="K469" s="8" t="s">
        <v>1536</v>
      </c>
      <c r="L469" s="13" t="s">
        <v>1499</v>
      </c>
      <c r="M469" s="13" t="s">
        <v>1531</v>
      </c>
      <c r="N469" s="13" t="s">
        <v>1397</v>
      </c>
      <c r="O469" s="13" t="s">
        <v>1532</v>
      </c>
      <c r="P469" s="13" t="s">
        <v>1451</v>
      </c>
      <c r="Q469" s="13" t="s">
        <v>1399</v>
      </c>
      <c r="R469" s="13">
        <v>3</v>
      </c>
      <c r="S469" s="13" t="s">
        <v>1453</v>
      </c>
      <c r="T469" s="13" t="s">
        <v>1454</v>
      </c>
      <c r="U469" s="13" t="s">
        <v>1406</v>
      </c>
      <c r="V469" s="13">
        <v>13</v>
      </c>
      <c r="W469" s="13" t="b">
        <v>1</v>
      </c>
      <c r="X469" s="13">
        <v>240806</v>
      </c>
      <c r="Y469" s="13" t="s">
        <v>1405</v>
      </c>
      <c r="Z469" s="13">
        <v>0</v>
      </c>
      <c r="AA469" s="13">
        <v>0</v>
      </c>
      <c r="AB469" s="13" t="s">
        <v>1405</v>
      </c>
      <c r="AC469" s="13" t="s">
        <v>1405</v>
      </c>
      <c r="AD469" s="13">
        <v>0</v>
      </c>
      <c r="AE469" s="13" t="s">
        <v>1405</v>
      </c>
      <c r="AF469" s="13" t="s">
        <v>1405</v>
      </c>
    </row>
    <row r="470" spans="1:32" x14ac:dyDescent="0.2">
      <c r="A470" s="3" t="s">
        <v>2326</v>
      </c>
      <c r="B470" s="14" t="s">
        <v>1497</v>
      </c>
      <c r="C470" s="6">
        <v>469</v>
      </c>
      <c r="D470" s="14">
        <v>171</v>
      </c>
      <c r="E470" s="14" t="s">
        <v>1457</v>
      </c>
      <c r="F470" s="15" t="s">
        <v>1445</v>
      </c>
      <c r="G470" s="14" t="s">
        <v>1458</v>
      </c>
      <c r="H470" s="14" t="s">
        <v>67</v>
      </c>
      <c r="I470" s="14" t="s">
        <v>1409</v>
      </c>
      <c r="J470" s="14" t="s">
        <v>1397</v>
      </c>
      <c r="K470" s="8" t="s">
        <v>1537</v>
      </c>
      <c r="L470" s="16" t="s">
        <v>1499</v>
      </c>
      <c r="M470" s="16" t="s">
        <v>1531</v>
      </c>
      <c r="N470" s="16" t="s">
        <v>1397</v>
      </c>
      <c r="O470" s="16" t="s">
        <v>1532</v>
      </c>
      <c r="P470" s="16" t="s">
        <v>1451</v>
      </c>
      <c r="Q470" s="16" t="s">
        <v>1399</v>
      </c>
      <c r="R470" s="16">
        <v>3</v>
      </c>
      <c r="S470" s="16" t="s">
        <v>1453</v>
      </c>
      <c r="T470" s="16" t="s">
        <v>1454</v>
      </c>
      <c r="U470" s="16" t="s">
        <v>1406</v>
      </c>
      <c r="V470" s="16">
        <v>13</v>
      </c>
      <c r="W470" s="16" t="b">
        <v>1</v>
      </c>
      <c r="X470" s="16">
        <v>240806</v>
      </c>
      <c r="Y470" s="16" t="s">
        <v>1405</v>
      </c>
      <c r="Z470" s="16">
        <v>0</v>
      </c>
      <c r="AA470" s="16">
        <v>0</v>
      </c>
      <c r="AB470" s="16" t="s">
        <v>1405</v>
      </c>
      <c r="AC470" s="16" t="s">
        <v>1405</v>
      </c>
      <c r="AD470" s="16">
        <v>0</v>
      </c>
      <c r="AE470" s="16" t="s">
        <v>1405</v>
      </c>
      <c r="AF470" s="16" t="s">
        <v>1405</v>
      </c>
    </row>
    <row r="471" spans="1:32" x14ac:dyDescent="0.2">
      <c r="A471" s="3" t="s">
        <v>2327</v>
      </c>
      <c r="B471" s="12" t="s">
        <v>1497</v>
      </c>
      <c r="C471" s="6">
        <v>470</v>
      </c>
      <c r="D471" s="12">
        <v>172</v>
      </c>
      <c r="E471" s="12" t="s">
        <v>1444</v>
      </c>
      <c r="F471" s="12" t="s">
        <v>1445</v>
      </c>
      <c r="G471" s="12" t="s">
        <v>1446</v>
      </c>
      <c r="H471" s="12" t="s">
        <v>120</v>
      </c>
      <c r="I471" s="12" t="s">
        <v>1413</v>
      </c>
      <c r="J471" s="12" t="s">
        <v>1397</v>
      </c>
      <c r="K471" s="8" t="s">
        <v>1538</v>
      </c>
      <c r="L471" s="13" t="s">
        <v>1499</v>
      </c>
      <c r="M471" s="13" t="s">
        <v>1531</v>
      </c>
      <c r="N471" s="13" t="s">
        <v>1397</v>
      </c>
      <c r="O471" s="13" t="s">
        <v>1532</v>
      </c>
      <c r="P471" s="13" t="s">
        <v>1451</v>
      </c>
      <c r="Q471" s="13" t="s">
        <v>1400</v>
      </c>
      <c r="R471" s="13">
        <v>4</v>
      </c>
      <c r="S471" s="13" t="s">
        <v>1453</v>
      </c>
      <c r="T471" s="13" t="s">
        <v>1454</v>
      </c>
      <c r="U471" s="13" t="s">
        <v>1406</v>
      </c>
      <c r="V471" s="13">
        <v>13</v>
      </c>
      <c r="W471" s="13" t="b">
        <v>1</v>
      </c>
      <c r="X471" s="13">
        <v>240806</v>
      </c>
      <c r="Y471" s="13" t="s">
        <v>1405</v>
      </c>
      <c r="Z471" s="13">
        <v>0</v>
      </c>
      <c r="AA471" s="13">
        <v>0</v>
      </c>
      <c r="AB471" s="13" t="s">
        <v>1405</v>
      </c>
      <c r="AC471" s="13" t="s">
        <v>1405</v>
      </c>
      <c r="AD471" s="13">
        <v>0</v>
      </c>
      <c r="AE471" s="13" t="s">
        <v>1405</v>
      </c>
      <c r="AF471" s="13" t="s">
        <v>1405</v>
      </c>
    </row>
    <row r="472" spans="1:32" x14ac:dyDescent="0.2">
      <c r="A472" s="3" t="s">
        <v>2328</v>
      </c>
      <c r="B472" s="14" t="s">
        <v>1497</v>
      </c>
      <c r="C472" s="6">
        <v>471</v>
      </c>
      <c r="D472" s="14">
        <v>172</v>
      </c>
      <c r="E472" s="14" t="s">
        <v>1457</v>
      </c>
      <c r="F472" s="15" t="s">
        <v>1445</v>
      </c>
      <c r="G472" s="14" t="s">
        <v>1458</v>
      </c>
      <c r="H472" s="14" t="s">
        <v>68</v>
      </c>
      <c r="I472" s="14" t="s">
        <v>1409</v>
      </c>
      <c r="J472" s="14" t="s">
        <v>1397</v>
      </c>
      <c r="K472" s="8" t="s">
        <v>1539</v>
      </c>
      <c r="L472" s="16" t="s">
        <v>1499</v>
      </c>
      <c r="M472" s="16" t="s">
        <v>1531</v>
      </c>
      <c r="N472" s="16" t="s">
        <v>1397</v>
      </c>
      <c r="O472" s="16" t="s">
        <v>1532</v>
      </c>
      <c r="P472" s="16" t="s">
        <v>1451</v>
      </c>
      <c r="Q472" s="16" t="s">
        <v>1400</v>
      </c>
      <c r="R472" s="16">
        <v>4</v>
      </c>
      <c r="S472" s="16" t="s">
        <v>1453</v>
      </c>
      <c r="T472" s="16" t="s">
        <v>1454</v>
      </c>
      <c r="U472" s="16" t="s">
        <v>1406</v>
      </c>
      <c r="V472" s="16">
        <v>13</v>
      </c>
      <c r="W472" s="16" t="b">
        <v>1</v>
      </c>
      <c r="X472" s="16">
        <v>240806</v>
      </c>
      <c r="Y472" s="16" t="s">
        <v>1405</v>
      </c>
      <c r="Z472" s="16">
        <v>0</v>
      </c>
      <c r="AA472" s="16">
        <v>0</v>
      </c>
      <c r="AB472" s="16" t="s">
        <v>1405</v>
      </c>
      <c r="AC472" s="16" t="s">
        <v>1405</v>
      </c>
      <c r="AD472" s="16">
        <v>0</v>
      </c>
      <c r="AE472" s="16" t="s">
        <v>1405</v>
      </c>
      <c r="AF472" s="16" t="s">
        <v>1405</v>
      </c>
    </row>
    <row r="473" spans="1:32" x14ac:dyDescent="0.2">
      <c r="A473" s="3" t="s">
        <v>2329</v>
      </c>
      <c r="B473" s="12" t="s">
        <v>1497</v>
      </c>
      <c r="C473" s="6">
        <v>472</v>
      </c>
      <c r="D473" s="12">
        <v>173</v>
      </c>
      <c r="E473" s="12" t="s">
        <v>1444</v>
      </c>
      <c r="F473" s="12" t="s">
        <v>1445</v>
      </c>
      <c r="G473" s="12" t="s">
        <v>1446</v>
      </c>
      <c r="H473" s="12" t="s">
        <v>121</v>
      </c>
      <c r="I473" s="12" t="s">
        <v>1413</v>
      </c>
      <c r="J473" s="12" t="s">
        <v>1397</v>
      </c>
      <c r="K473" s="8" t="s">
        <v>1540</v>
      </c>
      <c r="L473" s="13" t="s">
        <v>1499</v>
      </c>
      <c r="M473" s="13" t="s">
        <v>1531</v>
      </c>
      <c r="N473" s="13" t="s">
        <v>1397</v>
      </c>
      <c r="O473" s="13" t="s">
        <v>1532</v>
      </c>
      <c r="P473" s="13" t="s">
        <v>1451</v>
      </c>
      <c r="Q473" s="13" t="s">
        <v>1541</v>
      </c>
      <c r="R473" s="13">
        <v>5</v>
      </c>
      <c r="S473" s="13" t="s">
        <v>1453</v>
      </c>
      <c r="T473" s="13" t="s">
        <v>1454</v>
      </c>
      <c r="U473" s="13" t="s">
        <v>1406</v>
      </c>
      <c r="V473" s="13">
        <v>13</v>
      </c>
      <c r="W473" s="13" t="b">
        <v>1</v>
      </c>
      <c r="X473" s="13">
        <v>240806</v>
      </c>
      <c r="Y473" s="13" t="s">
        <v>1405</v>
      </c>
      <c r="Z473" s="13">
        <v>0</v>
      </c>
      <c r="AA473" s="13">
        <v>0</v>
      </c>
      <c r="AB473" s="13" t="s">
        <v>1405</v>
      </c>
      <c r="AC473" s="13" t="s">
        <v>1405</v>
      </c>
      <c r="AD473" s="13">
        <v>0</v>
      </c>
      <c r="AE473" s="13" t="s">
        <v>1405</v>
      </c>
      <c r="AF473" s="13" t="s">
        <v>1405</v>
      </c>
    </row>
    <row r="474" spans="1:32" x14ac:dyDescent="0.2">
      <c r="A474" s="3" t="s">
        <v>2330</v>
      </c>
      <c r="B474" s="14" t="s">
        <v>1497</v>
      </c>
      <c r="C474" s="6">
        <v>473</v>
      </c>
      <c r="D474" s="14">
        <v>173</v>
      </c>
      <c r="E474" s="14" t="s">
        <v>1457</v>
      </c>
      <c r="F474" s="15" t="s">
        <v>1445</v>
      </c>
      <c r="G474" s="14" t="s">
        <v>1458</v>
      </c>
      <c r="H474" s="14" t="s">
        <v>69</v>
      </c>
      <c r="I474" s="14" t="s">
        <v>1409</v>
      </c>
      <c r="J474" s="14" t="s">
        <v>1397</v>
      </c>
      <c r="K474" s="8" t="s">
        <v>1542</v>
      </c>
      <c r="L474" s="16" t="s">
        <v>1499</v>
      </c>
      <c r="M474" s="16" t="s">
        <v>1531</v>
      </c>
      <c r="N474" s="16" t="s">
        <v>1397</v>
      </c>
      <c r="O474" s="16" t="s">
        <v>1532</v>
      </c>
      <c r="P474" s="16" t="s">
        <v>1451</v>
      </c>
      <c r="Q474" s="16" t="s">
        <v>1541</v>
      </c>
      <c r="R474" s="16">
        <v>5</v>
      </c>
      <c r="S474" s="16" t="s">
        <v>1453</v>
      </c>
      <c r="T474" s="16" t="s">
        <v>1454</v>
      </c>
      <c r="U474" s="16" t="s">
        <v>1406</v>
      </c>
      <c r="V474" s="16">
        <v>13</v>
      </c>
      <c r="W474" s="16" t="b">
        <v>1</v>
      </c>
      <c r="X474" s="16">
        <v>240806</v>
      </c>
      <c r="Y474" s="16" t="s">
        <v>1405</v>
      </c>
      <c r="Z474" s="16">
        <v>0</v>
      </c>
      <c r="AA474" s="16">
        <v>0</v>
      </c>
      <c r="AB474" s="16" t="s">
        <v>1405</v>
      </c>
      <c r="AC474" s="16" t="s">
        <v>1405</v>
      </c>
      <c r="AD474" s="16">
        <v>0</v>
      </c>
      <c r="AE474" s="16" t="s">
        <v>1405</v>
      </c>
      <c r="AF474" s="16" t="s">
        <v>1405</v>
      </c>
    </row>
    <row r="475" spans="1:32" x14ac:dyDescent="0.2">
      <c r="A475" s="3" t="s">
        <v>2331</v>
      </c>
      <c r="B475" s="12" t="s">
        <v>1497</v>
      </c>
      <c r="C475" s="6">
        <v>474</v>
      </c>
      <c r="D475" s="12">
        <v>174</v>
      </c>
      <c r="E475" s="12" t="s">
        <v>1444</v>
      </c>
      <c r="F475" s="12" t="s">
        <v>1445</v>
      </c>
      <c r="G475" s="12" t="s">
        <v>1446</v>
      </c>
      <c r="H475" s="12" t="s">
        <v>122</v>
      </c>
      <c r="I475" s="12" t="s">
        <v>1413</v>
      </c>
      <c r="J475" s="12" t="s">
        <v>1397</v>
      </c>
      <c r="K475" s="8" t="s">
        <v>1543</v>
      </c>
      <c r="L475" s="13" t="s">
        <v>1511</v>
      </c>
      <c r="M475" s="13" t="s">
        <v>1544</v>
      </c>
      <c r="N475" s="13" t="s">
        <v>1397</v>
      </c>
      <c r="O475" s="13" t="s">
        <v>1532</v>
      </c>
      <c r="P475" s="13" t="s">
        <v>1451</v>
      </c>
      <c r="Q475" s="13" t="s">
        <v>1396</v>
      </c>
      <c r="R475" s="13">
        <v>1</v>
      </c>
      <c r="S475" s="13" t="s">
        <v>1453</v>
      </c>
      <c r="T475" s="13" t="s">
        <v>1454</v>
      </c>
      <c r="U475" s="13" t="s">
        <v>1406</v>
      </c>
      <c r="V475" s="13">
        <v>13</v>
      </c>
      <c r="W475" s="13" t="b">
        <v>1</v>
      </c>
      <c r="X475" s="13">
        <v>240806</v>
      </c>
      <c r="Y475" s="13" t="s">
        <v>1405</v>
      </c>
      <c r="Z475" s="13">
        <v>0</v>
      </c>
      <c r="AA475" s="13">
        <v>0</v>
      </c>
      <c r="AB475" s="13" t="s">
        <v>1405</v>
      </c>
      <c r="AC475" s="13" t="s">
        <v>1405</v>
      </c>
      <c r="AD475" s="13">
        <v>0</v>
      </c>
      <c r="AE475" s="13" t="s">
        <v>1405</v>
      </c>
      <c r="AF475" s="13" t="s">
        <v>1405</v>
      </c>
    </row>
    <row r="476" spans="1:32" x14ac:dyDescent="0.2">
      <c r="A476" s="3" t="s">
        <v>2332</v>
      </c>
      <c r="B476" s="14" t="s">
        <v>1497</v>
      </c>
      <c r="C476" s="6">
        <v>475</v>
      </c>
      <c r="D476" s="14">
        <v>174</v>
      </c>
      <c r="E476" s="14" t="s">
        <v>1457</v>
      </c>
      <c r="F476" s="15" t="s">
        <v>1445</v>
      </c>
      <c r="G476" s="14" t="s">
        <v>1458</v>
      </c>
      <c r="H476" s="14" t="s">
        <v>70</v>
      </c>
      <c r="I476" s="14" t="s">
        <v>1409</v>
      </c>
      <c r="J476" s="14" t="s">
        <v>1397</v>
      </c>
      <c r="K476" s="8" t="s">
        <v>1545</v>
      </c>
      <c r="L476" s="16" t="s">
        <v>1511</v>
      </c>
      <c r="M476" s="16" t="s">
        <v>1544</v>
      </c>
      <c r="N476" s="16" t="s">
        <v>1397</v>
      </c>
      <c r="O476" s="16" t="s">
        <v>1532</v>
      </c>
      <c r="P476" s="16" t="s">
        <v>1451</v>
      </c>
      <c r="Q476" s="16" t="s">
        <v>1396</v>
      </c>
      <c r="R476" s="16">
        <v>1</v>
      </c>
      <c r="S476" s="16" t="s">
        <v>1453</v>
      </c>
      <c r="T476" s="16" t="s">
        <v>1454</v>
      </c>
      <c r="U476" s="16" t="s">
        <v>1406</v>
      </c>
      <c r="V476" s="16">
        <v>13</v>
      </c>
      <c r="W476" s="16" t="b">
        <v>1</v>
      </c>
      <c r="X476" s="16">
        <v>240806</v>
      </c>
      <c r="Y476" s="16" t="s">
        <v>1405</v>
      </c>
      <c r="Z476" s="16">
        <v>0</v>
      </c>
      <c r="AA476" s="16">
        <v>0</v>
      </c>
      <c r="AB476" s="16" t="s">
        <v>1405</v>
      </c>
      <c r="AC476" s="16" t="s">
        <v>1405</v>
      </c>
      <c r="AD476" s="16">
        <v>0</v>
      </c>
      <c r="AE476" s="16" t="s">
        <v>1405</v>
      </c>
      <c r="AF476" s="16" t="s">
        <v>1405</v>
      </c>
    </row>
    <row r="477" spans="1:32" x14ac:dyDescent="0.2">
      <c r="A477" s="3" t="s">
        <v>2333</v>
      </c>
      <c r="B477" s="12" t="s">
        <v>1497</v>
      </c>
      <c r="C477" s="6">
        <v>476</v>
      </c>
      <c r="D477" s="12">
        <v>175</v>
      </c>
      <c r="E477" s="12" t="s">
        <v>1444</v>
      </c>
      <c r="F477" s="12" t="s">
        <v>1445</v>
      </c>
      <c r="G477" s="12" t="s">
        <v>1446</v>
      </c>
      <c r="H477" s="12" t="s">
        <v>123</v>
      </c>
      <c r="I477" s="12" t="s">
        <v>1413</v>
      </c>
      <c r="J477" s="12" t="s">
        <v>1397</v>
      </c>
      <c r="K477" s="8" t="s">
        <v>1546</v>
      </c>
      <c r="L477" s="13" t="s">
        <v>1511</v>
      </c>
      <c r="M477" s="13" t="s">
        <v>1544</v>
      </c>
      <c r="N477" s="13" t="s">
        <v>1397</v>
      </c>
      <c r="O477" s="13" t="s">
        <v>1532</v>
      </c>
      <c r="P477" s="13" t="s">
        <v>1451</v>
      </c>
      <c r="Q477" s="13" t="s">
        <v>1398</v>
      </c>
      <c r="R477" s="13">
        <v>2</v>
      </c>
      <c r="S477" s="13" t="s">
        <v>1453</v>
      </c>
      <c r="T477" s="13" t="s">
        <v>1454</v>
      </c>
      <c r="U477" s="13" t="s">
        <v>1406</v>
      </c>
      <c r="V477" s="13">
        <v>13</v>
      </c>
      <c r="W477" s="13" t="b">
        <v>1</v>
      </c>
      <c r="X477" s="13">
        <v>240806</v>
      </c>
      <c r="Y477" s="13" t="s">
        <v>1405</v>
      </c>
      <c r="Z477" s="13">
        <v>0</v>
      </c>
      <c r="AA477" s="13">
        <v>0</v>
      </c>
      <c r="AB477" s="13" t="s">
        <v>1405</v>
      </c>
      <c r="AC477" s="13" t="s">
        <v>1405</v>
      </c>
      <c r="AD477" s="13">
        <v>0</v>
      </c>
      <c r="AE477" s="13" t="s">
        <v>1405</v>
      </c>
      <c r="AF477" s="13" t="s">
        <v>1405</v>
      </c>
    </row>
    <row r="478" spans="1:32" x14ac:dyDescent="0.2">
      <c r="A478" s="3" t="s">
        <v>2334</v>
      </c>
      <c r="B478" s="14" t="s">
        <v>1497</v>
      </c>
      <c r="C478" s="6">
        <v>477</v>
      </c>
      <c r="D478" s="14">
        <v>175</v>
      </c>
      <c r="E478" s="14" t="s">
        <v>1457</v>
      </c>
      <c r="F478" s="15" t="s">
        <v>1445</v>
      </c>
      <c r="G478" s="14" t="s">
        <v>1458</v>
      </c>
      <c r="H478" s="14" t="s">
        <v>71</v>
      </c>
      <c r="I478" s="14" t="s">
        <v>1409</v>
      </c>
      <c r="J478" s="14" t="s">
        <v>1397</v>
      </c>
      <c r="K478" s="8" t="s">
        <v>1547</v>
      </c>
      <c r="L478" s="16" t="s">
        <v>1511</v>
      </c>
      <c r="M478" s="16" t="s">
        <v>1544</v>
      </c>
      <c r="N478" s="16" t="s">
        <v>1397</v>
      </c>
      <c r="O478" s="16" t="s">
        <v>1532</v>
      </c>
      <c r="P478" s="16" t="s">
        <v>1451</v>
      </c>
      <c r="Q478" s="16" t="s">
        <v>1398</v>
      </c>
      <c r="R478" s="16">
        <v>2</v>
      </c>
      <c r="S478" s="16" t="s">
        <v>1453</v>
      </c>
      <c r="T478" s="16" t="s">
        <v>1454</v>
      </c>
      <c r="U478" s="16" t="s">
        <v>1406</v>
      </c>
      <c r="V478" s="16">
        <v>13</v>
      </c>
      <c r="W478" s="16" t="b">
        <v>1</v>
      </c>
      <c r="X478" s="16">
        <v>240806</v>
      </c>
      <c r="Y478" s="16" t="s">
        <v>1405</v>
      </c>
      <c r="Z478" s="16">
        <v>0</v>
      </c>
      <c r="AA478" s="16">
        <v>0</v>
      </c>
      <c r="AB478" s="16" t="s">
        <v>1405</v>
      </c>
      <c r="AC478" s="16" t="s">
        <v>1405</v>
      </c>
      <c r="AD478" s="16">
        <v>0</v>
      </c>
      <c r="AE478" s="16" t="s">
        <v>1405</v>
      </c>
      <c r="AF478" s="16" t="s">
        <v>1405</v>
      </c>
    </row>
    <row r="479" spans="1:32" x14ac:dyDescent="0.2">
      <c r="A479" s="3" t="s">
        <v>2335</v>
      </c>
      <c r="B479" s="12" t="s">
        <v>1497</v>
      </c>
      <c r="C479" s="6">
        <v>478</v>
      </c>
      <c r="D479" s="12">
        <v>176</v>
      </c>
      <c r="E479" s="12" t="s">
        <v>1444</v>
      </c>
      <c r="F479" s="12" t="s">
        <v>1445</v>
      </c>
      <c r="G479" s="12" t="s">
        <v>1446</v>
      </c>
      <c r="H479" s="12" t="s">
        <v>124</v>
      </c>
      <c r="I479" s="12" t="s">
        <v>1413</v>
      </c>
      <c r="J479" s="12" t="s">
        <v>1397</v>
      </c>
      <c r="K479" s="8" t="s">
        <v>1548</v>
      </c>
      <c r="L479" s="13" t="s">
        <v>1511</v>
      </c>
      <c r="M479" s="13" t="s">
        <v>1544</v>
      </c>
      <c r="N479" s="13" t="s">
        <v>1397</v>
      </c>
      <c r="O479" s="13" t="s">
        <v>1532</v>
      </c>
      <c r="P479" s="13" t="s">
        <v>1451</v>
      </c>
      <c r="Q479" s="13" t="s">
        <v>1399</v>
      </c>
      <c r="R479" s="13">
        <v>3</v>
      </c>
      <c r="S479" s="13" t="s">
        <v>1453</v>
      </c>
      <c r="T479" s="13" t="s">
        <v>1454</v>
      </c>
      <c r="U479" s="13" t="s">
        <v>1406</v>
      </c>
      <c r="V479" s="13">
        <v>13</v>
      </c>
      <c r="W479" s="13" t="b">
        <v>1</v>
      </c>
      <c r="X479" s="13">
        <v>240806</v>
      </c>
      <c r="Y479" s="13" t="s">
        <v>1405</v>
      </c>
      <c r="Z479" s="13">
        <v>0</v>
      </c>
      <c r="AA479" s="13">
        <v>0</v>
      </c>
      <c r="AB479" s="13" t="s">
        <v>1405</v>
      </c>
      <c r="AC479" s="13" t="s">
        <v>1405</v>
      </c>
      <c r="AD479" s="13">
        <v>0</v>
      </c>
      <c r="AE479" s="13" t="s">
        <v>1405</v>
      </c>
      <c r="AF479" s="13" t="s">
        <v>1405</v>
      </c>
    </row>
    <row r="480" spans="1:32" x14ac:dyDescent="0.2">
      <c r="A480" s="3" t="s">
        <v>2336</v>
      </c>
      <c r="B480" s="14" t="s">
        <v>1497</v>
      </c>
      <c r="C480" s="6">
        <v>479</v>
      </c>
      <c r="D480" s="14">
        <v>176</v>
      </c>
      <c r="E480" s="14" t="s">
        <v>1457</v>
      </c>
      <c r="F480" s="15" t="s">
        <v>1445</v>
      </c>
      <c r="G480" s="14" t="s">
        <v>1458</v>
      </c>
      <c r="H480" s="14" t="s">
        <v>72</v>
      </c>
      <c r="I480" s="14" t="s">
        <v>1409</v>
      </c>
      <c r="J480" s="14" t="s">
        <v>1397</v>
      </c>
      <c r="K480" s="8" t="s">
        <v>1549</v>
      </c>
      <c r="L480" s="16" t="s">
        <v>1511</v>
      </c>
      <c r="M480" s="16" t="s">
        <v>1544</v>
      </c>
      <c r="N480" s="16" t="s">
        <v>1397</v>
      </c>
      <c r="O480" s="16" t="s">
        <v>1532</v>
      </c>
      <c r="P480" s="16" t="s">
        <v>1451</v>
      </c>
      <c r="Q480" s="16" t="s">
        <v>1399</v>
      </c>
      <c r="R480" s="16">
        <v>3</v>
      </c>
      <c r="S480" s="16" t="s">
        <v>1453</v>
      </c>
      <c r="T480" s="16" t="s">
        <v>1454</v>
      </c>
      <c r="U480" s="16" t="s">
        <v>1406</v>
      </c>
      <c r="V480" s="16">
        <v>13</v>
      </c>
      <c r="W480" s="16" t="b">
        <v>1</v>
      </c>
      <c r="X480" s="16">
        <v>240806</v>
      </c>
      <c r="Y480" s="16" t="s">
        <v>1405</v>
      </c>
      <c r="Z480" s="16">
        <v>0</v>
      </c>
      <c r="AA480" s="16">
        <v>0</v>
      </c>
      <c r="AB480" s="16" t="s">
        <v>1405</v>
      </c>
      <c r="AC480" s="16" t="s">
        <v>1405</v>
      </c>
      <c r="AD480" s="16">
        <v>0</v>
      </c>
      <c r="AE480" s="16" t="s">
        <v>1405</v>
      </c>
      <c r="AF480" s="16" t="s">
        <v>1405</v>
      </c>
    </row>
    <row r="481" spans="1:32" x14ac:dyDescent="0.2">
      <c r="A481" s="3" t="s">
        <v>2337</v>
      </c>
      <c r="B481" s="12" t="s">
        <v>1497</v>
      </c>
      <c r="C481" s="6">
        <v>480</v>
      </c>
      <c r="D481" s="12">
        <v>177</v>
      </c>
      <c r="E481" s="12" t="s">
        <v>1444</v>
      </c>
      <c r="F481" s="12" t="s">
        <v>1445</v>
      </c>
      <c r="G481" s="12" t="s">
        <v>1446</v>
      </c>
      <c r="H481" s="12" t="s">
        <v>125</v>
      </c>
      <c r="I481" s="12" t="s">
        <v>1413</v>
      </c>
      <c r="J481" s="12" t="s">
        <v>1397</v>
      </c>
      <c r="K481" s="8" t="s">
        <v>1550</v>
      </c>
      <c r="L481" s="13" t="s">
        <v>1511</v>
      </c>
      <c r="M481" s="13" t="s">
        <v>1544</v>
      </c>
      <c r="N481" s="13" t="s">
        <v>1397</v>
      </c>
      <c r="O481" s="13" t="s">
        <v>1532</v>
      </c>
      <c r="P481" s="13" t="s">
        <v>1451</v>
      </c>
      <c r="Q481" s="13" t="s">
        <v>1400</v>
      </c>
      <c r="R481" s="13">
        <v>4</v>
      </c>
      <c r="S481" s="13" t="s">
        <v>1453</v>
      </c>
      <c r="T481" s="13" t="s">
        <v>1454</v>
      </c>
      <c r="U481" s="13" t="s">
        <v>1406</v>
      </c>
      <c r="V481" s="13">
        <v>13</v>
      </c>
      <c r="W481" s="13" t="b">
        <v>1</v>
      </c>
      <c r="X481" s="13">
        <v>240806</v>
      </c>
      <c r="Y481" s="13" t="s">
        <v>1405</v>
      </c>
      <c r="Z481" s="13">
        <v>0</v>
      </c>
      <c r="AA481" s="13">
        <v>0</v>
      </c>
      <c r="AB481" s="13" t="s">
        <v>1405</v>
      </c>
      <c r="AC481" s="13" t="s">
        <v>1405</v>
      </c>
      <c r="AD481" s="13">
        <v>0</v>
      </c>
      <c r="AE481" s="13" t="s">
        <v>1405</v>
      </c>
      <c r="AF481" s="13" t="s">
        <v>1405</v>
      </c>
    </row>
    <row r="482" spans="1:32" x14ac:dyDescent="0.2">
      <c r="A482" s="3" t="s">
        <v>2338</v>
      </c>
      <c r="B482" s="14" t="s">
        <v>1497</v>
      </c>
      <c r="C482" s="6">
        <v>481</v>
      </c>
      <c r="D482" s="14">
        <v>177</v>
      </c>
      <c r="E482" s="14" t="s">
        <v>1457</v>
      </c>
      <c r="F482" s="15" t="s">
        <v>1445</v>
      </c>
      <c r="G482" s="14" t="s">
        <v>1458</v>
      </c>
      <c r="H482" s="14" t="s">
        <v>73</v>
      </c>
      <c r="I482" s="14" t="s">
        <v>1409</v>
      </c>
      <c r="J482" s="14" t="s">
        <v>1397</v>
      </c>
      <c r="K482" s="8" t="s">
        <v>1551</v>
      </c>
      <c r="L482" s="16" t="s">
        <v>1511</v>
      </c>
      <c r="M482" s="16" t="s">
        <v>1544</v>
      </c>
      <c r="N482" s="16" t="s">
        <v>1397</v>
      </c>
      <c r="O482" s="16" t="s">
        <v>1532</v>
      </c>
      <c r="P482" s="16" t="s">
        <v>1451</v>
      </c>
      <c r="Q482" s="16" t="s">
        <v>1400</v>
      </c>
      <c r="R482" s="16">
        <v>4</v>
      </c>
      <c r="S482" s="16" t="s">
        <v>1453</v>
      </c>
      <c r="T482" s="16" t="s">
        <v>1454</v>
      </c>
      <c r="U482" s="16" t="s">
        <v>1406</v>
      </c>
      <c r="V482" s="16">
        <v>13</v>
      </c>
      <c r="W482" s="16" t="b">
        <v>1</v>
      </c>
      <c r="X482" s="16">
        <v>240806</v>
      </c>
      <c r="Y482" s="16" t="s">
        <v>1405</v>
      </c>
      <c r="Z482" s="16">
        <v>0</v>
      </c>
      <c r="AA482" s="16">
        <v>0</v>
      </c>
      <c r="AB482" s="16" t="s">
        <v>1405</v>
      </c>
      <c r="AC482" s="16" t="s">
        <v>1405</v>
      </c>
      <c r="AD482" s="16">
        <v>0</v>
      </c>
      <c r="AE482" s="16" t="s">
        <v>1405</v>
      </c>
      <c r="AF482" s="16" t="s">
        <v>1405</v>
      </c>
    </row>
    <row r="483" spans="1:32" x14ac:dyDescent="0.2">
      <c r="A483" s="3" t="s">
        <v>2339</v>
      </c>
      <c r="B483" s="12" t="s">
        <v>1497</v>
      </c>
      <c r="C483" s="6">
        <v>482</v>
      </c>
      <c r="D483" s="12">
        <v>178</v>
      </c>
      <c r="E483" s="12" t="s">
        <v>1444</v>
      </c>
      <c r="F483" s="12" t="s">
        <v>1445</v>
      </c>
      <c r="G483" s="12" t="s">
        <v>1446</v>
      </c>
      <c r="H483" s="12" t="s">
        <v>126</v>
      </c>
      <c r="I483" s="12" t="s">
        <v>1413</v>
      </c>
      <c r="J483" s="12" t="s">
        <v>1397</v>
      </c>
      <c r="K483" s="8" t="s">
        <v>1552</v>
      </c>
      <c r="L483" s="13" t="s">
        <v>1511</v>
      </c>
      <c r="M483" s="13" t="s">
        <v>1544</v>
      </c>
      <c r="N483" s="13" t="s">
        <v>1397</v>
      </c>
      <c r="O483" s="13" t="s">
        <v>1532</v>
      </c>
      <c r="P483" s="13" t="s">
        <v>1451</v>
      </c>
      <c r="Q483" s="13" t="s">
        <v>1541</v>
      </c>
      <c r="R483" s="13">
        <v>5</v>
      </c>
      <c r="S483" s="13" t="s">
        <v>1453</v>
      </c>
      <c r="T483" s="13" t="s">
        <v>1454</v>
      </c>
      <c r="U483" s="13" t="s">
        <v>1406</v>
      </c>
      <c r="V483" s="13">
        <v>13</v>
      </c>
      <c r="W483" s="13" t="b">
        <v>1</v>
      </c>
      <c r="X483" s="13">
        <v>240806</v>
      </c>
      <c r="Y483" s="13" t="s">
        <v>1405</v>
      </c>
      <c r="Z483" s="13">
        <v>0</v>
      </c>
      <c r="AA483" s="13">
        <v>0</v>
      </c>
      <c r="AB483" s="13" t="s">
        <v>1405</v>
      </c>
      <c r="AC483" s="13" t="s">
        <v>1405</v>
      </c>
      <c r="AD483" s="13">
        <v>0</v>
      </c>
      <c r="AE483" s="13" t="s">
        <v>1405</v>
      </c>
      <c r="AF483" s="13" t="s">
        <v>1405</v>
      </c>
    </row>
    <row r="484" spans="1:32" x14ac:dyDescent="0.2">
      <c r="A484" s="3" t="s">
        <v>2340</v>
      </c>
      <c r="B484" s="14" t="s">
        <v>1497</v>
      </c>
      <c r="C484" s="6">
        <v>483</v>
      </c>
      <c r="D484" s="14">
        <v>178</v>
      </c>
      <c r="E484" s="14" t="s">
        <v>1457</v>
      </c>
      <c r="F484" s="15" t="s">
        <v>1445</v>
      </c>
      <c r="G484" s="14" t="s">
        <v>1458</v>
      </c>
      <c r="H484" s="14" t="s">
        <v>74</v>
      </c>
      <c r="I484" s="14" t="s">
        <v>1409</v>
      </c>
      <c r="J484" s="14" t="s">
        <v>1397</v>
      </c>
      <c r="K484" s="8" t="s">
        <v>1553</v>
      </c>
      <c r="L484" s="16" t="s">
        <v>1511</v>
      </c>
      <c r="M484" s="16" t="s">
        <v>1544</v>
      </c>
      <c r="N484" s="16" t="s">
        <v>1397</v>
      </c>
      <c r="O484" s="16" t="s">
        <v>1532</v>
      </c>
      <c r="P484" s="16" t="s">
        <v>1451</v>
      </c>
      <c r="Q484" s="16" t="s">
        <v>1541</v>
      </c>
      <c r="R484" s="16">
        <v>5</v>
      </c>
      <c r="S484" s="16" t="s">
        <v>1453</v>
      </c>
      <c r="T484" s="16" t="s">
        <v>1454</v>
      </c>
      <c r="U484" s="16" t="s">
        <v>1406</v>
      </c>
      <c r="V484" s="16">
        <v>13</v>
      </c>
      <c r="W484" s="16" t="b">
        <v>1</v>
      </c>
      <c r="X484" s="16">
        <v>240806</v>
      </c>
      <c r="Y484" s="16" t="s">
        <v>1405</v>
      </c>
      <c r="Z484" s="16">
        <v>0</v>
      </c>
      <c r="AA484" s="16">
        <v>0</v>
      </c>
      <c r="AB484" s="16" t="s">
        <v>1405</v>
      </c>
      <c r="AC484" s="16" t="s">
        <v>1405</v>
      </c>
      <c r="AD484" s="16">
        <v>0</v>
      </c>
      <c r="AE484" s="16" t="s">
        <v>1405</v>
      </c>
      <c r="AF484" s="16" t="s">
        <v>1405</v>
      </c>
    </row>
    <row r="485" spans="1:32" x14ac:dyDescent="0.2">
      <c r="A485" s="3" t="s">
        <v>2341</v>
      </c>
      <c r="B485" s="12" t="s">
        <v>1497</v>
      </c>
      <c r="C485" s="6">
        <v>484</v>
      </c>
      <c r="D485" s="12">
        <v>179</v>
      </c>
      <c r="E485" s="12" t="s">
        <v>1444</v>
      </c>
      <c r="F485" s="12" t="s">
        <v>1445</v>
      </c>
      <c r="G485" s="12" t="s">
        <v>1446</v>
      </c>
      <c r="H485" s="12" t="s">
        <v>127</v>
      </c>
      <c r="I485" s="12" t="s">
        <v>1413</v>
      </c>
      <c r="J485" s="12" t="s">
        <v>1397</v>
      </c>
      <c r="K485" s="8" t="s">
        <v>1554</v>
      </c>
      <c r="L485" s="13" t="s">
        <v>1521</v>
      </c>
      <c r="M485" s="13" t="s">
        <v>1555</v>
      </c>
      <c r="N485" s="13" t="s">
        <v>1397</v>
      </c>
      <c r="O485" s="13" t="s">
        <v>1532</v>
      </c>
      <c r="P485" s="13" t="s">
        <v>1451</v>
      </c>
      <c r="Q485" s="13" t="s">
        <v>1396</v>
      </c>
      <c r="R485" s="13">
        <v>1</v>
      </c>
      <c r="S485" s="13" t="s">
        <v>1453</v>
      </c>
      <c r="T485" s="13" t="s">
        <v>1454</v>
      </c>
      <c r="U485" s="13" t="s">
        <v>1406</v>
      </c>
      <c r="V485" s="13">
        <v>13</v>
      </c>
      <c r="W485" s="13" t="b">
        <v>1</v>
      </c>
      <c r="X485" s="13">
        <v>240806</v>
      </c>
      <c r="Y485" s="13" t="s">
        <v>1405</v>
      </c>
      <c r="Z485" s="13">
        <v>0</v>
      </c>
      <c r="AA485" s="13">
        <v>0</v>
      </c>
      <c r="AB485" s="13" t="s">
        <v>1405</v>
      </c>
      <c r="AC485" s="13" t="s">
        <v>1405</v>
      </c>
      <c r="AD485" s="13">
        <v>0</v>
      </c>
      <c r="AE485" s="13" t="s">
        <v>1405</v>
      </c>
      <c r="AF485" s="13" t="s">
        <v>1405</v>
      </c>
    </row>
    <row r="486" spans="1:32" x14ac:dyDescent="0.2">
      <c r="A486" s="3" t="s">
        <v>2342</v>
      </c>
      <c r="B486" s="14" t="s">
        <v>1497</v>
      </c>
      <c r="C486" s="6">
        <v>485</v>
      </c>
      <c r="D486" s="14">
        <v>179</v>
      </c>
      <c r="E486" s="14" t="s">
        <v>1457</v>
      </c>
      <c r="F486" s="15" t="s">
        <v>1445</v>
      </c>
      <c r="G486" s="14" t="s">
        <v>1458</v>
      </c>
      <c r="H486" s="14" t="s">
        <v>75</v>
      </c>
      <c r="I486" s="14" t="s">
        <v>1409</v>
      </c>
      <c r="J486" s="14" t="s">
        <v>1397</v>
      </c>
      <c r="K486" s="8" t="s">
        <v>1556</v>
      </c>
      <c r="L486" s="16" t="s">
        <v>1521</v>
      </c>
      <c r="M486" s="16" t="s">
        <v>1555</v>
      </c>
      <c r="N486" s="16" t="s">
        <v>1397</v>
      </c>
      <c r="O486" s="16" t="s">
        <v>1532</v>
      </c>
      <c r="P486" s="16" t="s">
        <v>1451</v>
      </c>
      <c r="Q486" s="16" t="s">
        <v>1396</v>
      </c>
      <c r="R486" s="16">
        <v>1</v>
      </c>
      <c r="S486" s="16" t="s">
        <v>1453</v>
      </c>
      <c r="T486" s="16" t="s">
        <v>1454</v>
      </c>
      <c r="U486" s="16" t="s">
        <v>1406</v>
      </c>
      <c r="V486" s="16">
        <v>13</v>
      </c>
      <c r="W486" s="16" t="b">
        <v>1</v>
      </c>
      <c r="X486" s="16">
        <v>240806</v>
      </c>
      <c r="Y486" s="16" t="s">
        <v>1405</v>
      </c>
      <c r="Z486" s="16">
        <v>0</v>
      </c>
      <c r="AA486" s="16">
        <v>0</v>
      </c>
      <c r="AB486" s="16" t="s">
        <v>1405</v>
      </c>
      <c r="AC486" s="16" t="s">
        <v>1405</v>
      </c>
      <c r="AD486" s="16">
        <v>0</v>
      </c>
      <c r="AE486" s="16" t="s">
        <v>1405</v>
      </c>
      <c r="AF486" s="16" t="s">
        <v>1405</v>
      </c>
    </row>
    <row r="487" spans="1:32" x14ac:dyDescent="0.2">
      <c r="A487" s="3" t="s">
        <v>2343</v>
      </c>
      <c r="B487" s="12" t="s">
        <v>1497</v>
      </c>
      <c r="C487" s="6">
        <v>486</v>
      </c>
      <c r="D487" s="12">
        <v>180</v>
      </c>
      <c r="E487" s="12" t="s">
        <v>1444</v>
      </c>
      <c r="F487" s="12" t="s">
        <v>1445</v>
      </c>
      <c r="G487" s="12" t="s">
        <v>1446</v>
      </c>
      <c r="H487" s="12" t="s">
        <v>128</v>
      </c>
      <c r="I487" s="12" t="s">
        <v>1413</v>
      </c>
      <c r="J487" s="12" t="s">
        <v>1397</v>
      </c>
      <c r="K487" s="8" t="s">
        <v>1557</v>
      </c>
      <c r="L487" s="13" t="s">
        <v>1521</v>
      </c>
      <c r="M487" s="13" t="s">
        <v>1555</v>
      </c>
      <c r="N487" s="13" t="s">
        <v>1397</v>
      </c>
      <c r="O487" s="13" t="s">
        <v>1532</v>
      </c>
      <c r="P487" s="13" t="s">
        <v>1451</v>
      </c>
      <c r="Q487" s="13" t="s">
        <v>1398</v>
      </c>
      <c r="R487" s="13">
        <v>2</v>
      </c>
      <c r="S487" s="13" t="s">
        <v>1453</v>
      </c>
      <c r="T487" s="13" t="s">
        <v>1454</v>
      </c>
      <c r="U487" s="13" t="s">
        <v>1406</v>
      </c>
      <c r="V487" s="13">
        <v>13</v>
      </c>
      <c r="W487" s="13" t="b">
        <v>1</v>
      </c>
      <c r="X487" s="13">
        <v>240806</v>
      </c>
      <c r="Y487" s="13" t="s">
        <v>1405</v>
      </c>
      <c r="Z487" s="13">
        <v>0</v>
      </c>
      <c r="AA487" s="13">
        <v>0</v>
      </c>
      <c r="AB487" s="13" t="s">
        <v>1405</v>
      </c>
      <c r="AC487" s="13" t="s">
        <v>1405</v>
      </c>
      <c r="AD487" s="13">
        <v>0</v>
      </c>
      <c r="AE487" s="13" t="s">
        <v>1405</v>
      </c>
      <c r="AF487" s="13" t="s">
        <v>1405</v>
      </c>
    </row>
    <row r="488" spans="1:32" x14ac:dyDescent="0.2">
      <c r="A488" s="3" t="s">
        <v>2344</v>
      </c>
      <c r="B488" s="14" t="s">
        <v>1497</v>
      </c>
      <c r="C488" s="6">
        <v>487</v>
      </c>
      <c r="D488" s="14">
        <v>180</v>
      </c>
      <c r="E488" s="14" t="s">
        <v>1457</v>
      </c>
      <c r="F488" s="15" t="s">
        <v>1445</v>
      </c>
      <c r="G488" s="14" t="s">
        <v>1458</v>
      </c>
      <c r="H488" s="14" t="s">
        <v>76</v>
      </c>
      <c r="I488" s="14" t="s">
        <v>1409</v>
      </c>
      <c r="J488" s="14" t="s">
        <v>1397</v>
      </c>
      <c r="K488" s="8" t="s">
        <v>1558</v>
      </c>
      <c r="L488" s="16" t="s">
        <v>1521</v>
      </c>
      <c r="M488" s="16" t="s">
        <v>1555</v>
      </c>
      <c r="N488" s="16" t="s">
        <v>1397</v>
      </c>
      <c r="O488" s="16" t="s">
        <v>1532</v>
      </c>
      <c r="P488" s="16" t="s">
        <v>1451</v>
      </c>
      <c r="Q488" s="16" t="s">
        <v>1398</v>
      </c>
      <c r="R488" s="16">
        <v>2</v>
      </c>
      <c r="S488" s="16" t="s">
        <v>1453</v>
      </c>
      <c r="T488" s="16" t="s">
        <v>1454</v>
      </c>
      <c r="U488" s="16" t="s">
        <v>1406</v>
      </c>
      <c r="V488" s="16">
        <v>13</v>
      </c>
      <c r="W488" s="16" t="b">
        <v>1</v>
      </c>
      <c r="X488" s="16">
        <v>240806</v>
      </c>
      <c r="Y488" s="16" t="s">
        <v>1405</v>
      </c>
      <c r="Z488" s="16">
        <v>0</v>
      </c>
      <c r="AA488" s="16">
        <v>0</v>
      </c>
      <c r="AB488" s="16" t="s">
        <v>1405</v>
      </c>
      <c r="AC488" s="16" t="s">
        <v>1405</v>
      </c>
      <c r="AD488" s="16">
        <v>0</v>
      </c>
      <c r="AE488" s="16" t="s">
        <v>1405</v>
      </c>
      <c r="AF488" s="16" t="s">
        <v>1405</v>
      </c>
    </row>
    <row r="489" spans="1:32" x14ac:dyDescent="0.2">
      <c r="A489" s="3" t="s">
        <v>2345</v>
      </c>
      <c r="B489" s="12" t="s">
        <v>1497</v>
      </c>
      <c r="C489" s="6">
        <v>488</v>
      </c>
      <c r="D489" s="12">
        <v>181</v>
      </c>
      <c r="E489" s="12" t="s">
        <v>1444</v>
      </c>
      <c r="F489" s="12" t="s">
        <v>1445</v>
      </c>
      <c r="G489" s="12" t="s">
        <v>1446</v>
      </c>
      <c r="H489" s="12" t="s">
        <v>129</v>
      </c>
      <c r="I489" s="12" t="s">
        <v>1413</v>
      </c>
      <c r="J489" s="12" t="s">
        <v>1397</v>
      </c>
      <c r="K489" s="8" t="s">
        <v>1559</v>
      </c>
      <c r="L489" s="13" t="s">
        <v>1521</v>
      </c>
      <c r="M489" s="13" t="s">
        <v>1555</v>
      </c>
      <c r="N489" s="13" t="s">
        <v>1397</v>
      </c>
      <c r="O489" s="13" t="s">
        <v>1532</v>
      </c>
      <c r="P489" s="13" t="s">
        <v>1451</v>
      </c>
      <c r="Q489" s="13" t="s">
        <v>1399</v>
      </c>
      <c r="R489" s="13">
        <v>3</v>
      </c>
      <c r="S489" s="13" t="s">
        <v>1453</v>
      </c>
      <c r="T489" s="13" t="s">
        <v>1454</v>
      </c>
      <c r="U489" s="13" t="s">
        <v>1406</v>
      </c>
      <c r="V489" s="13">
        <v>13</v>
      </c>
      <c r="W489" s="13" t="b">
        <v>1</v>
      </c>
      <c r="X489" s="13">
        <v>240806</v>
      </c>
      <c r="Y489" s="13" t="s">
        <v>1405</v>
      </c>
      <c r="Z489" s="13">
        <v>0</v>
      </c>
      <c r="AA489" s="13">
        <v>0</v>
      </c>
      <c r="AB489" s="13" t="s">
        <v>1405</v>
      </c>
      <c r="AC489" s="13" t="s">
        <v>1405</v>
      </c>
      <c r="AD489" s="13">
        <v>0</v>
      </c>
      <c r="AE489" s="13" t="s">
        <v>1405</v>
      </c>
      <c r="AF489" s="13" t="s">
        <v>1405</v>
      </c>
    </row>
    <row r="490" spans="1:32" x14ac:dyDescent="0.2">
      <c r="A490" s="3" t="s">
        <v>2346</v>
      </c>
      <c r="B490" s="14" t="s">
        <v>1497</v>
      </c>
      <c r="C490" s="6">
        <v>489</v>
      </c>
      <c r="D490" s="14">
        <v>181</v>
      </c>
      <c r="E490" s="14" t="s">
        <v>1457</v>
      </c>
      <c r="F490" s="15" t="s">
        <v>1445</v>
      </c>
      <c r="G490" s="14" t="s">
        <v>1458</v>
      </c>
      <c r="H490" s="14" t="s">
        <v>77</v>
      </c>
      <c r="I490" s="14" t="s">
        <v>1409</v>
      </c>
      <c r="J490" s="14" t="s">
        <v>1397</v>
      </c>
      <c r="K490" s="8" t="s">
        <v>1560</v>
      </c>
      <c r="L490" s="16" t="s">
        <v>1521</v>
      </c>
      <c r="M490" s="16" t="s">
        <v>1555</v>
      </c>
      <c r="N490" s="16" t="s">
        <v>1397</v>
      </c>
      <c r="O490" s="16" t="s">
        <v>1532</v>
      </c>
      <c r="P490" s="16" t="s">
        <v>1451</v>
      </c>
      <c r="Q490" s="16" t="s">
        <v>1399</v>
      </c>
      <c r="R490" s="16">
        <v>3</v>
      </c>
      <c r="S490" s="16" t="s">
        <v>1453</v>
      </c>
      <c r="T490" s="16" t="s">
        <v>1454</v>
      </c>
      <c r="U490" s="16" t="s">
        <v>1406</v>
      </c>
      <c r="V490" s="16">
        <v>13</v>
      </c>
      <c r="W490" s="16" t="b">
        <v>1</v>
      </c>
      <c r="X490" s="16">
        <v>240806</v>
      </c>
      <c r="Y490" s="16" t="s">
        <v>1405</v>
      </c>
      <c r="Z490" s="16">
        <v>0</v>
      </c>
      <c r="AA490" s="16">
        <v>0</v>
      </c>
      <c r="AB490" s="16" t="s">
        <v>1405</v>
      </c>
      <c r="AC490" s="16" t="s">
        <v>1405</v>
      </c>
      <c r="AD490" s="16">
        <v>0</v>
      </c>
      <c r="AE490" s="16" t="s">
        <v>1405</v>
      </c>
      <c r="AF490" s="16" t="s">
        <v>1405</v>
      </c>
    </row>
    <row r="491" spans="1:32" x14ac:dyDescent="0.2">
      <c r="A491" s="3" t="s">
        <v>2347</v>
      </c>
      <c r="B491" s="12" t="s">
        <v>1497</v>
      </c>
      <c r="C491" s="6">
        <v>490</v>
      </c>
      <c r="D491" s="12">
        <v>182</v>
      </c>
      <c r="E491" s="12" t="s">
        <v>1444</v>
      </c>
      <c r="F491" s="12" t="s">
        <v>1445</v>
      </c>
      <c r="G491" s="12" t="s">
        <v>1446</v>
      </c>
      <c r="H491" s="12" t="s">
        <v>131</v>
      </c>
      <c r="I491" s="12" t="s">
        <v>1413</v>
      </c>
      <c r="J491" s="12" t="s">
        <v>1397</v>
      </c>
      <c r="K491" s="8" t="s">
        <v>1561</v>
      </c>
      <c r="L491" s="13" t="s">
        <v>1521</v>
      </c>
      <c r="M491" s="13" t="s">
        <v>1555</v>
      </c>
      <c r="N491" s="13" t="s">
        <v>1397</v>
      </c>
      <c r="O491" s="13" t="s">
        <v>1532</v>
      </c>
      <c r="P491" s="13" t="s">
        <v>1451</v>
      </c>
      <c r="Q491" s="13" t="s">
        <v>1400</v>
      </c>
      <c r="R491" s="13">
        <v>4</v>
      </c>
      <c r="S491" s="13" t="s">
        <v>1453</v>
      </c>
      <c r="T491" s="13" t="s">
        <v>1454</v>
      </c>
      <c r="U491" s="13" t="s">
        <v>1406</v>
      </c>
      <c r="V491" s="13">
        <v>13</v>
      </c>
      <c r="W491" s="13" t="b">
        <v>1</v>
      </c>
      <c r="X491" s="13">
        <v>240806</v>
      </c>
      <c r="Y491" s="13" t="s">
        <v>1405</v>
      </c>
      <c r="Z491" s="13">
        <v>0</v>
      </c>
      <c r="AA491" s="13">
        <v>0</v>
      </c>
      <c r="AB491" s="13" t="s">
        <v>1405</v>
      </c>
      <c r="AC491" s="13" t="s">
        <v>1405</v>
      </c>
      <c r="AD491" s="13">
        <v>0</v>
      </c>
      <c r="AE491" s="13" t="s">
        <v>1405</v>
      </c>
      <c r="AF491" s="13" t="s">
        <v>1405</v>
      </c>
    </row>
    <row r="492" spans="1:32" x14ac:dyDescent="0.2">
      <c r="A492" s="3" t="s">
        <v>2348</v>
      </c>
      <c r="B492" s="14" t="s">
        <v>1497</v>
      </c>
      <c r="C492" s="6">
        <v>491</v>
      </c>
      <c r="D492" s="14">
        <v>182</v>
      </c>
      <c r="E492" s="14" t="s">
        <v>1457</v>
      </c>
      <c r="F492" s="15" t="s">
        <v>1445</v>
      </c>
      <c r="G492" s="14" t="s">
        <v>1458</v>
      </c>
      <c r="H492" s="14" t="s">
        <v>79</v>
      </c>
      <c r="I492" s="14" t="s">
        <v>1409</v>
      </c>
      <c r="J492" s="14" t="s">
        <v>1397</v>
      </c>
      <c r="K492" s="8" t="s">
        <v>1562</v>
      </c>
      <c r="L492" s="16" t="s">
        <v>1521</v>
      </c>
      <c r="M492" s="16" t="s">
        <v>1555</v>
      </c>
      <c r="N492" s="16" t="s">
        <v>1397</v>
      </c>
      <c r="O492" s="16" t="s">
        <v>1532</v>
      </c>
      <c r="P492" s="16" t="s">
        <v>1451</v>
      </c>
      <c r="Q492" s="16" t="s">
        <v>1400</v>
      </c>
      <c r="R492" s="16">
        <v>4</v>
      </c>
      <c r="S492" s="16" t="s">
        <v>1453</v>
      </c>
      <c r="T492" s="16" t="s">
        <v>1454</v>
      </c>
      <c r="U492" s="16" t="s">
        <v>1406</v>
      </c>
      <c r="V492" s="16">
        <v>13</v>
      </c>
      <c r="W492" s="16" t="b">
        <v>1</v>
      </c>
      <c r="X492" s="16">
        <v>240806</v>
      </c>
      <c r="Y492" s="16" t="s">
        <v>1405</v>
      </c>
      <c r="Z492" s="16">
        <v>0</v>
      </c>
      <c r="AA492" s="16">
        <v>0</v>
      </c>
      <c r="AB492" s="16" t="s">
        <v>1405</v>
      </c>
      <c r="AC492" s="16" t="s">
        <v>1405</v>
      </c>
      <c r="AD492" s="16">
        <v>0</v>
      </c>
      <c r="AE492" s="16" t="s">
        <v>1405</v>
      </c>
      <c r="AF492" s="16" t="s">
        <v>1405</v>
      </c>
    </row>
    <row r="493" spans="1:32" x14ac:dyDescent="0.2">
      <c r="A493" s="3" t="s">
        <v>2349</v>
      </c>
      <c r="B493" s="12" t="s">
        <v>1497</v>
      </c>
      <c r="C493" s="6">
        <v>492</v>
      </c>
      <c r="D493" s="12">
        <v>183</v>
      </c>
      <c r="E493" s="12" t="s">
        <v>1444</v>
      </c>
      <c r="F493" s="12" t="s">
        <v>1445</v>
      </c>
      <c r="G493" s="12" t="s">
        <v>1446</v>
      </c>
      <c r="H493" s="12" t="s">
        <v>132</v>
      </c>
      <c r="I493" s="12" t="s">
        <v>1413</v>
      </c>
      <c r="J493" s="12" t="s">
        <v>1397</v>
      </c>
      <c r="K493" s="8" t="s">
        <v>1563</v>
      </c>
      <c r="L493" s="13" t="s">
        <v>1521</v>
      </c>
      <c r="M493" s="13" t="s">
        <v>1564</v>
      </c>
      <c r="N493" s="13" t="s">
        <v>1397</v>
      </c>
      <c r="O493" s="13" t="s">
        <v>1532</v>
      </c>
      <c r="P493" s="13" t="s">
        <v>1451</v>
      </c>
      <c r="Q493" s="13" t="s">
        <v>1396</v>
      </c>
      <c r="R493" s="13">
        <v>6</v>
      </c>
      <c r="S493" s="13" t="s">
        <v>1453</v>
      </c>
      <c r="T493" s="13" t="s">
        <v>1454</v>
      </c>
      <c r="U493" s="13" t="s">
        <v>1406</v>
      </c>
      <c r="V493" s="13">
        <v>13</v>
      </c>
      <c r="W493" s="13" t="b">
        <v>1</v>
      </c>
      <c r="X493" s="13">
        <v>240806</v>
      </c>
      <c r="Y493" s="13" t="s">
        <v>1405</v>
      </c>
      <c r="Z493" s="13">
        <v>0</v>
      </c>
      <c r="AA493" s="13">
        <v>0</v>
      </c>
      <c r="AB493" s="13" t="s">
        <v>1405</v>
      </c>
      <c r="AC493" s="13" t="s">
        <v>1405</v>
      </c>
      <c r="AD493" s="13">
        <v>0</v>
      </c>
      <c r="AE493" s="13" t="s">
        <v>1405</v>
      </c>
      <c r="AF493" s="13" t="s">
        <v>1405</v>
      </c>
    </row>
    <row r="494" spans="1:32" x14ac:dyDescent="0.2">
      <c r="A494" s="3" t="s">
        <v>2350</v>
      </c>
      <c r="B494" s="14" t="s">
        <v>1497</v>
      </c>
      <c r="C494" s="6">
        <v>493</v>
      </c>
      <c r="D494" s="14">
        <v>183</v>
      </c>
      <c r="E494" s="14" t="s">
        <v>1457</v>
      </c>
      <c r="F494" s="15" t="s">
        <v>1445</v>
      </c>
      <c r="G494" s="14" t="s">
        <v>1458</v>
      </c>
      <c r="H494" s="14" t="s">
        <v>80</v>
      </c>
      <c r="I494" s="14" t="s">
        <v>1409</v>
      </c>
      <c r="J494" s="14" t="s">
        <v>1397</v>
      </c>
      <c r="K494" s="8" t="s">
        <v>1565</v>
      </c>
      <c r="L494" s="16" t="s">
        <v>1521</v>
      </c>
      <c r="M494" s="16" t="s">
        <v>1564</v>
      </c>
      <c r="N494" s="16" t="s">
        <v>1397</v>
      </c>
      <c r="O494" s="16" t="s">
        <v>1532</v>
      </c>
      <c r="P494" s="16" t="s">
        <v>1451</v>
      </c>
      <c r="Q494" s="16" t="s">
        <v>1396</v>
      </c>
      <c r="R494" s="16">
        <v>6</v>
      </c>
      <c r="S494" s="16" t="s">
        <v>1453</v>
      </c>
      <c r="T494" s="16" t="s">
        <v>1454</v>
      </c>
      <c r="U494" s="16" t="s">
        <v>1406</v>
      </c>
      <c r="V494" s="16">
        <v>13</v>
      </c>
      <c r="W494" s="16" t="b">
        <v>1</v>
      </c>
      <c r="X494" s="16">
        <v>240806</v>
      </c>
      <c r="Y494" s="16" t="s">
        <v>1405</v>
      </c>
      <c r="Z494" s="16">
        <v>0</v>
      </c>
      <c r="AA494" s="16">
        <v>0</v>
      </c>
      <c r="AB494" s="16" t="s">
        <v>1405</v>
      </c>
      <c r="AC494" s="16" t="s">
        <v>1405</v>
      </c>
      <c r="AD494" s="16">
        <v>0</v>
      </c>
      <c r="AE494" s="16" t="s">
        <v>1405</v>
      </c>
      <c r="AF494" s="16" t="s">
        <v>1405</v>
      </c>
    </row>
    <row r="495" spans="1:32" x14ac:dyDescent="0.2">
      <c r="A495" s="3" t="s">
        <v>2351</v>
      </c>
      <c r="B495" s="12" t="s">
        <v>1497</v>
      </c>
      <c r="C495" s="6">
        <v>494</v>
      </c>
      <c r="D495" s="12">
        <v>184</v>
      </c>
      <c r="E495" s="12" t="s">
        <v>1444</v>
      </c>
      <c r="F495" s="12" t="s">
        <v>1445</v>
      </c>
      <c r="G495" s="12" t="s">
        <v>1446</v>
      </c>
      <c r="H495" s="12" t="s">
        <v>133</v>
      </c>
      <c r="I495" s="12" t="s">
        <v>1413</v>
      </c>
      <c r="J495" s="12" t="s">
        <v>1397</v>
      </c>
      <c r="K495" s="8" t="s">
        <v>1566</v>
      </c>
      <c r="L495" s="13" t="s">
        <v>1521</v>
      </c>
      <c r="M495" s="13" t="s">
        <v>1564</v>
      </c>
      <c r="N495" s="13" t="s">
        <v>1397</v>
      </c>
      <c r="O495" s="13" t="s">
        <v>1532</v>
      </c>
      <c r="P495" s="13" t="s">
        <v>1451</v>
      </c>
      <c r="Q495" s="13" t="s">
        <v>1398</v>
      </c>
      <c r="R495" s="13">
        <v>7</v>
      </c>
      <c r="S495" s="13" t="s">
        <v>1453</v>
      </c>
      <c r="T495" s="13" t="s">
        <v>1454</v>
      </c>
      <c r="U495" s="13" t="s">
        <v>1406</v>
      </c>
      <c r="V495" s="13">
        <v>13</v>
      </c>
      <c r="W495" s="13" t="b">
        <v>1</v>
      </c>
      <c r="X495" s="13">
        <v>240806</v>
      </c>
      <c r="Y495" s="13" t="s">
        <v>1405</v>
      </c>
      <c r="Z495" s="13">
        <v>0</v>
      </c>
      <c r="AA495" s="13">
        <v>0</v>
      </c>
      <c r="AB495" s="13" t="s">
        <v>1405</v>
      </c>
      <c r="AC495" s="13" t="s">
        <v>1405</v>
      </c>
      <c r="AD495" s="13">
        <v>0</v>
      </c>
      <c r="AE495" s="13" t="s">
        <v>1405</v>
      </c>
      <c r="AF495" s="13" t="s">
        <v>1405</v>
      </c>
    </row>
    <row r="496" spans="1:32" x14ac:dyDescent="0.2">
      <c r="A496" s="3" t="s">
        <v>2352</v>
      </c>
      <c r="B496" s="14" t="s">
        <v>1497</v>
      </c>
      <c r="C496" s="6">
        <v>495</v>
      </c>
      <c r="D496" s="14">
        <v>184</v>
      </c>
      <c r="E496" s="14" t="s">
        <v>1457</v>
      </c>
      <c r="F496" s="15" t="s">
        <v>1445</v>
      </c>
      <c r="G496" s="14" t="s">
        <v>1458</v>
      </c>
      <c r="H496" s="14" t="s">
        <v>81</v>
      </c>
      <c r="I496" s="14" t="s">
        <v>1409</v>
      </c>
      <c r="J496" s="14" t="s">
        <v>1397</v>
      </c>
      <c r="K496" s="8" t="s">
        <v>1567</v>
      </c>
      <c r="L496" s="16" t="s">
        <v>1521</v>
      </c>
      <c r="M496" s="16" t="s">
        <v>1564</v>
      </c>
      <c r="N496" s="16" t="s">
        <v>1397</v>
      </c>
      <c r="O496" s="16" t="s">
        <v>1532</v>
      </c>
      <c r="P496" s="16" t="s">
        <v>1451</v>
      </c>
      <c r="Q496" s="16" t="s">
        <v>1398</v>
      </c>
      <c r="R496" s="16">
        <v>7</v>
      </c>
      <c r="S496" s="16" t="s">
        <v>1453</v>
      </c>
      <c r="T496" s="16" t="s">
        <v>1454</v>
      </c>
      <c r="U496" s="16" t="s">
        <v>1406</v>
      </c>
      <c r="V496" s="16">
        <v>13</v>
      </c>
      <c r="W496" s="16" t="b">
        <v>1</v>
      </c>
      <c r="X496" s="16">
        <v>240806</v>
      </c>
      <c r="Y496" s="16" t="s">
        <v>1405</v>
      </c>
      <c r="Z496" s="16">
        <v>0</v>
      </c>
      <c r="AA496" s="16">
        <v>0</v>
      </c>
      <c r="AB496" s="16" t="s">
        <v>1405</v>
      </c>
      <c r="AC496" s="16" t="s">
        <v>1405</v>
      </c>
      <c r="AD496" s="16">
        <v>0</v>
      </c>
      <c r="AE496" s="16" t="s">
        <v>1405</v>
      </c>
      <c r="AF496" s="16" t="s">
        <v>1405</v>
      </c>
    </row>
    <row r="497" spans="1:32" x14ac:dyDescent="0.2">
      <c r="A497" s="3" t="s">
        <v>2353</v>
      </c>
      <c r="B497" s="12" t="s">
        <v>1497</v>
      </c>
      <c r="C497" s="6">
        <v>496</v>
      </c>
      <c r="D497" s="12">
        <v>185</v>
      </c>
      <c r="E497" s="12" t="s">
        <v>1444</v>
      </c>
      <c r="F497" s="12" t="s">
        <v>1445</v>
      </c>
      <c r="G497" s="12" t="s">
        <v>1446</v>
      </c>
      <c r="H497" s="12" t="s">
        <v>134</v>
      </c>
      <c r="I497" s="12" t="s">
        <v>1413</v>
      </c>
      <c r="J497" s="12" t="s">
        <v>1397</v>
      </c>
      <c r="K497" s="8" t="s">
        <v>1568</v>
      </c>
      <c r="L497" s="13" t="s">
        <v>1521</v>
      </c>
      <c r="M497" s="13" t="s">
        <v>1564</v>
      </c>
      <c r="N497" s="13" t="s">
        <v>1397</v>
      </c>
      <c r="O497" s="13" t="s">
        <v>1532</v>
      </c>
      <c r="P497" s="13" t="s">
        <v>1451</v>
      </c>
      <c r="Q497" s="13" t="s">
        <v>1399</v>
      </c>
      <c r="R497" s="13">
        <v>8</v>
      </c>
      <c r="S497" s="13" t="s">
        <v>1453</v>
      </c>
      <c r="T497" s="13" t="s">
        <v>1454</v>
      </c>
      <c r="U497" s="13" t="s">
        <v>1406</v>
      </c>
      <c r="V497" s="13">
        <v>13</v>
      </c>
      <c r="W497" s="13" t="b">
        <v>1</v>
      </c>
      <c r="X497" s="13">
        <v>240806</v>
      </c>
      <c r="Y497" s="13" t="s">
        <v>1405</v>
      </c>
      <c r="Z497" s="13">
        <v>0</v>
      </c>
      <c r="AA497" s="13">
        <v>0</v>
      </c>
      <c r="AB497" s="13" t="s">
        <v>1405</v>
      </c>
      <c r="AC497" s="13" t="s">
        <v>1405</v>
      </c>
      <c r="AD497" s="13">
        <v>0</v>
      </c>
      <c r="AE497" s="13" t="s">
        <v>1405</v>
      </c>
      <c r="AF497" s="13" t="s">
        <v>1405</v>
      </c>
    </row>
    <row r="498" spans="1:32" x14ac:dyDescent="0.2">
      <c r="A498" s="3" t="s">
        <v>2354</v>
      </c>
      <c r="B498" s="14" t="s">
        <v>1497</v>
      </c>
      <c r="C498" s="6">
        <v>497</v>
      </c>
      <c r="D498" s="14">
        <v>185</v>
      </c>
      <c r="E498" s="14" t="s">
        <v>1457</v>
      </c>
      <c r="F498" s="15" t="s">
        <v>1445</v>
      </c>
      <c r="G498" s="14" t="s">
        <v>1458</v>
      </c>
      <c r="H498" s="14" t="s">
        <v>82</v>
      </c>
      <c r="I498" s="14" t="s">
        <v>1409</v>
      </c>
      <c r="J498" s="14" t="s">
        <v>1397</v>
      </c>
      <c r="K498" s="8" t="s">
        <v>1569</v>
      </c>
      <c r="L498" s="16" t="s">
        <v>1521</v>
      </c>
      <c r="M498" s="16" t="s">
        <v>1564</v>
      </c>
      <c r="N498" s="16" t="s">
        <v>1397</v>
      </c>
      <c r="O498" s="16" t="s">
        <v>1532</v>
      </c>
      <c r="P498" s="16" t="s">
        <v>1451</v>
      </c>
      <c r="Q498" s="16" t="s">
        <v>1399</v>
      </c>
      <c r="R498" s="16">
        <v>8</v>
      </c>
      <c r="S498" s="16" t="s">
        <v>1453</v>
      </c>
      <c r="T498" s="16" t="s">
        <v>1454</v>
      </c>
      <c r="U498" s="16" t="s">
        <v>1406</v>
      </c>
      <c r="V498" s="16">
        <v>13</v>
      </c>
      <c r="W498" s="16" t="b">
        <v>1</v>
      </c>
      <c r="X498" s="16">
        <v>240806</v>
      </c>
      <c r="Y498" s="16" t="s">
        <v>1405</v>
      </c>
      <c r="Z498" s="16">
        <v>0</v>
      </c>
      <c r="AA498" s="16">
        <v>0</v>
      </c>
      <c r="AB498" s="16" t="s">
        <v>1405</v>
      </c>
      <c r="AC498" s="16" t="s">
        <v>1405</v>
      </c>
      <c r="AD498" s="16">
        <v>0</v>
      </c>
      <c r="AE498" s="16" t="s">
        <v>1405</v>
      </c>
      <c r="AF498" s="16" t="s">
        <v>1405</v>
      </c>
    </row>
    <row r="499" spans="1:32" x14ac:dyDescent="0.2">
      <c r="A499" s="3" t="s">
        <v>2355</v>
      </c>
      <c r="B499" s="12" t="s">
        <v>1497</v>
      </c>
      <c r="C499" s="6">
        <v>498</v>
      </c>
      <c r="D499" s="12">
        <v>186</v>
      </c>
      <c r="E499" s="12" t="s">
        <v>1444</v>
      </c>
      <c r="F499" s="12" t="s">
        <v>1445</v>
      </c>
      <c r="G499" s="12" t="s">
        <v>1446</v>
      </c>
      <c r="H499" s="12" t="s">
        <v>135</v>
      </c>
      <c r="I499" s="12" t="s">
        <v>1413</v>
      </c>
      <c r="J499" s="12" t="s">
        <v>1397</v>
      </c>
      <c r="K499" s="8" t="s">
        <v>1570</v>
      </c>
      <c r="L499" s="13" t="s">
        <v>1521</v>
      </c>
      <c r="M499" s="13" t="s">
        <v>1564</v>
      </c>
      <c r="N499" s="13" t="s">
        <v>1397</v>
      </c>
      <c r="O499" s="13" t="s">
        <v>1532</v>
      </c>
      <c r="P499" s="13" t="s">
        <v>1451</v>
      </c>
      <c r="Q499" s="13" t="s">
        <v>1400</v>
      </c>
      <c r="R499" s="13">
        <v>9</v>
      </c>
      <c r="S499" s="13" t="s">
        <v>1453</v>
      </c>
      <c r="T499" s="13" t="s">
        <v>1454</v>
      </c>
      <c r="U499" s="13" t="s">
        <v>1406</v>
      </c>
      <c r="V499" s="13">
        <v>13</v>
      </c>
      <c r="W499" s="13" t="b">
        <v>1</v>
      </c>
      <c r="X499" s="13">
        <v>240806</v>
      </c>
      <c r="Y499" s="13" t="s">
        <v>1405</v>
      </c>
      <c r="Z499" s="13">
        <v>0</v>
      </c>
      <c r="AA499" s="13">
        <v>0</v>
      </c>
      <c r="AB499" s="13" t="s">
        <v>1405</v>
      </c>
      <c r="AC499" s="13" t="s">
        <v>1405</v>
      </c>
      <c r="AD499" s="13">
        <v>0</v>
      </c>
      <c r="AE499" s="13" t="s">
        <v>1405</v>
      </c>
      <c r="AF499" s="13" t="s">
        <v>1405</v>
      </c>
    </row>
    <row r="500" spans="1:32" x14ac:dyDescent="0.2">
      <c r="A500" s="3" t="s">
        <v>2356</v>
      </c>
      <c r="B500" s="14" t="s">
        <v>1497</v>
      </c>
      <c r="C500" s="6">
        <v>499</v>
      </c>
      <c r="D500" s="14">
        <v>186</v>
      </c>
      <c r="E500" s="14" t="s">
        <v>1457</v>
      </c>
      <c r="F500" s="15" t="s">
        <v>1445</v>
      </c>
      <c r="G500" s="14" t="s">
        <v>1458</v>
      </c>
      <c r="H500" s="14" t="s">
        <v>83</v>
      </c>
      <c r="I500" s="14" t="s">
        <v>1409</v>
      </c>
      <c r="J500" s="14" t="s">
        <v>1397</v>
      </c>
      <c r="K500" s="8" t="s">
        <v>1571</v>
      </c>
      <c r="L500" s="16" t="s">
        <v>1521</v>
      </c>
      <c r="M500" s="16" t="s">
        <v>1564</v>
      </c>
      <c r="N500" s="16" t="s">
        <v>1397</v>
      </c>
      <c r="O500" s="16" t="s">
        <v>1532</v>
      </c>
      <c r="P500" s="16" t="s">
        <v>1451</v>
      </c>
      <c r="Q500" s="16" t="s">
        <v>1400</v>
      </c>
      <c r="R500" s="16">
        <v>9</v>
      </c>
      <c r="S500" s="16" t="s">
        <v>1453</v>
      </c>
      <c r="T500" s="16" t="s">
        <v>1454</v>
      </c>
      <c r="U500" s="16" t="s">
        <v>1406</v>
      </c>
      <c r="V500" s="16">
        <v>13</v>
      </c>
      <c r="W500" s="16" t="b">
        <v>1</v>
      </c>
      <c r="X500" s="16">
        <v>240806</v>
      </c>
      <c r="Y500" s="16" t="s">
        <v>1405</v>
      </c>
      <c r="Z500" s="16">
        <v>0</v>
      </c>
      <c r="AA500" s="16">
        <v>0</v>
      </c>
      <c r="AB500" s="16" t="s">
        <v>1405</v>
      </c>
      <c r="AC500" s="16" t="s">
        <v>1405</v>
      </c>
      <c r="AD500" s="16">
        <v>0</v>
      </c>
      <c r="AE500" s="16" t="s">
        <v>1405</v>
      </c>
      <c r="AF500" s="16" t="s">
        <v>1405</v>
      </c>
    </row>
    <row r="501" spans="1:32" x14ac:dyDescent="0.2">
      <c r="A501" s="3" t="s">
        <v>2357</v>
      </c>
      <c r="B501" s="12" t="s">
        <v>1497</v>
      </c>
      <c r="C501" s="6">
        <v>500</v>
      </c>
      <c r="D501" s="12">
        <v>187</v>
      </c>
      <c r="E501" s="12" t="s">
        <v>1444</v>
      </c>
      <c r="F501" s="12" t="s">
        <v>1445</v>
      </c>
      <c r="G501" s="12" t="s">
        <v>1446</v>
      </c>
      <c r="H501" s="12" t="s">
        <v>136</v>
      </c>
      <c r="I501" s="12" t="s">
        <v>1413</v>
      </c>
      <c r="J501" s="12" t="s">
        <v>1397</v>
      </c>
      <c r="K501" s="8" t="s">
        <v>1572</v>
      </c>
      <c r="L501" s="13" t="s">
        <v>1521</v>
      </c>
      <c r="M501" s="13" t="s">
        <v>1564</v>
      </c>
      <c r="N501" s="13" t="s">
        <v>1397</v>
      </c>
      <c r="O501" s="13" t="s">
        <v>1532</v>
      </c>
      <c r="P501" s="13" t="s">
        <v>1451</v>
      </c>
      <c r="Q501" s="13" t="s">
        <v>1541</v>
      </c>
      <c r="R501" s="13">
        <v>10</v>
      </c>
      <c r="S501" s="13" t="s">
        <v>1453</v>
      </c>
      <c r="T501" s="13" t="s">
        <v>1454</v>
      </c>
      <c r="U501" s="13" t="s">
        <v>1406</v>
      </c>
      <c r="V501" s="13">
        <v>13</v>
      </c>
      <c r="W501" s="13" t="b">
        <v>1</v>
      </c>
      <c r="X501" s="13">
        <v>240806</v>
      </c>
      <c r="Y501" s="13" t="s">
        <v>1405</v>
      </c>
      <c r="Z501" s="13">
        <v>0</v>
      </c>
      <c r="AA501" s="13">
        <v>0</v>
      </c>
      <c r="AB501" s="13" t="s">
        <v>1405</v>
      </c>
      <c r="AC501" s="13" t="s">
        <v>1405</v>
      </c>
      <c r="AD501" s="13">
        <v>0</v>
      </c>
      <c r="AE501" s="13" t="s">
        <v>1405</v>
      </c>
      <c r="AF501" s="13" t="s">
        <v>1405</v>
      </c>
    </row>
    <row r="502" spans="1:32" x14ac:dyDescent="0.2">
      <c r="A502" s="3" t="s">
        <v>2358</v>
      </c>
      <c r="B502" s="14" t="s">
        <v>1497</v>
      </c>
      <c r="C502" s="6">
        <v>501</v>
      </c>
      <c r="D502" s="14">
        <v>187</v>
      </c>
      <c r="E502" s="14" t="s">
        <v>1457</v>
      </c>
      <c r="F502" s="15" t="s">
        <v>1445</v>
      </c>
      <c r="G502" s="14" t="s">
        <v>1458</v>
      </c>
      <c r="H502" s="14" t="s">
        <v>84</v>
      </c>
      <c r="I502" s="14" t="s">
        <v>1409</v>
      </c>
      <c r="J502" s="14" t="s">
        <v>1397</v>
      </c>
      <c r="K502" s="8" t="s">
        <v>1573</v>
      </c>
      <c r="L502" s="16" t="s">
        <v>1521</v>
      </c>
      <c r="M502" s="16" t="s">
        <v>1564</v>
      </c>
      <c r="N502" s="16" t="s">
        <v>1397</v>
      </c>
      <c r="O502" s="16" t="s">
        <v>1532</v>
      </c>
      <c r="P502" s="16" t="s">
        <v>1451</v>
      </c>
      <c r="Q502" s="16" t="s">
        <v>1541</v>
      </c>
      <c r="R502" s="16">
        <v>10</v>
      </c>
      <c r="S502" s="16" t="s">
        <v>1453</v>
      </c>
      <c r="T502" s="16" t="s">
        <v>1454</v>
      </c>
      <c r="U502" s="16" t="s">
        <v>1406</v>
      </c>
      <c r="V502" s="16">
        <v>13</v>
      </c>
      <c r="W502" s="16" t="b">
        <v>1</v>
      </c>
      <c r="X502" s="16">
        <v>240806</v>
      </c>
      <c r="Y502" s="16" t="s">
        <v>1405</v>
      </c>
      <c r="Z502" s="16">
        <v>0</v>
      </c>
      <c r="AA502" s="16">
        <v>0</v>
      </c>
      <c r="AB502" s="16" t="s">
        <v>1405</v>
      </c>
      <c r="AC502" s="16" t="s">
        <v>1405</v>
      </c>
      <c r="AD502" s="16">
        <v>0</v>
      </c>
      <c r="AE502" s="16" t="s">
        <v>1405</v>
      </c>
      <c r="AF502" s="16" t="s">
        <v>1405</v>
      </c>
    </row>
    <row r="503" spans="1:32" x14ac:dyDescent="0.2">
      <c r="A503" s="3" t="s">
        <v>2359</v>
      </c>
      <c r="B503" s="12" t="s">
        <v>1497</v>
      </c>
      <c r="C503" s="6">
        <v>502</v>
      </c>
      <c r="D503" s="12">
        <v>188</v>
      </c>
      <c r="E503" s="12" t="s">
        <v>1444</v>
      </c>
      <c r="F503" s="12" t="s">
        <v>1445</v>
      </c>
      <c r="G503" s="12" t="s">
        <v>1446</v>
      </c>
      <c r="H503" s="12" t="s">
        <v>137</v>
      </c>
      <c r="I503" s="12" t="s">
        <v>1413</v>
      </c>
      <c r="J503" s="12" t="s">
        <v>1397</v>
      </c>
      <c r="K503" s="8" t="s">
        <v>1574</v>
      </c>
      <c r="L503" s="13" t="s">
        <v>1521</v>
      </c>
      <c r="M503" s="13" t="s">
        <v>1575</v>
      </c>
      <c r="N503" s="13" t="s">
        <v>1397</v>
      </c>
      <c r="O503" s="13" t="s">
        <v>1532</v>
      </c>
      <c r="P503" s="13" t="s">
        <v>1451</v>
      </c>
      <c r="Q503" s="13" t="s">
        <v>1396</v>
      </c>
      <c r="R503" s="13">
        <v>11</v>
      </c>
      <c r="S503" s="13" t="s">
        <v>1453</v>
      </c>
      <c r="T503" s="13" t="s">
        <v>1454</v>
      </c>
      <c r="U503" s="13" t="s">
        <v>1406</v>
      </c>
      <c r="V503" s="13">
        <v>13</v>
      </c>
      <c r="W503" s="13" t="b">
        <v>1</v>
      </c>
      <c r="X503" s="13">
        <v>240806</v>
      </c>
      <c r="Y503" s="13" t="s">
        <v>1405</v>
      </c>
      <c r="Z503" s="13">
        <v>0</v>
      </c>
      <c r="AA503" s="13">
        <v>0</v>
      </c>
      <c r="AB503" s="13" t="s">
        <v>1405</v>
      </c>
      <c r="AC503" s="13" t="s">
        <v>1405</v>
      </c>
      <c r="AD503" s="13">
        <v>0</v>
      </c>
      <c r="AE503" s="13" t="s">
        <v>1405</v>
      </c>
      <c r="AF503" s="13" t="s">
        <v>1405</v>
      </c>
    </row>
    <row r="504" spans="1:32" x14ac:dyDescent="0.2">
      <c r="A504" s="3" t="s">
        <v>2360</v>
      </c>
      <c r="B504" s="14" t="s">
        <v>1497</v>
      </c>
      <c r="C504" s="6">
        <v>503</v>
      </c>
      <c r="D504" s="14">
        <v>188</v>
      </c>
      <c r="E504" s="14" t="s">
        <v>1457</v>
      </c>
      <c r="F504" s="15" t="s">
        <v>1445</v>
      </c>
      <c r="G504" s="14" t="s">
        <v>1458</v>
      </c>
      <c r="H504" s="14" t="s">
        <v>85</v>
      </c>
      <c r="I504" s="14" t="s">
        <v>1409</v>
      </c>
      <c r="J504" s="14" t="s">
        <v>1397</v>
      </c>
      <c r="K504" s="8" t="s">
        <v>1576</v>
      </c>
      <c r="L504" s="16" t="s">
        <v>1521</v>
      </c>
      <c r="M504" s="16" t="s">
        <v>1575</v>
      </c>
      <c r="N504" s="16" t="s">
        <v>1397</v>
      </c>
      <c r="O504" s="16" t="s">
        <v>1532</v>
      </c>
      <c r="P504" s="16" t="s">
        <v>1451</v>
      </c>
      <c r="Q504" s="16" t="s">
        <v>1396</v>
      </c>
      <c r="R504" s="16">
        <v>11</v>
      </c>
      <c r="S504" s="16" t="s">
        <v>1453</v>
      </c>
      <c r="T504" s="16" t="s">
        <v>1454</v>
      </c>
      <c r="U504" s="16" t="s">
        <v>1406</v>
      </c>
      <c r="V504" s="16">
        <v>13</v>
      </c>
      <c r="W504" s="16" t="b">
        <v>1</v>
      </c>
      <c r="X504" s="16">
        <v>240806</v>
      </c>
      <c r="Y504" s="16" t="s">
        <v>1405</v>
      </c>
      <c r="Z504" s="16">
        <v>0</v>
      </c>
      <c r="AA504" s="16">
        <v>0</v>
      </c>
      <c r="AB504" s="16" t="s">
        <v>1405</v>
      </c>
      <c r="AC504" s="16" t="s">
        <v>1405</v>
      </c>
      <c r="AD504" s="16">
        <v>0</v>
      </c>
      <c r="AE504" s="16" t="s">
        <v>1405</v>
      </c>
      <c r="AF504" s="16" t="s">
        <v>1405</v>
      </c>
    </row>
    <row r="505" spans="1:32" x14ac:dyDescent="0.2">
      <c r="A505" s="3" t="s">
        <v>2361</v>
      </c>
      <c r="B505" s="12" t="s">
        <v>1497</v>
      </c>
      <c r="C505" s="6">
        <v>504</v>
      </c>
      <c r="D505" s="12">
        <v>189</v>
      </c>
      <c r="E505" s="12" t="s">
        <v>1444</v>
      </c>
      <c r="F505" s="12" t="s">
        <v>1445</v>
      </c>
      <c r="G505" s="12" t="s">
        <v>1446</v>
      </c>
      <c r="H505" s="12" t="s">
        <v>138</v>
      </c>
      <c r="I505" s="12" t="s">
        <v>1413</v>
      </c>
      <c r="J505" s="12" t="s">
        <v>1397</v>
      </c>
      <c r="K505" s="8" t="s">
        <v>1577</v>
      </c>
      <c r="L505" s="13" t="s">
        <v>1521</v>
      </c>
      <c r="M505" s="13" t="s">
        <v>1575</v>
      </c>
      <c r="N505" s="13" t="s">
        <v>1397</v>
      </c>
      <c r="O505" s="13" t="s">
        <v>1532</v>
      </c>
      <c r="P505" s="13" t="s">
        <v>1451</v>
      </c>
      <c r="Q505" s="13" t="s">
        <v>1398</v>
      </c>
      <c r="R505" s="13">
        <v>12</v>
      </c>
      <c r="S505" s="13" t="s">
        <v>1453</v>
      </c>
      <c r="T505" s="13" t="s">
        <v>1454</v>
      </c>
      <c r="U505" s="13" t="s">
        <v>1406</v>
      </c>
      <c r="V505" s="13">
        <v>13</v>
      </c>
      <c r="W505" s="13" t="b">
        <v>1</v>
      </c>
      <c r="X505" s="13">
        <v>240806</v>
      </c>
      <c r="Y505" s="13" t="s">
        <v>1405</v>
      </c>
      <c r="Z505" s="13">
        <v>0</v>
      </c>
      <c r="AA505" s="13">
        <v>0</v>
      </c>
      <c r="AB505" s="13" t="s">
        <v>1405</v>
      </c>
      <c r="AC505" s="13" t="s">
        <v>1405</v>
      </c>
      <c r="AD505" s="13">
        <v>0</v>
      </c>
      <c r="AE505" s="13" t="s">
        <v>1405</v>
      </c>
      <c r="AF505" s="13" t="s">
        <v>1405</v>
      </c>
    </row>
    <row r="506" spans="1:32" x14ac:dyDescent="0.2">
      <c r="A506" s="3" t="s">
        <v>2362</v>
      </c>
      <c r="B506" s="14" t="s">
        <v>1497</v>
      </c>
      <c r="C506" s="6">
        <v>505</v>
      </c>
      <c r="D506" s="14">
        <v>189</v>
      </c>
      <c r="E506" s="14" t="s">
        <v>1457</v>
      </c>
      <c r="F506" s="15" t="s">
        <v>1445</v>
      </c>
      <c r="G506" s="14" t="s">
        <v>1458</v>
      </c>
      <c r="H506" s="14" t="s">
        <v>86</v>
      </c>
      <c r="I506" s="14" t="s">
        <v>1409</v>
      </c>
      <c r="J506" s="14" t="s">
        <v>1397</v>
      </c>
      <c r="K506" s="8" t="s">
        <v>1578</v>
      </c>
      <c r="L506" s="16" t="s">
        <v>1521</v>
      </c>
      <c r="M506" s="16" t="s">
        <v>1575</v>
      </c>
      <c r="N506" s="16" t="s">
        <v>1397</v>
      </c>
      <c r="O506" s="16" t="s">
        <v>1532</v>
      </c>
      <c r="P506" s="16" t="s">
        <v>1451</v>
      </c>
      <c r="Q506" s="16" t="s">
        <v>1398</v>
      </c>
      <c r="R506" s="16">
        <v>12</v>
      </c>
      <c r="S506" s="16" t="s">
        <v>1453</v>
      </c>
      <c r="T506" s="16" t="s">
        <v>1454</v>
      </c>
      <c r="U506" s="16" t="s">
        <v>1406</v>
      </c>
      <c r="V506" s="16">
        <v>13</v>
      </c>
      <c r="W506" s="16" t="b">
        <v>1</v>
      </c>
      <c r="X506" s="16">
        <v>240806</v>
      </c>
      <c r="Y506" s="16" t="s">
        <v>1405</v>
      </c>
      <c r="Z506" s="16">
        <v>0</v>
      </c>
      <c r="AA506" s="16">
        <v>0</v>
      </c>
      <c r="AB506" s="16" t="s">
        <v>1405</v>
      </c>
      <c r="AC506" s="16" t="s">
        <v>1405</v>
      </c>
      <c r="AD506" s="16">
        <v>0</v>
      </c>
      <c r="AE506" s="16" t="s">
        <v>1405</v>
      </c>
      <c r="AF506" s="16" t="s">
        <v>1405</v>
      </c>
    </row>
    <row r="507" spans="1:32" x14ac:dyDescent="0.2">
      <c r="A507" s="3" t="s">
        <v>2363</v>
      </c>
      <c r="B507" s="12" t="s">
        <v>1497</v>
      </c>
      <c r="C507" s="6">
        <v>506</v>
      </c>
      <c r="D507" s="12">
        <v>190</v>
      </c>
      <c r="E507" s="12" t="s">
        <v>1444</v>
      </c>
      <c r="F507" s="12" t="s">
        <v>1445</v>
      </c>
      <c r="G507" s="12" t="s">
        <v>1446</v>
      </c>
      <c r="H507" s="12" t="s">
        <v>139</v>
      </c>
      <c r="I507" s="12" t="s">
        <v>1413</v>
      </c>
      <c r="J507" s="12" t="s">
        <v>1397</v>
      </c>
      <c r="K507" s="8" t="s">
        <v>1579</v>
      </c>
      <c r="L507" s="13" t="s">
        <v>1499</v>
      </c>
      <c r="M507" s="13" t="s">
        <v>1580</v>
      </c>
      <c r="N507" s="13" t="s">
        <v>1397</v>
      </c>
      <c r="O507" s="13" t="s">
        <v>1581</v>
      </c>
      <c r="P507" s="13" t="s">
        <v>1451</v>
      </c>
      <c r="Q507" s="13" t="s">
        <v>1396</v>
      </c>
      <c r="R507" s="13">
        <v>1</v>
      </c>
      <c r="S507" s="13" t="s">
        <v>1453</v>
      </c>
      <c r="T507" s="13" t="s">
        <v>1454</v>
      </c>
      <c r="U507" s="13" t="s">
        <v>1406</v>
      </c>
      <c r="V507" s="13">
        <v>13</v>
      </c>
      <c r="W507" s="13" t="b">
        <v>1</v>
      </c>
      <c r="X507" s="13">
        <v>240806</v>
      </c>
      <c r="Y507" s="13" t="s">
        <v>1405</v>
      </c>
      <c r="Z507" s="13">
        <v>0</v>
      </c>
      <c r="AA507" s="13">
        <v>0</v>
      </c>
      <c r="AB507" s="13" t="s">
        <v>1405</v>
      </c>
      <c r="AC507" s="13" t="s">
        <v>1405</v>
      </c>
      <c r="AD507" s="13">
        <v>0</v>
      </c>
      <c r="AE507" s="13" t="s">
        <v>1405</v>
      </c>
      <c r="AF507" s="13" t="s">
        <v>1405</v>
      </c>
    </row>
    <row r="508" spans="1:32" x14ac:dyDescent="0.2">
      <c r="A508" s="3" t="s">
        <v>2364</v>
      </c>
      <c r="B508" s="14" t="s">
        <v>1497</v>
      </c>
      <c r="C508" s="6">
        <v>507</v>
      </c>
      <c r="D508" s="14">
        <v>190</v>
      </c>
      <c r="E508" s="14" t="s">
        <v>1457</v>
      </c>
      <c r="F508" s="15" t="s">
        <v>1445</v>
      </c>
      <c r="G508" s="14" t="s">
        <v>1458</v>
      </c>
      <c r="H508" s="14" t="s">
        <v>87</v>
      </c>
      <c r="I508" s="14" t="s">
        <v>1409</v>
      </c>
      <c r="J508" s="14" t="s">
        <v>1397</v>
      </c>
      <c r="K508" s="8" t="s">
        <v>1582</v>
      </c>
      <c r="L508" s="16" t="s">
        <v>1499</v>
      </c>
      <c r="M508" s="16" t="s">
        <v>1580</v>
      </c>
      <c r="N508" s="16" t="s">
        <v>1397</v>
      </c>
      <c r="O508" s="16" t="s">
        <v>1581</v>
      </c>
      <c r="P508" s="16" t="s">
        <v>1451</v>
      </c>
      <c r="Q508" s="16" t="s">
        <v>1396</v>
      </c>
      <c r="R508" s="16">
        <v>1</v>
      </c>
      <c r="S508" s="16" t="s">
        <v>1453</v>
      </c>
      <c r="T508" s="16" t="s">
        <v>1454</v>
      </c>
      <c r="U508" s="16" t="s">
        <v>1406</v>
      </c>
      <c r="V508" s="16">
        <v>13</v>
      </c>
      <c r="W508" s="16" t="b">
        <v>1</v>
      </c>
      <c r="X508" s="16">
        <v>240806</v>
      </c>
      <c r="Y508" s="16" t="s">
        <v>1405</v>
      </c>
      <c r="Z508" s="16">
        <v>0</v>
      </c>
      <c r="AA508" s="16">
        <v>0</v>
      </c>
      <c r="AB508" s="16" t="s">
        <v>1405</v>
      </c>
      <c r="AC508" s="16" t="s">
        <v>1405</v>
      </c>
      <c r="AD508" s="16">
        <v>0</v>
      </c>
      <c r="AE508" s="16" t="s">
        <v>1405</v>
      </c>
      <c r="AF508" s="16" t="s">
        <v>1405</v>
      </c>
    </row>
    <row r="509" spans="1:32" x14ac:dyDescent="0.2">
      <c r="A509" s="3" t="s">
        <v>2365</v>
      </c>
      <c r="B509" s="12" t="s">
        <v>1497</v>
      </c>
      <c r="C509" s="6">
        <v>508</v>
      </c>
      <c r="D509" s="12">
        <v>191</v>
      </c>
      <c r="E509" s="12" t="s">
        <v>1444</v>
      </c>
      <c r="F509" s="12" t="s">
        <v>1445</v>
      </c>
      <c r="G509" s="12" t="s">
        <v>1446</v>
      </c>
      <c r="H509" s="12" t="s">
        <v>140</v>
      </c>
      <c r="I509" s="12" t="s">
        <v>1413</v>
      </c>
      <c r="J509" s="12" t="s">
        <v>1397</v>
      </c>
      <c r="K509" s="8" t="s">
        <v>1583</v>
      </c>
      <c r="L509" s="13" t="s">
        <v>1499</v>
      </c>
      <c r="M509" s="13" t="s">
        <v>1580</v>
      </c>
      <c r="N509" s="13" t="s">
        <v>1397</v>
      </c>
      <c r="O509" s="13" t="s">
        <v>1581</v>
      </c>
      <c r="P509" s="13" t="s">
        <v>1451</v>
      </c>
      <c r="Q509" s="13" t="s">
        <v>1398</v>
      </c>
      <c r="R509" s="13">
        <v>2</v>
      </c>
      <c r="S509" s="13" t="s">
        <v>1453</v>
      </c>
      <c r="T509" s="13" t="s">
        <v>1454</v>
      </c>
      <c r="U509" s="13" t="s">
        <v>1406</v>
      </c>
      <c r="V509" s="13">
        <v>13</v>
      </c>
      <c r="W509" s="13" t="b">
        <v>1</v>
      </c>
      <c r="X509" s="13">
        <v>240806</v>
      </c>
      <c r="Y509" s="13" t="s">
        <v>1405</v>
      </c>
      <c r="Z509" s="13">
        <v>0</v>
      </c>
      <c r="AA509" s="13">
        <v>0</v>
      </c>
      <c r="AB509" s="13" t="s">
        <v>1405</v>
      </c>
      <c r="AC509" s="13" t="s">
        <v>1405</v>
      </c>
      <c r="AD509" s="13">
        <v>0</v>
      </c>
      <c r="AE509" s="13" t="s">
        <v>1405</v>
      </c>
      <c r="AF509" s="13" t="s">
        <v>1405</v>
      </c>
    </row>
    <row r="510" spans="1:32" x14ac:dyDescent="0.2">
      <c r="A510" s="3" t="s">
        <v>2366</v>
      </c>
      <c r="B510" s="14" t="s">
        <v>1497</v>
      </c>
      <c r="C510" s="6">
        <v>509</v>
      </c>
      <c r="D510" s="14">
        <v>191</v>
      </c>
      <c r="E510" s="14" t="s">
        <v>1457</v>
      </c>
      <c r="F510" s="15" t="s">
        <v>1445</v>
      </c>
      <c r="G510" s="14" t="s">
        <v>1458</v>
      </c>
      <c r="H510" s="14" t="s">
        <v>88</v>
      </c>
      <c r="I510" s="14" t="s">
        <v>1409</v>
      </c>
      <c r="J510" s="14" t="s">
        <v>1397</v>
      </c>
      <c r="K510" s="8" t="s">
        <v>1584</v>
      </c>
      <c r="L510" s="16" t="s">
        <v>1499</v>
      </c>
      <c r="M510" s="16" t="s">
        <v>1580</v>
      </c>
      <c r="N510" s="16" t="s">
        <v>1397</v>
      </c>
      <c r="O510" s="16" t="s">
        <v>1581</v>
      </c>
      <c r="P510" s="16" t="s">
        <v>1451</v>
      </c>
      <c r="Q510" s="16" t="s">
        <v>1398</v>
      </c>
      <c r="R510" s="16">
        <v>2</v>
      </c>
      <c r="S510" s="16" t="s">
        <v>1453</v>
      </c>
      <c r="T510" s="16" t="s">
        <v>1454</v>
      </c>
      <c r="U510" s="16" t="s">
        <v>1406</v>
      </c>
      <c r="V510" s="16">
        <v>13</v>
      </c>
      <c r="W510" s="16" t="b">
        <v>1</v>
      </c>
      <c r="X510" s="16">
        <v>240806</v>
      </c>
      <c r="Y510" s="16" t="s">
        <v>1405</v>
      </c>
      <c r="Z510" s="16">
        <v>0</v>
      </c>
      <c r="AA510" s="16">
        <v>0</v>
      </c>
      <c r="AB510" s="16" t="s">
        <v>1405</v>
      </c>
      <c r="AC510" s="16" t="s">
        <v>1405</v>
      </c>
      <c r="AD510" s="16">
        <v>0</v>
      </c>
      <c r="AE510" s="16" t="s">
        <v>1405</v>
      </c>
      <c r="AF510" s="16" t="s">
        <v>1405</v>
      </c>
    </row>
    <row r="511" spans="1:32" x14ac:dyDescent="0.2">
      <c r="A511" s="3" t="s">
        <v>2367</v>
      </c>
      <c r="B511" s="12" t="s">
        <v>1497</v>
      </c>
      <c r="C511" s="6">
        <v>510</v>
      </c>
      <c r="D511" s="12">
        <v>192</v>
      </c>
      <c r="E511" s="12" t="s">
        <v>1444</v>
      </c>
      <c r="F511" s="12" t="s">
        <v>1445</v>
      </c>
      <c r="G511" s="12" t="s">
        <v>1446</v>
      </c>
      <c r="H511" s="12" t="s">
        <v>141</v>
      </c>
      <c r="I511" s="12" t="s">
        <v>1413</v>
      </c>
      <c r="J511" s="12" t="s">
        <v>1397</v>
      </c>
      <c r="K511" s="8" t="s">
        <v>1585</v>
      </c>
      <c r="L511" s="13" t="s">
        <v>1499</v>
      </c>
      <c r="M511" s="13" t="s">
        <v>1580</v>
      </c>
      <c r="N511" s="13" t="s">
        <v>1397</v>
      </c>
      <c r="O511" s="13" t="s">
        <v>1581</v>
      </c>
      <c r="P511" s="13" t="s">
        <v>1451</v>
      </c>
      <c r="Q511" s="13" t="s">
        <v>1399</v>
      </c>
      <c r="R511" s="13">
        <v>3</v>
      </c>
      <c r="S511" s="13" t="s">
        <v>1453</v>
      </c>
      <c r="T511" s="13" t="s">
        <v>1454</v>
      </c>
      <c r="U511" s="13" t="s">
        <v>1406</v>
      </c>
      <c r="V511" s="13">
        <v>13</v>
      </c>
      <c r="W511" s="13" t="b">
        <v>1</v>
      </c>
      <c r="X511" s="13">
        <v>240806</v>
      </c>
      <c r="Y511" s="13" t="s">
        <v>1405</v>
      </c>
      <c r="Z511" s="13">
        <v>0</v>
      </c>
      <c r="AA511" s="13">
        <v>0</v>
      </c>
      <c r="AB511" s="13" t="s">
        <v>1405</v>
      </c>
      <c r="AC511" s="13" t="s">
        <v>1405</v>
      </c>
      <c r="AD511" s="13">
        <v>0</v>
      </c>
      <c r="AE511" s="13" t="s">
        <v>1405</v>
      </c>
      <c r="AF511" s="13" t="s">
        <v>1405</v>
      </c>
    </row>
    <row r="512" spans="1:32" x14ac:dyDescent="0.2">
      <c r="A512" s="3" t="s">
        <v>2368</v>
      </c>
      <c r="B512" s="14" t="s">
        <v>1497</v>
      </c>
      <c r="C512" s="6">
        <v>511</v>
      </c>
      <c r="D512" s="14">
        <v>192</v>
      </c>
      <c r="E512" s="14" t="s">
        <v>1457</v>
      </c>
      <c r="F512" s="15" t="s">
        <v>1445</v>
      </c>
      <c r="G512" s="14" t="s">
        <v>1458</v>
      </c>
      <c r="H512" s="14" t="s">
        <v>89</v>
      </c>
      <c r="I512" s="14" t="s">
        <v>1409</v>
      </c>
      <c r="J512" s="14" t="s">
        <v>1397</v>
      </c>
      <c r="K512" s="8" t="s">
        <v>1586</v>
      </c>
      <c r="L512" s="16" t="s">
        <v>1499</v>
      </c>
      <c r="M512" s="16" t="s">
        <v>1580</v>
      </c>
      <c r="N512" s="16" t="s">
        <v>1397</v>
      </c>
      <c r="O512" s="16" t="s">
        <v>1581</v>
      </c>
      <c r="P512" s="16" t="s">
        <v>1451</v>
      </c>
      <c r="Q512" s="16" t="s">
        <v>1399</v>
      </c>
      <c r="R512" s="16">
        <v>3</v>
      </c>
      <c r="S512" s="16" t="s">
        <v>1453</v>
      </c>
      <c r="T512" s="16" t="s">
        <v>1454</v>
      </c>
      <c r="U512" s="16" t="s">
        <v>1406</v>
      </c>
      <c r="V512" s="16">
        <v>13</v>
      </c>
      <c r="W512" s="16" t="b">
        <v>1</v>
      </c>
      <c r="X512" s="16">
        <v>240806</v>
      </c>
      <c r="Y512" s="16" t="s">
        <v>1405</v>
      </c>
      <c r="Z512" s="16">
        <v>0</v>
      </c>
      <c r="AA512" s="16">
        <v>0</v>
      </c>
      <c r="AB512" s="16" t="s">
        <v>1405</v>
      </c>
      <c r="AC512" s="16" t="s">
        <v>1405</v>
      </c>
      <c r="AD512" s="16">
        <v>0</v>
      </c>
      <c r="AE512" s="16" t="s">
        <v>1405</v>
      </c>
      <c r="AF512" s="16" t="s">
        <v>1405</v>
      </c>
    </row>
    <row r="513" spans="1:32" x14ac:dyDescent="0.2">
      <c r="A513" s="3" t="s">
        <v>2369</v>
      </c>
      <c r="B513" s="12" t="s">
        <v>1497</v>
      </c>
      <c r="C513" s="6">
        <v>512</v>
      </c>
      <c r="D513" s="12">
        <v>193</v>
      </c>
      <c r="E513" s="12" t="s">
        <v>1444</v>
      </c>
      <c r="F513" s="12" t="s">
        <v>1445</v>
      </c>
      <c r="G513" s="12" t="s">
        <v>1446</v>
      </c>
      <c r="H513" s="12" t="s">
        <v>1495</v>
      </c>
      <c r="I513" s="12" t="s">
        <v>1413</v>
      </c>
      <c r="J513" s="12" t="s">
        <v>1403</v>
      </c>
      <c r="K513" s="8" t="s">
        <v>1583</v>
      </c>
      <c r="L513" s="13" t="s">
        <v>1499</v>
      </c>
      <c r="M513" s="13" t="s">
        <v>1580</v>
      </c>
      <c r="N513" s="13" t="s">
        <v>1450</v>
      </c>
      <c r="O513" s="13" t="s">
        <v>1581</v>
      </c>
      <c r="P513" s="13" t="s">
        <v>1451</v>
      </c>
      <c r="Q513" s="13" t="s">
        <v>1398</v>
      </c>
      <c r="R513" s="13">
        <v>2</v>
      </c>
      <c r="S513" s="13" t="s">
        <v>1453</v>
      </c>
      <c r="T513" s="13" t="s">
        <v>1454</v>
      </c>
      <c r="U513" s="13" t="s">
        <v>1406</v>
      </c>
      <c r="V513" s="13">
        <v>13</v>
      </c>
      <c r="W513" s="13" t="b">
        <v>1</v>
      </c>
      <c r="X513" s="13">
        <v>240806</v>
      </c>
      <c r="Y513" s="13" t="s">
        <v>1405</v>
      </c>
      <c r="Z513" s="13">
        <v>0</v>
      </c>
      <c r="AA513" s="13">
        <v>0</v>
      </c>
      <c r="AB513" s="13" t="s">
        <v>1405</v>
      </c>
      <c r="AC513" s="13" t="s">
        <v>1405</v>
      </c>
      <c r="AD513" s="13">
        <v>0</v>
      </c>
      <c r="AE513" s="13" t="s">
        <v>1405</v>
      </c>
      <c r="AF513" s="13" t="s">
        <v>1405</v>
      </c>
    </row>
    <row r="514" spans="1:32" x14ac:dyDescent="0.2">
      <c r="A514" s="3" t="s">
        <v>2370</v>
      </c>
      <c r="B514" s="14" t="s">
        <v>1497</v>
      </c>
      <c r="C514" s="6">
        <v>513</v>
      </c>
      <c r="D514" s="14">
        <v>193.5</v>
      </c>
      <c r="E514" s="14" t="s">
        <v>1457</v>
      </c>
      <c r="F514" s="15" t="s">
        <v>1445</v>
      </c>
      <c r="G514" s="14" t="s">
        <v>1458</v>
      </c>
      <c r="H514" s="14" t="s">
        <v>84</v>
      </c>
      <c r="I514" s="14" t="s">
        <v>1411</v>
      </c>
      <c r="J514" s="14" t="s">
        <v>1403</v>
      </c>
      <c r="K514" s="8" t="s">
        <v>1584</v>
      </c>
      <c r="L514" s="16" t="s">
        <v>1499</v>
      </c>
      <c r="M514" s="16" t="s">
        <v>1580</v>
      </c>
      <c r="N514" s="16" t="s">
        <v>1450</v>
      </c>
      <c r="O514" s="16" t="s">
        <v>1581</v>
      </c>
      <c r="P514" s="16" t="s">
        <v>1451</v>
      </c>
      <c r="Q514" s="16" t="s">
        <v>1398</v>
      </c>
      <c r="R514" s="16">
        <v>2</v>
      </c>
      <c r="S514" s="16" t="s">
        <v>1453</v>
      </c>
      <c r="T514" s="16" t="s">
        <v>1454</v>
      </c>
      <c r="U514" s="16" t="s">
        <v>1406</v>
      </c>
      <c r="V514" s="16">
        <v>13</v>
      </c>
      <c r="W514" s="16" t="b">
        <v>1</v>
      </c>
      <c r="X514" s="16">
        <v>240806</v>
      </c>
      <c r="Y514" s="16" t="s">
        <v>1405</v>
      </c>
      <c r="Z514" s="16">
        <v>0</v>
      </c>
      <c r="AA514" s="16">
        <v>0</v>
      </c>
      <c r="AB514" s="16" t="s">
        <v>1405</v>
      </c>
      <c r="AC514" s="16" t="s">
        <v>1405</v>
      </c>
      <c r="AD514" s="16">
        <v>0</v>
      </c>
      <c r="AE514" s="16" t="s">
        <v>1405</v>
      </c>
      <c r="AF514" s="16" t="s">
        <v>1405</v>
      </c>
    </row>
    <row r="515" spans="1:32" x14ac:dyDescent="0.2">
      <c r="A515" s="3" t="s">
        <v>2371</v>
      </c>
      <c r="B515" s="12" t="s">
        <v>1497</v>
      </c>
      <c r="C515" s="6">
        <v>514</v>
      </c>
      <c r="D515" s="12">
        <v>194</v>
      </c>
      <c r="E515" s="12" t="s">
        <v>1444</v>
      </c>
      <c r="F515" s="12" t="s">
        <v>1445</v>
      </c>
      <c r="G515" s="12" t="s">
        <v>1446</v>
      </c>
      <c r="H515" s="12" t="s">
        <v>1496</v>
      </c>
      <c r="I515" s="12" t="s">
        <v>1413</v>
      </c>
      <c r="J515" s="12" t="s">
        <v>1403</v>
      </c>
      <c r="K515" s="8" t="s">
        <v>1583</v>
      </c>
      <c r="L515" s="13" t="s">
        <v>1499</v>
      </c>
      <c r="M515" s="13" t="s">
        <v>1580</v>
      </c>
      <c r="N515" s="13" t="s">
        <v>1450</v>
      </c>
      <c r="O515" s="13" t="s">
        <v>1581</v>
      </c>
      <c r="P515" s="13" t="s">
        <v>1451</v>
      </c>
      <c r="Q515" s="13" t="s">
        <v>1398</v>
      </c>
      <c r="R515" s="13">
        <v>2</v>
      </c>
      <c r="S515" s="13" t="s">
        <v>1453</v>
      </c>
      <c r="T515" s="13" t="s">
        <v>1454</v>
      </c>
      <c r="U515" s="13" t="s">
        <v>1406</v>
      </c>
      <c r="V515" s="13">
        <v>13</v>
      </c>
      <c r="W515" s="13" t="b">
        <v>1</v>
      </c>
      <c r="X515" s="13">
        <v>240806</v>
      </c>
      <c r="Y515" s="13" t="s">
        <v>1405</v>
      </c>
      <c r="Z515" s="13">
        <v>0</v>
      </c>
      <c r="AA515" s="13">
        <v>0</v>
      </c>
      <c r="AB515" s="13" t="s">
        <v>1405</v>
      </c>
      <c r="AC515" s="13" t="s">
        <v>1405</v>
      </c>
      <c r="AD515" s="13">
        <v>0</v>
      </c>
      <c r="AE515" s="13" t="s">
        <v>1405</v>
      </c>
      <c r="AF515" s="13" t="s">
        <v>1405</v>
      </c>
    </row>
    <row r="516" spans="1:32" x14ac:dyDescent="0.2">
      <c r="A516" s="3" t="s">
        <v>2372</v>
      </c>
      <c r="B516" s="12" t="s">
        <v>1497</v>
      </c>
      <c r="C516" s="6">
        <v>515</v>
      </c>
      <c r="D516" s="12">
        <v>195</v>
      </c>
      <c r="E516" s="12" t="s">
        <v>1444</v>
      </c>
      <c r="F516" s="12" t="s">
        <v>1445</v>
      </c>
      <c r="G516" s="12" t="s">
        <v>1446</v>
      </c>
      <c r="H516" s="12" t="s">
        <v>22</v>
      </c>
      <c r="I516" s="12" t="s">
        <v>1414</v>
      </c>
      <c r="J516" s="12" t="s">
        <v>1397</v>
      </c>
      <c r="K516" s="8" t="s">
        <v>1587</v>
      </c>
      <c r="L516" s="13" t="s">
        <v>1499</v>
      </c>
      <c r="M516" s="13" t="s">
        <v>1580</v>
      </c>
      <c r="N516" s="13" t="s">
        <v>1397</v>
      </c>
      <c r="O516" s="13" t="s">
        <v>1581</v>
      </c>
      <c r="P516" s="13" t="s">
        <v>1451</v>
      </c>
      <c r="Q516" s="13" t="s">
        <v>1400</v>
      </c>
      <c r="R516" s="13">
        <v>4</v>
      </c>
      <c r="S516" s="13" t="s">
        <v>1453</v>
      </c>
      <c r="T516" s="13" t="s">
        <v>1454</v>
      </c>
      <c r="U516" s="13" t="s">
        <v>1406</v>
      </c>
      <c r="V516" s="13">
        <v>13</v>
      </c>
      <c r="W516" s="13" t="b">
        <v>1</v>
      </c>
      <c r="X516" s="13">
        <v>240806</v>
      </c>
      <c r="Y516" s="13" t="s">
        <v>1405</v>
      </c>
      <c r="Z516" s="13">
        <v>0</v>
      </c>
      <c r="AA516" s="13">
        <v>0</v>
      </c>
      <c r="AB516" s="13" t="s">
        <v>1405</v>
      </c>
      <c r="AC516" s="13" t="s">
        <v>1405</v>
      </c>
      <c r="AD516" s="13">
        <v>0</v>
      </c>
      <c r="AE516" s="13" t="s">
        <v>1405</v>
      </c>
      <c r="AF516" s="13" t="s">
        <v>1405</v>
      </c>
    </row>
    <row r="517" spans="1:32" x14ac:dyDescent="0.2">
      <c r="A517" s="3" t="s">
        <v>2373</v>
      </c>
      <c r="B517" s="14" t="s">
        <v>1497</v>
      </c>
      <c r="C517" s="6">
        <v>516</v>
      </c>
      <c r="D517" s="14">
        <v>195</v>
      </c>
      <c r="E517" s="14" t="s">
        <v>1457</v>
      </c>
      <c r="F517" s="15" t="s">
        <v>1445</v>
      </c>
      <c r="G517" s="14" t="s">
        <v>1458</v>
      </c>
      <c r="H517" s="14" t="s">
        <v>90</v>
      </c>
      <c r="I517" s="14" t="s">
        <v>1409</v>
      </c>
      <c r="J517" s="14" t="s">
        <v>1397</v>
      </c>
      <c r="K517" s="8" t="s">
        <v>1588</v>
      </c>
      <c r="L517" s="16" t="s">
        <v>1499</v>
      </c>
      <c r="M517" s="16" t="s">
        <v>1580</v>
      </c>
      <c r="N517" s="16" t="s">
        <v>1397</v>
      </c>
      <c r="O517" s="16" t="s">
        <v>1581</v>
      </c>
      <c r="P517" s="16" t="s">
        <v>1451</v>
      </c>
      <c r="Q517" s="16" t="s">
        <v>1400</v>
      </c>
      <c r="R517" s="16">
        <v>4</v>
      </c>
      <c r="S517" s="16" t="s">
        <v>1453</v>
      </c>
      <c r="T517" s="16" t="s">
        <v>1454</v>
      </c>
      <c r="U517" s="16" t="s">
        <v>1406</v>
      </c>
      <c r="V517" s="16">
        <v>13</v>
      </c>
      <c r="W517" s="16" t="b">
        <v>1</v>
      </c>
      <c r="X517" s="16">
        <v>240806</v>
      </c>
      <c r="Y517" s="16" t="s">
        <v>1405</v>
      </c>
      <c r="Z517" s="16">
        <v>0</v>
      </c>
      <c r="AA517" s="16">
        <v>0</v>
      </c>
      <c r="AB517" s="16" t="s">
        <v>1405</v>
      </c>
      <c r="AC517" s="16" t="s">
        <v>1405</v>
      </c>
      <c r="AD517" s="16">
        <v>0</v>
      </c>
      <c r="AE517" s="16" t="s">
        <v>1405</v>
      </c>
      <c r="AF517" s="16" t="s">
        <v>1405</v>
      </c>
    </row>
    <row r="518" spans="1:32" x14ac:dyDescent="0.2">
      <c r="A518" s="3" t="s">
        <v>2374</v>
      </c>
      <c r="B518" s="12" t="s">
        <v>1497</v>
      </c>
      <c r="C518" s="6">
        <v>517</v>
      </c>
      <c r="D518" s="12">
        <v>196</v>
      </c>
      <c r="E518" s="12" t="s">
        <v>1444</v>
      </c>
      <c r="F518" s="12" t="s">
        <v>1445</v>
      </c>
      <c r="G518" s="12" t="s">
        <v>1446</v>
      </c>
      <c r="H518" s="12" t="s">
        <v>30</v>
      </c>
      <c r="I518" s="12" t="s">
        <v>1414</v>
      </c>
      <c r="J518" s="12" t="s">
        <v>1397</v>
      </c>
      <c r="K518" s="8" t="s">
        <v>1589</v>
      </c>
      <c r="L518" s="13" t="s">
        <v>1521</v>
      </c>
      <c r="M518" s="13" t="s">
        <v>1590</v>
      </c>
      <c r="N518" s="13" t="s">
        <v>1397</v>
      </c>
      <c r="O518" s="13" t="s">
        <v>1581</v>
      </c>
      <c r="P518" s="13" t="s">
        <v>1451</v>
      </c>
      <c r="Q518" s="13" t="s">
        <v>1396</v>
      </c>
      <c r="R518" s="13">
        <v>1</v>
      </c>
      <c r="S518" s="13" t="s">
        <v>1453</v>
      </c>
      <c r="T518" s="13" t="s">
        <v>1454</v>
      </c>
      <c r="U518" s="13" t="s">
        <v>1406</v>
      </c>
      <c r="V518" s="13">
        <v>13</v>
      </c>
      <c r="W518" s="13" t="b">
        <v>1</v>
      </c>
      <c r="X518" s="13">
        <v>240806</v>
      </c>
      <c r="Y518" s="13" t="s">
        <v>1405</v>
      </c>
      <c r="Z518" s="13">
        <v>0</v>
      </c>
      <c r="AA518" s="13">
        <v>0</v>
      </c>
      <c r="AB518" s="13" t="s">
        <v>1405</v>
      </c>
      <c r="AC518" s="13" t="s">
        <v>1405</v>
      </c>
      <c r="AD518" s="13">
        <v>0</v>
      </c>
      <c r="AE518" s="13" t="s">
        <v>1405</v>
      </c>
      <c r="AF518" s="13" t="s">
        <v>1405</v>
      </c>
    </row>
    <row r="519" spans="1:32" x14ac:dyDescent="0.2">
      <c r="A519" s="3" t="s">
        <v>2375</v>
      </c>
      <c r="B519" s="14" t="s">
        <v>1497</v>
      </c>
      <c r="C519" s="6">
        <v>518</v>
      </c>
      <c r="D519" s="14">
        <v>196</v>
      </c>
      <c r="E519" s="14" t="s">
        <v>1457</v>
      </c>
      <c r="F519" s="15" t="s">
        <v>1445</v>
      </c>
      <c r="G519" s="14" t="s">
        <v>1458</v>
      </c>
      <c r="H519" s="14" t="s">
        <v>92</v>
      </c>
      <c r="I519" s="14" t="s">
        <v>1409</v>
      </c>
      <c r="J519" s="14" t="s">
        <v>1397</v>
      </c>
      <c r="K519" s="8" t="s">
        <v>1591</v>
      </c>
      <c r="L519" s="16" t="s">
        <v>1521</v>
      </c>
      <c r="M519" s="16" t="s">
        <v>1590</v>
      </c>
      <c r="N519" s="16" t="s">
        <v>1397</v>
      </c>
      <c r="O519" s="16" t="s">
        <v>1581</v>
      </c>
      <c r="P519" s="16" t="s">
        <v>1451</v>
      </c>
      <c r="Q519" s="16" t="s">
        <v>1396</v>
      </c>
      <c r="R519" s="16">
        <v>1</v>
      </c>
      <c r="S519" s="16" t="s">
        <v>1453</v>
      </c>
      <c r="T519" s="16" t="s">
        <v>1454</v>
      </c>
      <c r="U519" s="16" t="s">
        <v>1406</v>
      </c>
      <c r="V519" s="16">
        <v>13</v>
      </c>
      <c r="W519" s="16" t="b">
        <v>1</v>
      </c>
      <c r="X519" s="16">
        <v>240806</v>
      </c>
      <c r="Y519" s="16" t="s">
        <v>1405</v>
      </c>
      <c r="Z519" s="16">
        <v>0</v>
      </c>
      <c r="AA519" s="16">
        <v>0</v>
      </c>
      <c r="AB519" s="16" t="s">
        <v>1405</v>
      </c>
      <c r="AC519" s="16" t="s">
        <v>1405</v>
      </c>
      <c r="AD519" s="16">
        <v>0</v>
      </c>
      <c r="AE519" s="16" t="s">
        <v>1405</v>
      </c>
      <c r="AF519" s="16" t="s">
        <v>1405</v>
      </c>
    </row>
    <row r="520" spans="1:32" x14ac:dyDescent="0.2">
      <c r="A520" s="3" t="s">
        <v>2376</v>
      </c>
      <c r="B520" s="12" t="s">
        <v>1497</v>
      </c>
      <c r="C520" s="6">
        <v>519</v>
      </c>
      <c r="D520" s="12">
        <v>197</v>
      </c>
      <c r="E520" s="12" t="s">
        <v>1444</v>
      </c>
      <c r="F520" s="12" t="s">
        <v>1445</v>
      </c>
      <c r="G520" s="12" t="s">
        <v>1446</v>
      </c>
      <c r="H520" s="12" t="s">
        <v>32</v>
      </c>
      <c r="I520" s="12" t="s">
        <v>1414</v>
      </c>
      <c r="J520" s="12" t="s">
        <v>1397</v>
      </c>
      <c r="K520" s="8" t="s">
        <v>1592</v>
      </c>
      <c r="L520" s="13" t="s">
        <v>1521</v>
      </c>
      <c r="M520" s="13" t="s">
        <v>1590</v>
      </c>
      <c r="N520" s="13" t="s">
        <v>1397</v>
      </c>
      <c r="O520" s="13" t="s">
        <v>1581</v>
      </c>
      <c r="P520" s="13" t="s">
        <v>1451</v>
      </c>
      <c r="Q520" s="13" t="s">
        <v>1398</v>
      </c>
      <c r="R520" s="13">
        <v>2</v>
      </c>
      <c r="S520" s="13" t="s">
        <v>1453</v>
      </c>
      <c r="T520" s="13" t="s">
        <v>1454</v>
      </c>
      <c r="U520" s="13" t="s">
        <v>1406</v>
      </c>
      <c r="V520" s="13">
        <v>13</v>
      </c>
      <c r="W520" s="13" t="b">
        <v>1</v>
      </c>
      <c r="X520" s="13">
        <v>240806</v>
      </c>
      <c r="Y520" s="13" t="s">
        <v>1405</v>
      </c>
      <c r="Z520" s="13">
        <v>0</v>
      </c>
      <c r="AA520" s="13">
        <v>0</v>
      </c>
      <c r="AB520" s="13" t="s">
        <v>1405</v>
      </c>
      <c r="AC520" s="13" t="s">
        <v>1405</v>
      </c>
      <c r="AD520" s="13">
        <v>0</v>
      </c>
      <c r="AE520" s="13" t="s">
        <v>1405</v>
      </c>
      <c r="AF520" s="13" t="s">
        <v>1405</v>
      </c>
    </row>
    <row r="521" spans="1:32" x14ac:dyDescent="0.2">
      <c r="A521" s="3" t="s">
        <v>2377</v>
      </c>
      <c r="B521" s="14" t="s">
        <v>1497</v>
      </c>
      <c r="C521" s="6">
        <v>520</v>
      </c>
      <c r="D521" s="14">
        <v>197</v>
      </c>
      <c r="E521" s="14" t="s">
        <v>1457</v>
      </c>
      <c r="F521" s="15" t="s">
        <v>1445</v>
      </c>
      <c r="G521" s="14" t="s">
        <v>1458</v>
      </c>
      <c r="H521" s="14" t="s">
        <v>93</v>
      </c>
      <c r="I521" s="14" t="s">
        <v>1409</v>
      </c>
      <c r="J521" s="14" t="s">
        <v>1397</v>
      </c>
      <c r="K521" s="8" t="s">
        <v>1593</v>
      </c>
      <c r="L521" s="16" t="s">
        <v>1521</v>
      </c>
      <c r="M521" s="16" t="s">
        <v>1590</v>
      </c>
      <c r="N521" s="16" t="s">
        <v>1397</v>
      </c>
      <c r="O521" s="16" t="s">
        <v>1581</v>
      </c>
      <c r="P521" s="16" t="s">
        <v>1451</v>
      </c>
      <c r="Q521" s="16" t="s">
        <v>1398</v>
      </c>
      <c r="R521" s="16">
        <v>2</v>
      </c>
      <c r="S521" s="16" t="s">
        <v>1453</v>
      </c>
      <c r="T521" s="16" t="s">
        <v>1454</v>
      </c>
      <c r="U521" s="16" t="s">
        <v>1406</v>
      </c>
      <c r="V521" s="16">
        <v>13</v>
      </c>
      <c r="W521" s="16" t="b">
        <v>1</v>
      </c>
      <c r="X521" s="16">
        <v>240806</v>
      </c>
      <c r="Y521" s="16" t="s">
        <v>1405</v>
      </c>
      <c r="Z521" s="16">
        <v>0</v>
      </c>
      <c r="AA521" s="16">
        <v>0</v>
      </c>
      <c r="AB521" s="16" t="s">
        <v>1405</v>
      </c>
      <c r="AC521" s="16" t="s">
        <v>1405</v>
      </c>
      <c r="AD521" s="16">
        <v>0</v>
      </c>
      <c r="AE521" s="16" t="s">
        <v>1405</v>
      </c>
      <c r="AF521" s="16" t="s">
        <v>1405</v>
      </c>
    </row>
    <row r="522" spans="1:32" x14ac:dyDescent="0.2">
      <c r="A522" s="3" t="s">
        <v>2378</v>
      </c>
      <c r="B522" s="12" t="s">
        <v>1497</v>
      </c>
      <c r="C522" s="6">
        <v>521</v>
      </c>
      <c r="D522" s="12">
        <v>198</v>
      </c>
      <c r="E522" s="12" t="s">
        <v>1444</v>
      </c>
      <c r="F522" s="12" t="s">
        <v>1445</v>
      </c>
      <c r="G522" s="12" t="s">
        <v>1446</v>
      </c>
      <c r="H522" s="12" t="s">
        <v>34</v>
      </c>
      <c r="I522" s="12" t="s">
        <v>1414</v>
      </c>
      <c r="J522" s="12" t="s">
        <v>1397</v>
      </c>
      <c r="K522" s="8" t="s">
        <v>1594</v>
      </c>
      <c r="L522" s="13" t="s">
        <v>1521</v>
      </c>
      <c r="M522" s="13" t="s">
        <v>1590</v>
      </c>
      <c r="N522" s="13" t="s">
        <v>1397</v>
      </c>
      <c r="O522" s="13" t="s">
        <v>1581</v>
      </c>
      <c r="P522" s="13" t="s">
        <v>1451</v>
      </c>
      <c r="Q522" s="13" t="s">
        <v>1399</v>
      </c>
      <c r="R522" s="13">
        <v>3</v>
      </c>
      <c r="S522" s="13" t="s">
        <v>1453</v>
      </c>
      <c r="T522" s="13" t="s">
        <v>1454</v>
      </c>
      <c r="U522" s="13" t="s">
        <v>1406</v>
      </c>
      <c r="V522" s="13">
        <v>13</v>
      </c>
      <c r="W522" s="13" t="b">
        <v>1</v>
      </c>
      <c r="X522" s="13">
        <v>240806</v>
      </c>
      <c r="Y522" s="13" t="s">
        <v>1405</v>
      </c>
      <c r="Z522" s="13">
        <v>0</v>
      </c>
      <c r="AA522" s="13">
        <v>0</v>
      </c>
      <c r="AB522" s="13" t="s">
        <v>1405</v>
      </c>
      <c r="AC522" s="13" t="s">
        <v>1405</v>
      </c>
      <c r="AD522" s="13">
        <v>0</v>
      </c>
      <c r="AE522" s="13" t="s">
        <v>1405</v>
      </c>
      <c r="AF522" s="13" t="s">
        <v>1405</v>
      </c>
    </row>
    <row r="523" spans="1:32" x14ac:dyDescent="0.2">
      <c r="A523" s="3" t="s">
        <v>2379</v>
      </c>
      <c r="B523" s="14" t="s">
        <v>1497</v>
      </c>
      <c r="C523" s="6">
        <v>522</v>
      </c>
      <c r="D523" s="14">
        <v>198</v>
      </c>
      <c r="E523" s="14" t="s">
        <v>1457</v>
      </c>
      <c r="F523" s="15" t="s">
        <v>1445</v>
      </c>
      <c r="G523" s="14" t="s">
        <v>1458</v>
      </c>
      <c r="H523" s="14" t="s">
        <v>94</v>
      </c>
      <c r="I523" s="14" t="s">
        <v>1409</v>
      </c>
      <c r="J523" s="14" t="s">
        <v>1397</v>
      </c>
      <c r="K523" s="8" t="s">
        <v>1595</v>
      </c>
      <c r="L523" s="16" t="s">
        <v>1521</v>
      </c>
      <c r="M523" s="16" t="s">
        <v>1590</v>
      </c>
      <c r="N523" s="16" t="s">
        <v>1397</v>
      </c>
      <c r="O523" s="16" t="s">
        <v>1581</v>
      </c>
      <c r="P523" s="16" t="s">
        <v>1451</v>
      </c>
      <c r="Q523" s="16" t="s">
        <v>1399</v>
      </c>
      <c r="R523" s="16">
        <v>3</v>
      </c>
      <c r="S523" s="16" t="s">
        <v>1453</v>
      </c>
      <c r="T523" s="16" t="s">
        <v>1454</v>
      </c>
      <c r="U523" s="16" t="s">
        <v>1406</v>
      </c>
      <c r="V523" s="16">
        <v>13</v>
      </c>
      <c r="W523" s="16" t="b">
        <v>1</v>
      </c>
      <c r="X523" s="16">
        <v>240806</v>
      </c>
      <c r="Y523" s="16" t="s">
        <v>1405</v>
      </c>
      <c r="Z523" s="16">
        <v>0</v>
      </c>
      <c r="AA523" s="16">
        <v>0</v>
      </c>
      <c r="AB523" s="16" t="s">
        <v>1405</v>
      </c>
      <c r="AC523" s="16" t="s">
        <v>1405</v>
      </c>
      <c r="AD523" s="16">
        <v>0</v>
      </c>
      <c r="AE523" s="16" t="s">
        <v>1405</v>
      </c>
      <c r="AF523" s="16" t="s">
        <v>1405</v>
      </c>
    </row>
    <row r="524" spans="1:32" x14ac:dyDescent="0.2">
      <c r="A524" s="3" t="s">
        <v>2380</v>
      </c>
      <c r="B524" s="12" t="s">
        <v>1497</v>
      </c>
      <c r="C524" s="6">
        <v>523</v>
      </c>
      <c r="D524" s="12">
        <v>199</v>
      </c>
      <c r="E524" s="12" t="s">
        <v>1444</v>
      </c>
      <c r="F524" s="12" t="s">
        <v>1445</v>
      </c>
      <c r="G524" s="12" t="s">
        <v>1446</v>
      </c>
      <c r="H524" s="12" t="s">
        <v>36</v>
      </c>
      <c r="I524" s="12" t="s">
        <v>1414</v>
      </c>
      <c r="J524" s="12" t="s">
        <v>1397</v>
      </c>
      <c r="K524" s="8" t="s">
        <v>1596</v>
      </c>
      <c r="L524" s="13" t="s">
        <v>1521</v>
      </c>
      <c r="M524" s="13" t="s">
        <v>1590</v>
      </c>
      <c r="N524" s="13" t="s">
        <v>1397</v>
      </c>
      <c r="O524" s="13" t="s">
        <v>1581</v>
      </c>
      <c r="P524" s="13" t="s">
        <v>1451</v>
      </c>
      <c r="Q524" s="13" t="s">
        <v>1400</v>
      </c>
      <c r="R524" s="13">
        <v>4</v>
      </c>
      <c r="S524" s="13" t="s">
        <v>1453</v>
      </c>
      <c r="T524" s="13" t="s">
        <v>1454</v>
      </c>
      <c r="U524" s="13" t="s">
        <v>1406</v>
      </c>
      <c r="V524" s="13">
        <v>13</v>
      </c>
      <c r="W524" s="13" t="b">
        <v>1</v>
      </c>
      <c r="X524" s="13">
        <v>240806</v>
      </c>
      <c r="Y524" s="13" t="s">
        <v>1405</v>
      </c>
      <c r="Z524" s="13">
        <v>0</v>
      </c>
      <c r="AA524" s="13">
        <v>0</v>
      </c>
      <c r="AB524" s="13" t="s">
        <v>1405</v>
      </c>
      <c r="AC524" s="13" t="s">
        <v>1405</v>
      </c>
      <c r="AD524" s="13">
        <v>0</v>
      </c>
      <c r="AE524" s="13" t="s">
        <v>1405</v>
      </c>
      <c r="AF524" s="13" t="s">
        <v>1405</v>
      </c>
    </row>
    <row r="525" spans="1:32" x14ac:dyDescent="0.2">
      <c r="A525" s="3" t="s">
        <v>2381</v>
      </c>
      <c r="B525" s="14" t="s">
        <v>1497</v>
      </c>
      <c r="C525" s="6">
        <v>524</v>
      </c>
      <c r="D525" s="14">
        <v>199</v>
      </c>
      <c r="E525" s="14" t="s">
        <v>1457</v>
      </c>
      <c r="F525" s="15" t="s">
        <v>1445</v>
      </c>
      <c r="G525" s="14" t="s">
        <v>1458</v>
      </c>
      <c r="H525" s="14" t="s">
        <v>95</v>
      </c>
      <c r="I525" s="14" t="s">
        <v>1409</v>
      </c>
      <c r="J525" s="14" t="s">
        <v>1397</v>
      </c>
      <c r="K525" s="8" t="s">
        <v>1597</v>
      </c>
      <c r="L525" s="16" t="s">
        <v>1521</v>
      </c>
      <c r="M525" s="16" t="s">
        <v>1590</v>
      </c>
      <c r="N525" s="16" t="s">
        <v>1397</v>
      </c>
      <c r="O525" s="16" t="s">
        <v>1581</v>
      </c>
      <c r="P525" s="16" t="s">
        <v>1451</v>
      </c>
      <c r="Q525" s="16" t="s">
        <v>1400</v>
      </c>
      <c r="R525" s="16">
        <v>4</v>
      </c>
      <c r="S525" s="16" t="s">
        <v>1453</v>
      </c>
      <c r="T525" s="16" t="s">
        <v>1454</v>
      </c>
      <c r="U525" s="16" t="s">
        <v>1406</v>
      </c>
      <c r="V525" s="16">
        <v>13</v>
      </c>
      <c r="W525" s="16" t="b">
        <v>1</v>
      </c>
      <c r="X525" s="16">
        <v>240806</v>
      </c>
      <c r="Y525" s="16" t="s">
        <v>1405</v>
      </c>
      <c r="Z525" s="16">
        <v>0</v>
      </c>
      <c r="AA525" s="16">
        <v>0</v>
      </c>
      <c r="AB525" s="16" t="s">
        <v>1405</v>
      </c>
      <c r="AC525" s="16" t="s">
        <v>1405</v>
      </c>
      <c r="AD525" s="16">
        <v>0</v>
      </c>
      <c r="AE525" s="16" t="s">
        <v>1405</v>
      </c>
      <c r="AF525" s="16" t="s">
        <v>1405</v>
      </c>
    </row>
    <row r="526" spans="1:32" x14ac:dyDescent="0.2">
      <c r="A526" s="3" t="s">
        <v>2382</v>
      </c>
      <c r="B526" s="12" t="s">
        <v>1497</v>
      </c>
      <c r="C526" s="6">
        <v>525</v>
      </c>
      <c r="D526" s="12">
        <v>200</v>
      </c>
      <c r="E526" s="12" t="s">
        <v>1444</v>
      </c>
      <c r="F526" s="12" t="s">
        <v>1445</v>
      </c>
      <c r="G526" s="12" t="s">
        <v>1446</v>
      </c>
      <c r="H526" s="12" t="s">
        <v>38</v>
      </c>
      <c r="I526" s="12" t="s">
        <v>1414</v>
      </c>
      <c r="J526" s="12" t="s">
        <v>1397</v>
      </c>
      <c r="K526" s="8" t="s">
        <v>1598</v>
      </c>
      <c r="L526" s="13" t="s">
        <v>1521</v>
      </c>
      <c r="M526" s="13" t="s">
        <v>1590</v>
      </c>
      <c r="N526" s="13" t="s">
        <v>1397</v>
      </c>
      <c r="O526" s="13" t="s">
        <v>1581</v>
      </c>
      <c r="P526" s="13" t="s">
        <v>1451</v>
      </c>
      <c r="Q526" s="13" t="s">
        <v>1541</v>
      </c>
      <c r="R526" s="13">
        <v>5</v>
      </c>
      <c r="S526" s="13" t="s">
        <v>1453</v>
      </c>
      <c r="T526" s="13" t="s">
        <v>1454</v>
      </c>
      <c r="U526" s="13" t="s">
        <v>1406</v>
      </c>
      <c r="V526" s="13">
        <v>13</v>
      </c>
      <c r="W526" s="13" t="b">
        <v>1</v>
      </c>
      <c r="X526" s="13">
        <v>240806</v>
      </c>
      <c r="Y526" s="13" t="s">
        <v>1405</v>
      </c>
      <c r="Z526" s="13">
        <v>0</v>
      </c>
      <c r="AA526" s="13">
        <v>0</v>
      </c>
      <c r="AB526" s="13" t="s">
        <v>1405</v>
      </c>
      <c r="AC526" s="13" t="s">
        <v>1405</v>
      </c>
      <c r="AD526" s="13">
        <v>0</v>
      </c>
      <c r="AE526" s="13" t="s">
        <v>1405</v>
      </c>
      <c r="AF526" s="13" t="s">
        <v>1405</v>
      </c>
    </row>
    <row r="527" spans="1:32" x14ac:dyDescent="0.2">
      <c r="A527" s="3" t="s">
        <v>2383</v>
      </c>
      <c r="B527" s="14" t="s">
        <v>1497</v>
      </c>
      <c r="C527" s="6">
        <v>526</v>
      </c>
      <c r="D527" s="14">
        <v>200</v>
      </c>
      <c r="E527" s="14" t="s">
        <v>1457</v>
      </c>
      <c r="F527" s="15" t="s">
        <v>1445</v>
      </c>
      <c r="G527" s="14" t="s">
        <v>1458</v>
      </c>
      <c r="H527" s="14" t="s">
        <v>96</v>
      </c>
      <c r="I527" s="14" t="s">
        <v>1409</v>
      </c>
      <c r="J527" s="14" t="s">
        <v>1397</v>
      </c>
      <c r="K527" s="8" t="s">
        <v>1599</v>
      </c>
      <c r="L527" s="16" t="s">
        <v>1521</v>
      </c>
      <c r="M527" s="16" t="s">
        <v>1590</v>
      </c>
      <c r="N527" s="16" t="s">
        <v>1397</v>
      </c>
      <c r="O527" s="16" t="s">
        <v>1581</v>
      </c>
      <c r="P527" s="16" t="s">
        <v>1451</v>
      </c>
      <c r="Q527" s="16" t="s">
        <v>1541</v>
      </c>
      <c r="R527" s="16">
        <v>5</v>
      </c>
      <c r="S527" s="16" t="s">
        <v>1453</v>
      </c>
      <c r="T527" s="16" t="s">
        <v>1454</v>
      </c>
      <c r="U527" s="16" t="s">
        <v>1406</v>
      </c>
      <c r="V527" s="16">
        <v>13</v>
      </c>
      <c r="W527" s="16" t="b">
        <v>1</v>
      </c>
      <c r="X527" s="16">
        <v>240806</v>
      </c>
      <c r="Y527" s="16" t="s">
        <v>1405</v>
      </c>
      <c r="Z527" s="16">
        <v>0</v>
      </c>
      <c r="AA527" s="16">
        <v>0</v>
      </c>
      <c r="AB527" s="16" t="s">
        <v>1405</v>
      </c>
      <c r="AC527" s="16" t="s">
        <v>1405</v>
      </c>
      <c r="AD527" s="16">
        <v>0</v>
      </c>
      <c r="AE527" s="16" t="s">
        <v>1405</v>
      </c>
      <c r="AF527" s="16" t="s">
        <v>1405</v>
      </c>
    </row>
    <row r="528" spans="1:32" x14ac:dyDescent="0.2">
      <c r="A528" s="3" t="s">
        <v>2384</v>
      </c>
      <c r="B528" s="12" t="s">
        <v>1497</v>
      </c>
      <c r="C528" s="6">
        <v>527</v>
      </c>
      <c r="D528" s="12">
        <v>201</v>
      </c>
      <c r="E528" s="12" t="s">
        <v>1444</v>
      </c>
      <c r="F528" s="12" t="s">
        <v>1445</v>
      </c>
      <c r="G528" s="12" t="s">
        <v>1446</v>
      </c>
      <c r="H528" s="12" t="s">
        <v>40</v>
      </c>
      <c r="I528" s="12" t="s">
        <v>1414</v>
      </c>
      <c r="J528" s="12" t="s">
        <v>1397</v>
      </c>
      <c r="K528" s="8" t="s">
        <v>1620</v>
      </c>
      <c r="L528" s="13" t="s">
        <v>1521</v>
      </c>
      <c r="M528" s="13" t="s">
        <v>1601</v>
      </c>
      <c r="N528" s="13" t="s">
        <v>1397</v>
      </c>
      <c r="O528" s="13" t="s">
        <v>1581</v>
      </c>
      <c r="P528" s="13" t="s">
        <v>1451</v>
      </c>
      <c r="Q528" s="13" t="s">
        <v>1396</v>
      </c>
      <c r="R528" s="13">
        <v>6</v>
      </c>
      <c r="S528" s="13" t="s">
        <v>1453</v>
      </c>
      <c r="T528" s="13" t="s">
        <v>1454</v>
      </c>
      <c r="U528" s="13" t="s">
        <v>1406</v>
      </c>
      <c r="V528" s="13">
        <v>13</v>
      </c>
      <c r="W528" s="13" t="b">
        <v>1</v>
      </c>
      <c r="X528" s="13">
        <v>240806</v>
      </c>
      <c r="Y528" s="13" t="s">
        <v>1405</v>
      </c>
      <c r="Z528" s="13">
        <v>0</v>
      </c>
      <c r="AA528" s="13">
        <v>0</v>
      </c>
      <c r="AB528" s="13" t="s">
        <v>1405</v>
      </c>
      <c r="AC528" s="13" t="s">
        <v>1405</v>
      </c>
      <c r="AD528" s="13">
        <v>0</v>
      </c>
      <c r="AE528" s="13" t="s">
        <v>1405</v>
      </c>
      <c r="AF528" s="13" t="s">
        <v>1405</v>
      </c>
    </row>
    <row r="529" spans="1:32" x14ac:dyDescent="0.2">
      <c r="A529" s="3" t="s">
        <v>2385</v>
      </c>
      <c r="B529" s="14" t="s">
        <v>1497</v>
      </c>
      <c r="C529" s="6">
        <v>528</v>
      </c>
      <c r="D529" s="14">
        <v>201</v>
      </c>
      <c r="E529" s="14" t="s">
        <v>1457</v>
      </c>
      <c r="F529" s="15" t="s">
        <v>1445</v>
      </c>
      <c r="G529" s="14" t="s">
        <v>1458</v>
      </c>
      <c r="H529" s="14" t="s">
        <v>97</v>
      </c>
      <c r="I529" s="14" t="s">
        <v>1409</v>
      </c>
      <c r="J529" s="14" t="s">
        <v>1397</v>
      </c>
      <c r="K529" s="8" t="s">
        <v>1621</v>
      </c>
      <c r="L529" s="16" t="s">
        <v>1521</v>
      </c>
      <c r="M529" s="16" t="s">
        <v>1601</v>
      </c>
      <c r="N529" s="16" t="s">
        <v>1397</v>
      </c>
      <c r="O529" s="16" t="s">
        <v>1581</v>
      </c>
      <c r="P529" s="16" t="s">
        <v>1451</v>
      </c>
      <c r="Q529" s="16" t="s">
        <v>1396</v>
      </c>
      <c r="R529" s="16">
        <v>6</v>
      </c>
      <c r="S529" s="16" t="s">
        <v>1453</v>
      </c>
      <c r="T529" s="16" t="s">
        <v>1454</v>
      </c>
      <c r="U529" s="16" t="s">
        <v>1406</v>
      </c>
      <c r="V529" s="16">
        <v>13</v>
      </c>
      <c r="W529" s="16" t="b">
        <v>1</v>
      </c>
      <c r="X529" s="16">
        <v>240806</v>
      </c>
      <c r="Y529" s="16" t="s">
        <v>1405</v>
      </c>
      <c r="Z529" s="16">
        <v>0</v>
      </c>
      <c r="AA529" s="16">
        <v>0</v>
      </c>
      <c r="AB529" s="16" t="s">
        <v>1405</v>
      </c>
      <c r="AC529" s="16" t="s">
        <v>1405</v>
      </c>
      <c r="AD529" s="16">
        <v>0</v>
      </c>
      <c r="AE529" s="16" t="s">
        <v>1405</v>
      </c>
      <c r="AF529" s="16" t="s">
        <v>1405</v>
      </c>
    </row>
    <row r="530" spans="1:32" x14ac:dyDescent="0.2">
      <c r="A530" s="3" t="s">
        <v>2386</v>
      </c>
      <c r="B530" s="12" t="s">
        <v>1497</v>
      </c>
      <c r="C530" s="6">
        <v>529</v>
      </c>
      <c r="D530" s="12">
        <v>202</v>
      </c>
      <c r="E530" s="12" t="s">
        <v>1444</v>
      </c>
      <c r="F530" s="12" t="s">
        <v>1445</v>
      </c>
      <c r="G530" s="12" t="s">
        <v>1446</v>
      </c>
      <c r="H530" s="12" t="s">
        <v>42</v>
      </c>
      <c r="I530" s="12" t="s">
        <v>1414</v>
      </c>
      <c r="J530" s="12" t="s">
        <v>1397</v>
      </c>
      <c r="K530" s="8" t="s">
        <v>1600</v>
      </c>
      <c r="L530" s="13" t="s">
        <v>1521</v>
      </c>
      <c r="M530" s="13" t="s">
        <v>1601</v>
      </c>
      <c r="N530" s="13" t="s">
        <v>1397</v>
      </c>
      <c r="O530" s="13" t="s">
        <v>1581</v>
      </c>
      <c r="P530" s="13" t="s">
        <v>1451</v>
      </c>
      <c r="Q530" s="13" t="s">
        <v>1398</v>
      </c>
      <c r="R530" s="13">
        <v>7</v>
      </c>
      <c r="S530" s="13" t="s">
        <v>1453</v>
      </c>
      <c r="T530" s="13" t="s">
        <v>1454</v>
      </c>
      <c r="U530" s="13" t="s">
        <v>1406</v>
      </c>
      <c r="V530" s="13">
        <v>13</v>
      </c>
      <c r="W530" s="13" t="b">
        <v>1</v>
      </c>
      <c r="X530" s="13">
        <v>240806</v>
      </c>
      <c r="Y530" s="13" t="s">
        <v>1405</v>
      </c>
      <c r="Z530" s="13">
        <v>0</v>
      </c>
      <c r="AA530" s="13">
        <v>0</v>
      </c>
      <c r="AB530" s="13" t="s">
        <v>1405</v>
      </c>
      <c r="AC530" s="13" t="s">
        <v>1405</v>
      </c>
      <c r="AD530" s="13">
        <v>0</v>
      </c>
      <c r="AE530" s="13" t="s">
        <v>1405</v>
      </c>
      <c r="AF530" s="13" t="s">
        <v>1405</v>
      </c>
    </row>
    <row r="531" spans="1:32" x14ac:dyDescent="0.2">
      <c r="A531" s="3" t="s">
        <v>2387</v>
      </c>
      <c r="B531" s="14" t="s">
        <v>1497</v>
      </c>
      <c r="C531" s="6">
        <v>530</v>
      </c>
      <c r="D531" s="14">
        <v>202</v>
      </c>
      <c r="E531" s="14" t="s">
        <v>1457</v>
      </c>
      <c r="F531" s="15" t="s">
        <v>1445</v>
      </c>
      <c r="G531" s="14" t="s">
        <v>1458</v>
      </c>
      <c r="H531" s="14" t="s">
        <v>98</v>
      </c>
      <c r="I531" s="14" t="s">
        <v>1409</v>
      </c>
      <c r="J531" s="14" t="s">
        <v>1397</v>
      </c>
      <c r="K531" s="8" t="s">
        <v>1602</v>
      </c>
      <c r="L531" s="16" t="s">
        <v>1521</v>
      </c>
      <c r="M531" s="16" t="s">
        <v>1601</v>
      </c>
      <c r="N531" s="16" t="s">
        <v>1397</v>
      </c>
      <c r="O531" s="16" t="s">
        <v>1581</v>
      </c>
      <c r="P531" s="16" t="s">
        <v>1451</v>
      </c>
      <c r="Q531" s="16" t="s">
        <v>1398</v>
      </c>
      <c r="R531" s="16">
        <v>7</v>
      </c>
      <c r="S531" s="16" t="s">
        <v>1453</v>
      </c>
      <c r="T531" s="16" t="s">
        <v>1454</v>
      </c>
      <c r="U531" s="16" t="s">
        <v>1406</v>
      </c>
      <c r="V531" s="16">
        <v>13</v>
      </c>
      <c r="W531" s="16" t="b">
        <v>1</v>
      </c>
      <c r="X531" s="16">
        <v>240806</v>
      </c>
      <c r="Y531" s="16" t="s">
        <v>1405</v>
      </c>
      <c r="Z531" s="16">
        <v>0</v>
      </c>
      <c r="AA531" s="16">
        <v>0</v>
      </c>
      <c r="AB531" s="16" t="s">
        <v>1405</v>
      </c>
      <c r="AC531" s="16" t="s">
        <v>1405</v>
      </c>
      <c r="AD531" s="16">
        <v>0</v>
      </c>
      <c r="AE531" s="16" t="s">
        <v>1405</v>
      </c>
      <c r="AF531" s="16" t="s">
        <v>1405</v>
      </c>
    </row>
    <row r="532" spans="1:32" x14ac:dyDescent="0.2">
      <c r="A532" s="3" t="s">
        <v>2388</v>
      </c>
      <c r="B532" s="12" t="s">
        <v>1497</v>
      </c>
      <c r="C532" s="6">
        <v>531</v>
      </c>
      <c r="D532" s="12">
        <v>203</v>
      </c>
      <c r="E532" s="12" t="s">
        <v>1444</v>
      </c>
      <c r="F532" s="12" t="s">
        <v>1445</v>
      </c>
      <c r="G532" s="12" t="s">
        <v>1446</v>
      </c>
      <c r="H532" s="12" t="s">
        <v>44</v>
      </c>
      <c r="I532" s="12" t="s">
        <v>1414</v>
      </c>
      <c r="J532" s="12" t="s">
        <v>1397</v>
      </c>
      <c r="K532" s="8" t="s">
        <v>1603</v>
      </c>
      <c r="L532" s="13" t="s">
        <v>1521</v>
      </c>
      <c r="M532" s="13" t="s">
        <v>1601</v>
      </c>
      <c r="N532" s="13" t="s">
        <v>1397</v>
      </c>
      <c r="O532" s="13" t="s">
        <v>1581</v>
      </c>
      <c r="P532" s="13" t="s">
        <v>1451</v>
      </c>
      <c r="Q532" s="13" t="s">
        <v>1399</v>
      </c>
      <c r="R532" s="13">
        <v>8</v>
      </c>
      <c r="S532" s="13" t="s">
        <v>1453</v>
      </c>
      <c r="T532" s="13" t="s">
        <v>1454</v>
      </c>
      <c r="U532" s="13" t="s">
        <v>1406</v>
      </c>
      <c r="V532" s="13">
        <v>13</v>
      </c>
      <c r="W532" s="13" t="b">
        <v>1</v>
      </c>
      <c r="X532" s="13">
        <v>240806</v>
      </c>
      <c r="Y532" s="13" t="s">
        <v>1405</v>
      </c>
      <c r="Z532" s="13">
        <v>0</v>
      </c>
      <c r="AA532" s="13">
        <v>0</v>
      </c>
      <c r="AB532" s="13" t="s">
        <v>1405</v>
      </c>
      <c r="AC532" s="13" t="s">
        <v>1405</v>
      </c>
      <c r="AD532" s="13">
        <v>0</v>
      </c>
      <c r="AE532" s="13" t="s">
        <v>1405</v>
      </c>
      <c r="AF532" s="13" t="s">
        <v>1405</v>
      </c>
    </row>
    <row r="533" spans="1:32" x14ac:dyDescent="0.2">
      <c r="A533" s="3" t="s">
        <v>2389</v>
      </c>
      <c r="B533" s="14" t="s">
        <v>1497</v>
      </c>
      <c r="C533" s="6">
        <v>532</v>
      </c>
      <c r="D533" s="14">
        <v>203</v>
      </c>
      <c r="E533" s="14" t="s">
        <v>1457</v>
      </c>
      <c r="F533" s="15" t="s">
        <v>1445</v>
      </c>
      <c r="G533" s="14" t="s">
        <v>1458</v>
      </c>
      <c r="H533" s="14" t="s">
        <v>99</v>
      </c>
      <c r="I533" s="14" t="s">
        <v>1409</v>
      </c>
      <c r="J533" s="14" t="s">
        <v>1397</v>
      </c>
      <c r="K533" s="8" t="s">
        <v>1604</v>
      </c>
      <c r="L533" s="16" t="s">
        <v>1521</v>
      </c>
      <c r="M533" s="16" t="s">
        <v>1601</v>
      </c>
      <c r="N533" s="16" t="s">
        <v>1397</v>
      </c>
      <c r="O533" s="16" t="s">
        <v>1581</v>
      </c>
      <c r="P533" s="16" t="s">
        <v>1451</v>
      </c>
      <c r="Q533" s="16" t="s">
        <v>1399</v>
      </c>
      <c r="R533" s="16">
        <v>8</v>
      </c>
      <c r="S533" s="16" t="s">
        <v>1453</v>
      </c>
      <c r="T533" s="16" t="s">
        <v>1454</v>
      </c>
      <c r="U533" s="16" t="s">
        <v>1406</v>
      </c>
      <c r="V533" s="16">
        <v>13</v>
      </c>
      <c r="W533" s="16" t="b">
        <v>1</v>
      </c>
      <c r="X533" s="16">
        <v>240806</v>
      </c>
      <c r="Y533" s="16" t="s">
        <v>1405</v>
      </c>
      <c r="Z533" s="16">
        <v>0</v>
      </c>
      <c r="AA533" s="16">
        <v>0</v>
      </c>
      <c r="AB533" s="16" t="s">
        <v>1405</v>
      </c>
      <c r="AC533" s="16" t="s">
        <v>1405</v>
      </c>
      <c r="AD533" s="16">
        <v>0</v>
      </c>
      <c r="AE533" s="16" t="s">
        <v>1405</v>
      </c>
      <c r="AF533" s="16" t="s">
        <v>1405</v>
      </c>
    </row>
    <row r="534" spans="1:32" x14ac:dyDescent="0.2">
      <c r="A534" s="3" t="s">
        <v>2390</v>
      </c>
      <c r="B534" s="12" t="s">
        <v>1497</v>
      </c>
      <c r="C534" s="6">
        <v>533</v>
      </c>
      <c r="D534" s="12">
        <v>204</v>
      </c>
      <c r="E534" s="12" t="s">
        <v>1444</v>
      </c>
      <c r="F534" s="12" t="s">
        <v>1445</v>
      </c>
      <c r="G534" s="12" t="s">
        <v>1446</v>
      </c>
      <c r="H534" s="12" t="s">
        <v>46</v>
      </c>
      <c r="I534" s="12" t="s">
        <v>1414</v>
      </c>
      <c r="J534" s="12" t="s">
        <v>1397</v>
      </c>
      <c r="K534" s="8" t="s">
        <v>1605</v>
      </c>
      <c r="L534" s="13" t="s">
        <v>1521</v>
      </c>
      <c r="M534" s="13" t="s">
        <v>1601</v>
      </c>
      <c r="N534" s="13" t="s">
        <v>1397</v>
      </c>
      <c r="O534" s="13" t="s">
        <v>1581</v>
      </c>
      <c r="P534" s="13" t="s">
        <v>1451</v>
      </c>
      <c r="Q534" s="13" t="s">
        <v>1400</v>
      </c>
      <c r="R534" s="13">
        <v>9</v>
      </c>
      <c r="S534" s="13" t="s">
        <v>1453</v>
      </c>
      <c r="T534" s="13" t="s">
        <v>1454</v>
      </c>
      <c r="U534" s="13" t="s">
        <v>1406</v>
      </c>
      <c r="V534" s="13">
        <v>13</v>
      </c>
      <c r="W534" s="13" t="b">
        <v>1</v>
      </c>
      <c r="X534" s="13">
        <v>240806</v>
      </c>
      <c r="Y534" s="13" t="s">
        <v>1405</v>
      </c>
      <c r="Z534" s="13">
        <v>0</v>
      </c>
      <c r="AA534" s="13">
        <v>0</v>
      </c>
      <c r="AB534" s="13" t="s">
        <v>1405</v>
      </c>
      <c r="AC534" s="13" t="s">
        <v>1405</v>
      </c>
      <c r="AD534" s="13">
        <v>0</v>
      </c>
      <c r="AE534" s="13" t="s">
        <v>1405</v>
      </c>
      <c r="AF534" s="13" t="s">
        <v>1405</v>
      </c>
    </row>
    <row r="535" spans="1:32" x14ac:dyDescent="0.2">
      <c r="A535" s="3" t="s">
        <v>2391</v>
      </c>
      <c r="B535" s="14" t="s">
        <v>1497</v>
      </c>
      <c r="C535" s="6">
        <v>534</v>
      </c>
      <c r="D535" s="14">
        <v>204</v>
      </c>
      <c r="E535" s="14" t="s">
        <v>1457</v>
      </c>
      <c r="F535" s="15" t="s">
        <v>1445</v>
      </c>
      <c r="G535" s="14" t="s">
        <v>1458</v>
      </c>
      <c r="H535" s="14" t="s">
        <v>100</v>
      </c>
      <c r="I535" s="14" t="s">
        <v>1409</v>
      </c>
      <c r="J535" s="14" t="s">
        <v>1397</v>
      </c>
      <c r="K535" s="8" t="s">
        <v>1606</v>
      </c>
      <c r="L535" s="16" t="s">
        <v>1521</v>
      </c>
      <c r="M535" s="16" t="s">
        <v>1601</v>
      </c>
      <c r="N535" s="16" t="s">
        <v>1397</v>
      </c>
      <c r="O535" s="16" t="s">
        <v>1581</v>
      </c>
      <c r="P535" s="16" t="s">
        <v>1451</v>
      </c>
      <c r="Q535" s="16" t="s">
        <v>1400</v>
      </c>
      <c r="R535" s="16">
        <v>9</v>
      </c>
      <c r="S535" s="16" t="s">
        <v>1453</v>
      </c>
      <c r="T535" s="16" t="s">
        <v>1454</v>
      </c>
      <c r="U535" s="16" t="s">
        <v>1406</v>
      </c>
      <c r="V535" s="16">
        <v>13</v>
      </c>
      <c r="W535" s="16" t="b">
        <v>1</v>
      </c>
      <c r="X535" s="16">
        <v>240806</v>
      </c>
      <c r="Y535" s="16" t="s">
        <v>1405</v>
      </c>
      <c r="Z535" s="16">
        <v>0</v>
      </c>
      <c r="AA535" s="16">
        <v>0</v>
      </c>
      <c r="AB535" s="16" t="s">
        <v>1405</v>
      </c>
      <c r="AC535" s="16" t="s">
        <v>1405</v>
      </c>
      <c r="AD535" s="16">
        <v>0</v>
      </c>
      <c r="AE535" s="16" t="s">
        <v>1405</v>
      </c>
      <c r="AF535" s="16" t="s">
        <v>1405</v>
      </c>
    </row>
    <row r="536" spans="1:32" x14ac:dyDescent="0.2">
      <c r="A536" s="3" t="s">
        <v>2392</v>
      </c>
      <c r="B536" s="12" t="s">
        <v>1497</v>
      </c>
      <c r="C536" s="6">
        <v>535</v>
      </c>
      <c r="D536" s="12">
        <v>205</v>
      </c>
      <c r="E536" s="12" t="s">
        <v>1444</v>
      </c>
      <c r="F536" s="12" t="s">
        <v>1445</v>
      </c>
      <c r="G536" s="12" t="s">
        <v>1446</v>
      </c>
      <c r="H536" s="12" t="s">
        <v>48</v>
      </c>
      <c r="I536" s="12" t="s">
        <v>1414</v>
      </c>
      <c r="J536" s="12" t="s">
        <v>1397</v>
      </c>
      <c r="K536" s="8" t="s">
        <v>1607</v>
      </c>
      <c r="L536" s="13" t="s">
        <v>1521</v>
      </c>
      <c r="M536" s="13" t="s">
        <v>1601</v>
      </c>
      <c r="N536" s="13" t="s">
        <v>1397</v>
      </c>
      <c r="O536" s="13" t="s">
        <v>1581</v>
      </c>
      <c r="P536" s="13" t="s">
        <v>1451</v>
      </c>
      <c r="Q536" s="13" t="s">
        <v>1541</v>
      </c>
      <c r="R536" s="13">
        <v>10</v>
      </c>
      <c r="S536" s="13" t="s">
        <v>1453</v>
      </c>
      <c r="T536" s="13" t="s">
        <v>1454</v>
      </c>
      <c r="U536" s="13" t="s">
        <v>1406</v>
      </c>
      <c r="V536" s="13">
        <v>13</v>
      </c>
      <c r="W536" s="13" t="b">
        <v>1</v>
      </c>
      <c r="X536" s="13">
        <v>240806</v>
      </c>
      <c r="Y536" s="13" t="s">
        <v>1405</v>
      </c>
      <c r="Z536" s="13">
        <v>0</v>
      </c>
      <c r="AA536" s="13">
        <v>0</v>
      </c>
      <c r="AB536" s="13" t="s">
        <v>1405</v>
      </c>
      <c r="AC536" s="13" t="s">
        <v>1405</v>
      </c>
      <c r="AD536" s="13">
        <v>0</v>
      </c>
      <c r="AE536" s="13" t="s">
        <v>1405</v>
      </c>
      <c r="AF536" s="13" t="s">
        <v>1405</v>
      </c>
    </row>
    <row r="537" spans="1:32" x14ac:dyDescent="0.2">
      <c r="A537" s="3" t="s">
        <v>2393</v>
      </c>
      <c r="B537" s="14" t="s">
        <v>1497</v>
      </c>
      <c r="C537" s="6">
        <v>536</v>
      </c>
      <c r="D537" s="14">
        <v>205</v>
      </c>
      <c r="E537" s="14" t="s">
        <v>1457</v>
      </c>
      <c r="F537" s="15" t="s">
        <v>1445</v>
      </c>
      <c r="G537" s="14" t="s">
        <v>1458</v>
      </c>
      <c r="H537" s="14" t="s">
        <v>101</v>
      </c>
      <c r="I537" s="14" t="s">
        <v>1409</v>
      </c>
      <c r="J537" s="14" t="s">
        <v>1397</v>
      </c>
      <c r="K537" s="8" t="s">
        <v>1608</v>
      </c>
      <c r="L537" s="16" t="s">
        <v>1521</v>
      </c>
      <c r="M537" s="16" t="s">
        <v>1601</v>
      </c>
      <c r="N537" s="16" t="s">
        <v>1397</v>
      </c>
      <c r="O537" s="16" t="s">
        <v>1581</v>
      </c>
      <c r="P537" s="16" t="s">
        <v>1451</v>
      </c>
      <c r="Q537" s="16" t="s">
        <v>1541</v>
      </c>
      <c r="R537" s="16">
        <v>10</v>
      </c>
      <c r="S537" s="16" t="s">
        <v>1453</v>
      </c>
      <c r="T537" s="16" t="s">
        <v>1454</v>
      </c>
      <c r="U537" s="16" t="s">
        <v>1406</v>
      </c>
      <c r="V537" s="16">
        <v>13</v>
      </c>
      <c r="W537" s="16" t="b">
        <v>1</v>
      </c>
      <c r="X537" s="16">
        <v>240806</v>
      </c>
      <c r="Y537" s="16" t="s">
        <v>1405</v>
      </c>
      <c r="Z537" s="16">
        <v>0</v>
      </c>
      <c r="AA537" s="16">
        <v>0</v>
      </c>
      <c r="AB537" s="16" t="s">
        <v>1405</v>
      </c>
      <c r="AC537" s="16" t="s">
        <v>1405</v>
      </c>
      <c r="AD537" s="16">
        <v>0</v>
      </c>
      <c r="AE537" s="16" t="s">
        <v>1405</v>
      </c>
      <c r="AF537" s="16" t="s">
        <v>1405</v>
      </c>
    </row>
    <row r="538" spans="1:32" x14ac:dyDescent="0.2">
      <c r="A538" s="3" t="s">
        <v>2394</v>
      </c>
      <c r="B538" s="12" t="s">
        <v>1497</v>
      </c>
      <c r="C538" s="6">
        <v>537</v>
      </c>
      <c r="D538" s="12">
        <v>206</v>
      </c>
      <c r="E538" s="12" t="s">
        <v>1444</v>
      </c>
      <c r="F538" s="12" t="s">
        <v>1445</v>
      </c>
      <c r="G538" s="12" t="s">
        <v>1446</v>
      </c>
      <c r="H538" s="12" t="s">
        <v>50</v>
      </c>
      <c r="I538" s="12" t="s">
        <v>1414</v>
      </c>
      <c r="J538" s="12" t="s">
        <v>1397</v>
      </c>
      <c r="K538" s="8" t="s">
        <v>1609</v>
      </c>
      <c r="L538" s="13" t="s">
        <v>1521</v>
      </c>
      <c r="M538" s="13" t="s">
        <v>1610</v>
      </c>
      <c r="N538" s="13" t="s">
        <v>1397</v>
      </c>
      <c r="O538" s="13" t="s">
        <v>1581</v>
      </c>
      <c r="P538" s="13" t="s">
        <v>1451</v>
      </c>
      <c r="Q538" s="13" t="s">
        <v>1396</v>
      </c>
      <c r="R538" s="13">
        <v>11</v>
      </c>
      <c r="S538" s="13" t="s">
        <v>1453</v>
      </c>
      <c r="T538" s="13" t="s">
        <v>1454</v>
      </c>
      <c r="U538" s="13" t="s">
        <v>1406</v>
      </c>
      <c r="V538" s="13">
        <v>13</v>
      </c>
      <c r="W538" s="13" t="b">
        <v>1</v>
      </c>
      <c r="X538" s="13">
        <v>240806</v>
      </c>
      <c r="Y538" s="13" t="s">
        <v>1405</v>
      </c>
      <c r="Z538" s="13">
        <v>0</v>
      </c>
      <c r="AA538" s="13">
        <v>0</v>
      </c>
      <c r="AB538" s="13" t="s">
        <v>1405</v>
      </c>
      <c r="AC538" s="13" t="s">
        <v>1405</v>
      </c>
      <c r="AD538" s="13">
        <v>0</v>
      </c>
      <c r="AE538" s="13" t="s">
        <v>1405</v>
      </c>
      <c r="AF538" s="13" t="s">
        <v>1405</v>
      </c>
    </row>
    <row r="539" spans="1:32" x14ac:dyDescent="0.2">
      <c r="A539" s="3" t="s">
        <v>2395</v>
      </c>
      <c r="B539" s="14" t="s">
        <v>1497</v>
      </c>
      <c r="C539" s="6">
        <v>538</v>
      </c>
      <c r="D539" s="14">
        <v>206</v>
      </c>
      <c r="E539" s="14" t="s">
        <v>1457</v>
      </c>
      <c r="F539" s="15" t="s">
        <v>1445</v>
      </c>
      <c r="G539" s="14" t="s">
        <v>1458</v>
      </c>
      <c r="H539" s="14" t="s">
        <v>102</v>
      </c>
      <c r="I539" s="14" t="s">
        <v>1409</v>
      </c>
      <c r="J539" s="14" t="s">
        <v>1397</v>
      </c>
      <c r="K539" s="8" t="s">
        <v>1611</v>
      </c>
      <c r="L539" s="16" t="s">
        <v>1521</v>
      </c>
      <c r="M539" s="16" t="s">
        <v>1610</v>
      </c>
      <c r="N539" s="16" t="s">
        <v>1397</v>
      </c>
      <c r="O539" s="16" t="s">
        <v>1581</v>
      </c>
      <c r="P539" s="16" t="s">
        <v>1451</v>
      </c>
      <c r="Q539" s="16" t="s">
        <v>1396</v>
      </c>
      <c r="R539" s="16">
        <v>11</v>
      </c>
      <c r="S539" s="16" t="s">
        <v>1453</v>
      </c>
      <c r="T539" s="16" t="s">
        <v>1454</v>
      </c>
      <c r="U539" s="16" t="s">
        <v>1406</v>
      </c>
      <c r="V539" s="16">
        <v>13</v>
      </c>
      <c r="W539" s="16" t="b">
        <v>1</v>
      </c>
      <c r="X539" s="16">
        <v>240806</v>
      </c>
      <c r="Y539" s="16" t="s">
        <v>1405</v>
      </c>
      <c r="Z539" s="16">
        <v>0</v>
      </c>
      <c r="AA539" s="16">
        <v>0</v>
      </c>
      <c r="AB539" s="16" t="s">
        <v>1405</v>
      </c>
      <c r="AC539" s="16" t="s">
        <v>1405</v>
      </c>
      <c r="AD539" s="16">
        <v>0</v>
      </c>
      <c r="AE539" s="16" t="s">
        <v>1405</v>
      </c>
      <c r="AF539" s="16" t="s">
        <v>1405</v>
      </c>
    </row>
    <row r="540" spans="1:32" x14ac:dyDescent="0.2">
      <c r="A540" s="3" t="s">
        <v>2396</v>
      </c>
      <c r="B540" s="12" t="s">
        <v>1497</v>
      </c>
      <c r="C540" s="6">
        <v>539</v>
      </c>
      <c r="D540" s="12">
        <v>207</v>
      </c>
      <c r="E540" s="12" t="s">
        <v>1444</v>
      </c>
      <c r="F540" s="12" t="s">
        <v>1445</v>
      </c>
      <c r="G540" s="12" t="s">
        <v>1446</v>
      </c>
      <c r="H540" s="12" t="s">
        <v>51</v>
      </c>
      <c r="I540" s="12" t="s">
        <v>1414</v>
      </c>
      <c r="J540" s="12" t="s">
        <v>1397</v>
      </c>
      <c r="K540" s="8" t="s">
        <v>1612</v>
      </c>
      <c r="L540" s="13" t="s">
        <v>1521</v>
      </c>
      <c r="M540" s="13" t="s">
        <v>1610</v>
      </c>
      <c r="N540" s="13" t="s">
        <v>1397</v>
      </c>
      <c r="O540" s="13" t="s">
        <v>1581</v>
      </c>
      <c r="P540" s="13" t="s">
        <v>1451</v>
      </c>
      <c r="Q540" s="13" t="s">
        <v>1398</v>
      </c>
      <c r="R540" s="13">
        <v>12</v>
      </c>
      <c r="S540" s="13" t="s">
        <v>1453</v>
      </c>
      <c r="T540" s="13" t="s">
        <v>1454</v>
      </c>
      <c r="U540" s="13" t="s">
        <v>1406</v>
      </c>
      <c r="V540" s="13">
        <v>13</v>
      </c>
      <c r="W540" s="13" t="b">
        <v>1</v>
      </c>
      <c r="X540" s="13">
        <v>240806</v>
      </c>
      <c r="Y540" s="13" t="s">
        <v>1405</v>
      </c>
      <c r="Z540" s="13">
        <v>0</v>
      </c>
      <c r="AA540" s="13">
        <v>0</v>
      </c>
      <c r="AB540" s="13" t="s">
        <v>1405</v>
      </c>
      <c r="AC540" s="13" t="s">
        <v>1405</v>
      </c>
      <c r="AD540" s="13">
        <v>0</v>
      </c>
      <c r="AE540" s="13" t="s">
        <v>1405</v>
      </c>
      <c r="AF540" s="13" t="s">
        <v>1405</v>
      </c>
    </row>
    <row r="541" spans="1:32" x14ac:dyDescent="0.2">
      <c r="A541" s="3" t="s">
        <v>2397</v>
      </c>
      <c r="B541" s="14" t="s">
        <v>1497</v>
      </c>
      <c r="C541" s="6">
        <v>540</v>
      </c>
      <c r="D541" s="14">
        <v>207</v>
      </c>
      <c r="E541" s="14" t="s">
        <v>1457</v>
      </c>
      <c r="F541" s="15" t="s">
        <v>1445</v>
      </c>
      <c r="G541" s="14" t="s">
        <v>1458</v>
      </c>
      <c r="H541" s="14" t="s">
        <v>103</v>
      </c>
      <c r="I541" s="14" t="s">
        <v>1409</v>
      </c>
      <c r="J541" s="14" t="s">
        <v>1397</v>
      </c>
      <c r="K541" s="8" t="s">
        <v>1613</v>
      </c>
      <c r="L541" s="16" t="s">
        <v>1521</v>
      </c>
      <c r="M541" s="16" t="s">
        <v>1610</v>
      </c>
      <c r="N541" s="16" t="s">
        <v>1397</v>
      </c>
      <c r="O541" s="16" t="s">
        <v>1581</v>
      </c>
      <c r="P541" s="16" t="s">
        <v>1451</v>
      </c>
      <c r="Q541" s="16" t="s">
        <v>1398</v>
      </c>
      <c r="R541" s="16">
        <v>12</v>
      </c>
      <c r="S541" s="16" t="s">
        <v>1453</v>
      </c>
      <c r="T541" s="16" t="s">
        <v>1454</v>
      </c>
      <c r="U541" s="16" t="s">
        <v>1406</v>
      </c>
      <c r="V541" s="16">
        <v>13</v>
      </c>
      <c r="W541" s="16" t="b">
        <v>1</v>
      </c>
      <c r="X541" s="16">
        <v>240806</v>
      </c>
      <c r="Y541" s="16" t="s">
        <v>1405</v>
      </c>
      <c r="Z541" s="16">
        <v>0</v>
      </c>
      <c r="AA541" s="16">
        <v>0</v>
      </c>
      <c r="AB541" s="16" t="s">
        <v>1405</v>
      </c>
      <c r="AC541" s="16" t="s">
        <v>1405</v>
      </c>
      <c r="AD541" s="16">
        <v>0</v>
      </c>
      <c r="AE541" s="16" t="s">
        <v>1405</v>
      </c>
      <c r="AF541" s="16" t="s">
        <v>1405</v>
      </c>
    </row>
    <row r="542" spans="1:32" x14ac:dyDescent="0.2">
      <c r="A542" s="3" t="s">
        <v>2398</v>
      </c>
      <c r="B542" s="12" t="s">
        <v>1497</v>
      </c>
      <c r="C542" s="6">
        <v>541</v>
      </c>
      <c r="D542" s="12">
        <v>208</v>
      </c>
      <c r="E542" s="12" t="s">
        <v>1444</v>
      </c>
      <c r="F542" s="12" t="s">
        <v>1445</v>
      </c>
      <c r="G542" s="12" t="s">
        <v>1446</v>
      </c>
      <c r="H542" s="12" t="s">
        <v>53</v>
      </c>
      <c r="I542" s="12" t="s">
        <v>1414</v>
      </c>
      <c r="J542" s="12" t="s">
        <v>1397</v>
      </c>
      <c r="K542" s="8" t="s">
        <v>1614</v>
      </c>
      <c r="L542" s="13" t="s">
        <v>1521</v>
      </c>
      <c r="M542" s="13" t="s">
        <v>1610</v>
      </c>
      <c r="N542" s="13" t="s">
        <v>1397</v>
      </c>
      <c r="O542" s="13" t="s">
        <v>1581</v>
      </c>
      <c r="P542" s="13" t="s">
        <v>1451</v>
      </c>
      <c r="Q542" s="13" t="s">
        <v>1399</v>
      </c>
      <c r="R542" s="13">
        <v>13</v>
      </c>
      <c r="S542" s="13" t="s">
        <v>1453</v>
      </c>
      <c r="T542" s="13" t="s">
        <v>1454</v>
      </c>
      <c r="U542" s="13" t="s">
        <v>1406</v>
      </c>
      <c r="V542" s="13">
        <v>13</v>
      </c>
      <c r="W542" s="13" t="b">
        <v>1</v>
      </c>
      <c r="X542" s="13">
        <v>240806</v>
      </c>
      <c r="Y542" s="13" t="s">
        <v>1405</v>
      </c>
      <c r="Z542" s="13">
        <v>0</v>
      </c>
      <c r="AA542" s="13">
        <v>0</v>
      </c>
      <c r="AB542" s="13" t="s">
        <v>1405</v>
      </c>
      <c r="AC542" s="13" t="s">
        <v>1405</v>
      </c>
      <c r="AD542" s="13">
        <v>0</v>
      </c>
      <c r="AE542" s="13" t="s">
        <v>1405</v>
      </c>
      <c r="AF542" s="13" t="s">
        <v>1405</v>
      </c>
    </row>
    <row r="543" spans="1:32" x14ac:dyDescent="0.2">
      <c r="A543" s="3" t="s">
        <v>2399</v>
      </c>
      <c r="B543" s="14" t="s">
        <v>1497</v>
      </c>
      <c r="C543" s="6">
        <v>542</v>
      </c>
      <c r="D543" s="14">
        <v>208</v>
      </c>
      <c r="E543" s="14" t="s">
        <v>1457</v>
      </c>
      <c r="F543" s="15" t="s">
        <v>1445</v>
      </c>
      <c r="G543" s="14" t="s">
        <v>1458</v>
      </c>
      <c r="H543" s="14" t="s">
        <v>105</v>
      </c>
      <c r="I543" s="14" t="s">
        <v>1409</v>
      </c>
      <c r="J543" s="14" t="s">
        <v>1397</v>
      </c>
      <c r="K543" s="8" t="s">
        <v>1615</v>
      </c>
      <c r="L543" s="16" t="s">
        <v>1521</v>
      </c>
      <c r="M543" s="16" t="s">
        <v>1610</v>
      </c>
      <c r="N543" s="16" t="s">
        <v>1397</v>
      </c>
      <c r="O543" s="16" t="s">
        <v>1581</v>
      </c>
      <c r="P543" s="16" t="s">
        <v>1451</v>
      </c>
      <c r="Q543" s="16" t="s">
        <v>1399</v>
      </c>
      <c r="R543" s="16">
        <v>13</v>
      </c>
      <c r="S543" s="16" t="s">
        <v>1453</v>
      </c>
      <c r="T543" s="16" t="s">
        <v>1454</v>
      </c>
      <c r="U543" s="16" t="s">
        <v>1406</v>
      </c>
      <c r="V543" s="16">
        <v>13</v>
      </c>
      <c r="W543" s="16" t="b">
        <v>1</v>
      </c>
      <c r="X543" s="16">
        <v>240806</v>
      </c>
      <c r="Y543" s="16" t="s">
        <v>1405</v>
      </c>
      <c r="Z543" s="16">
        <v>0</v>
      </c>
      <c r="AA543" s="16">
        <v>0</v>
      </c>
      <c r="AB543" s="16" t="s">
        <v>1405</v>
      </c>
      <c r="AC543" s="16" t="s">
        <v>1405</v>
      </c>
      <c r="AD543" s="16">
        <v>0</v>
      </c>
      <c r="AE543" s="16" t="s">
        <v>1405</v>
      </c>
      <c r="AF543" s="16" t="s">
        <v>1405</v>
      </c>
    </row>
    <row r="544" spans="1:32" x14ac:dyDescent="0.2">
      <c r="A544" s="3" t="s">
        <v>2400</v>
      </c>
      <c r="B544" s="12" t="s">
        <v>1497</v>
      </c>
      <c r="C544" s="6">
        <v>543</v>
      </c>
      <c r="D544" s="12">
        <v>209</v>
      </c>
      <c r="E544" s="12" t="s">
        <v>1444</v>
      </c>
      <c r="F544" s="12" t="s">
        <v>1445</v>
      </c>
      <c r="G544" s="12" t="s">
        <v>1446</v>
      </c>
      <c r="H544" s="12" t="s">
        <v>54</v>
      </c>
      <c r="I544" s="12" t="s">
        <v>1414</v>
      </c>
      <c r="J544" s="12" t="s">
        <v>1397</v>
      </c>
      <c r="K544" s="8" t="s">
        <v>1616</v>
      </c>
      <c r="L544" s="13" t="s">
        <v>1521</v>
      </c>
      <c r="M544" s="13" t="s">
        <v>1610</v>
      </c>
      <c r="N544" s="13" t="s">
        <v>1397</v>
      </c>
      <c r="O544" s="13" t="s">
        <v>1581</v>
      </c>
      <c r="P544" s="13" t="s">
        <v>1451</v>
      </c>
      <c r="Q544" s="13" t="s">
        <v>1400</v>
      </c>
      <c r="R544" s="13">
        <v>14</v>
      </c>
      <c r="S544" s="13" t="s">
        <v>1453</v>
      </c>
      <c r="T544" s="13" t="s">
        <v>1454</v>
      </c>
      <c r="U544" s="13" t="s">
        <v>1406</v>
      </c>
      <c r="V544" s="13">
        <v>13</v>
      </c>
      <c r="W544" s="13" t="b">
        <v>1</v>
      </c>
      <c r="X544" s="13">
        <v>240806</v>
      </c>
      <c r="Y544" s="13" t="s">
        <v>1405</v>
      </c>
      <c r="Z544" s="13">
        <v>0</v>
      </c>
      <c r="AA544" s="13">
        <v>0</v>
      </c>
      <c r="AB544" s="13" t="s">
        <v>1405</v>
      </c>
      <c r="AC544" s="13" t="s">
        <v>1405</v>
      </c>
      <c r="AD544" s="13">
        <v>0</v>
      </c>
      <c r="AE544" s="13" t="s">
        <v>1405</v>
      </c>
      <c r="AF544" s="13" t="s">
        <v>1405</v>
      </c>
    </row>
    <row r="545" spans="1:32" x14ac:dyDescent="0.2">
      <c r="A545" s="3" t="s">
        <v>2401</v>
      </c>
      <c r="B545" s="14" t="s">
        <v>1497</v>
      </c>
      <c r="C545" s="6">
        <v>544</v>
      </c>
      <c r="D545" s="14">
        <v>209</v>
      </c>
      <c r="E545" s="14" t="s">
        <v>1457</v>
      </c>
      <c r="F545" s="15" t="s">
        <v>1445</v>
      </c>
      <c r="G545" s="14" t="s">
        <v>1458</v>
      </c>
      <c r="H545" s="14" t="s">
        <v>106</v>
      </c>
      <c r="I545" s="14" t="s">
        <v>1409</v>
      </c>
      <c r="J545" s="14" t="s">
        <v>1397</v>
      </c>
      <c r="K545" s="8" t="s">
        <v>1617</v>
      </c>
      <c r="L545" s="16" t="s">
        <v>1521</v>
      </c>
      <c r="M545" s="16" t="s">
        <v>1610</v>
      </c>
      <c r="N545" s="16" t="s">
        <v>1397</v>
      </c>
      <c r="O545" s="16" t="s">
        <v>1581</v>
      </c>
      <c r="P545" s="16" t="s">
        <v>1451</v>
      </c>
      <c r="Q545" s="16" t="s">
        <v>1400</v>
      </c>
      <c r="R545" s="16">
        <v>14</v>
      </c>
      <c r="S545" s="16" t="s">
        <v>1453</v>
      </c>
      <c r="T545" s="16" t="s">
        <v>1454</v>
      </c>
      <c r="U545" s="16" t="s">
        <v>1406</v>
      </c>
      <c r="V545" s="16">
        <v>13</v>
      </c>
      <c r="W545" s="16" t="b">
        <v>1</v>
      </c>
      <c r="X545" s="16">
        <v>240806</v>
      </c>
      <c r="Y545" s="16" t="s">
        <v>1405</v>
      </c>
      <c r="Z545" s="16">
        <v>0</v>
      </c>
      <c r="AA545" s="16">
        <v>0</v>
      </c>
      <c r="AB545" s="16" t="s">
        <v>1405</v>
      </c>
      <c r="AC545" s="16" t="s">
        <v>1405</v>
      </c>
      <c r="AD545" s="16">
        <v>0</v>
      </c>
      <c r="AE545" s="16" t="s">
        <v>1405</v>
      </c>
      <c r="AF545" s="16" t="s">
        <v>1405</v>
      </c>
    </row>
    <row r="546" spans="1:32" x14ac:dyDescent="0.2">
      <c r="A546" s="3" t="s">
        <v>2402</v>
      </c>
      <c r="B546" s="12" t="s">
        <v>1497</v>
      </c>
      <c r="C546" s="6">
        <v>545</v>
      </c>
      <c r="D546" s="12">
        <v>210</v>
      </c>
      <c r="E546" s="12" t="s">
        <v>1444</v>
      </c>
      <c r="F546" s="12" t="s">
        <v>1445</v>
      </c>
      <c r="G546" s="12" t="s">
        <v>1446</v>
      </c>
      <c r="H546" s="12" t="s">
        <v>55</v>
      </c>
      <c r="I546" s="12" t="s">
        <v>1414</v>
      </c>
      <c r="J546" s="12" t="s">
        <v>1397</v>
      </c>
      <c r="K546" s="8" t="s">
        <v>1618</v>
      </c>
      <c r="L546" s="13" t="s">
        <v>1521</v>
      </c>
      <c r="M546" s="13" t="s">
        <v>1610</v>
      </c>
      <c r="N546" s="13" t="s">
        <v>1397</v>
      </c>
      <c r="O546" s="13" t="s">
        <v>1581</v>
      </c>
      <c r="P546" s="13" t="s">
        <v>1451</v>
      </c>
      <c r="Q546" s="13" t="s">
        <v>1541</v>
      </c>
      <c r="R546" s="13">
        <v>15</v>
      </c>
      <c r="S546" s="13" t="s">
        <v>1453</v>
      </c>
      <c r="T546" s="13" t="s">
        <v>1454</v>
      </c>
      <c r="U546" s="13" t="s">
        <v>1406</v>
      </c>
      <c r="V546" s="13">
        <v>13</v>
      </c>
      <c r="W546" s="13" t="b">
        <v>1</v>
      </c>
      <c r="X546" s="13">
        <v>240806</v>
      </c>
      <c r="Y546" s="13" t="s">
        <v>1405</v>
      </c>
      <c r="Z546" s="13">
        <v>0</v>
      </c>
      <c r="AA546" s="13">
        <v>0</v>
      </c>
      <c r="AB546" s="13" t="s">
        <v>1405</v>
      </c>
      <c r="AC546" s="13" t="s">
        <v>1405</v>
      </c>
      <c r="AD546" s="13">
        <v>0</v>
      </c>
      <c r="AE546" s="13" t="s">
        <v>1405</v>
      </c>
      <c r="AF546" s="13" t="s">
        <v>1405</v>
      </c>
    </row>
    <row r="547" spans="1:32" x14ac:dyDescent="0.2">
      <c r="A547" s="3" t="s">
        <v>2403</v>
      </c>
      <c r="B547" s="14" t="s">
        <v>1497</v>
      </c>
      <c r="C547" s="6">
        <v>546</v>
      </c>
      <c r="D547" s="14">
        <v>210</v>
      </c>
      <c r="E547" s="14" t="s">
        <v>1457</v>
      </c>
      <c r="F547" s="15" t="s">
        <v>1445</v>
      </c>
      <c r="G547" s="14" t="s">
        <v>1458</v>
      </c>
      <c r="H547" s="14" t="s">
        <v>107</v>
      </c>
      <c r="I547" s="14" t="s">
        <v>1409</v>
      </c>
      <c r="J547" s="14" t="s">
        <v>1397</v>
      </c>
      <c r="K547" s="8" t="s">
        <v>1619</v>
      </c>
      <c r="L547" s="16" t="s">
        <v>1521</v>
      </c>
      <c r="M547" s="16" t="s">
        <v>1610</v>
      </c>
      <c r="N547" s="16" t="s">
        <v>1397</v>
      </c>
      <c r="O547" s="16" t="s">
        <v>1581</v>
      </c>
      <c r="P547" s="16" t="s">
        <v>1451</v>
      </c>
      <c r="Q547" s="16" t="s">
        <v>1541</v>
      </c>
      <c r="R547" s="16">
        <v>15</v>
      </c>
      <c r="S547" s="16" t="s">
        <v>1453</v>
      </c>
      <c r="T547" s="16" t="s">
        <v>1454</v>
      </c>
      <c r="U547" s="16" t="s">
        <v>1406</v>
      </c>
      <c r="V547" s="16">
        <v>13</v>
      </c>
      <c r="W547" s="16" t="b">
        <v>1</v>
      </c>
      <c r="X547" s="16">
        <v>240806</v>
      </c>
      <c r="Y547" s="16" t="s">
        <v>1405</v>
      </c>
      <c r="Z547" s="16">
        <v>0</v>
      </c>
      <c r="AA547" s="16">
        <v>0</v>
      </c>
      <c r="AB547" s="16" t="s">
        <v>1405</v>
      </c>
      <c r="AC547" s="16" t="s">
        <v>1405</v>
      </c>
      <c r="AD547" s="16">
        <v>0</v>
      </c>
      <c r="AE547" s="16" t="s">
        <v>1405</v>
      </c>
      <c r="AF547" s="16" t="s">
        <v>1405</v>
      </c>
    </row>
    <row r="548" spans="1:32" x14ac:dyDescent="0.2">
      <c r="A548" s="3" t="s">
        <v>2404</v>
      </c>
      <c r="B548" s="12" t="s">
        <v>1497</v>
      </c>
      <c r="C548" s="6">
        <v>547</v>
      </c>
      <c r="D548" s="12">
        <v>211</v>
      </c>
      <c r="E548" s="12" t="s">
        <v>1444</v>
      </c>
      <c r="F548" s="12" t="s">
        <v>1445</v>
      </c>
      <c r="G548" s="12" t="s">
        <v>1446</v>
      </c>
      <c r="H548" s="12" t="s">
        <v>56</v>
      </c>
      <c r="I548" s="12" t="s">
        <v>1414</v>
      </c>
      <c r="J548" s="12" t="s">
        <v>1407</v>
      </c>
      <c r="K548" s="8" t="s">
        <v>1498</v>
      </c>
      <c r="L548" s="13" t="s">
        <v>1499</v>
      </c>
      <c r="M548" s="13" t="s">
        <v>1500</v>
      </c>
      <c r="N548" s="13" t="s">
        <v>1407</v>
      </c>
      <c r="O548" s="13" t="s">
        <v>1501</v>
      </c>
      <c r="P548" s="13" t="s">
        <v>1451</v>
      </c>
      <c r="Q548" s="13" t="s">
        <v>1396</v>
      </c>
      <c r="R548" s="13">
        <v>1</v>
      </c>
      <c r="S548" s="13" t="s">
        <v>1453</v>
      </c>
      <c r="T548" s="13" t="s">
        <v>1454</v>
      </c>
      <c r="U548" s="13" t="s">
        <v>1406</v>
      </c>
      <c r="V548" s="13">
        <v>13</v>
      </c>
      <c r="W548" s="13" t="b">
        <v>1</v>
      </c>
      <c r="X548" s="13">
        <v>240806</v>
      </c>
      <c r="Y548" s="13" t="s">
        <v>1405</v>
      </c>
      <c r="Z548" s="13">
        <v>0</v>
      </c>
      <c r="AA548" s="13">
        <v>0</v>
      </c>
      <c r="AB548" s="13" t="s">
        <v>1405</v>
      </c>
      <c r="AC548" s="13" t="s">
        <v>1405</v>
      </c>
      <c r="AD548" s="13">
        <v>0</v>
      </c>
      <c r="AE548" s="13" t="s">
        <v>1405</v>
      </c>
      <c r="AF548" s="13" t="s">
        <v>1405</v>
      </c>
    </row>
    <row r="549" spans="1:32" x14ac:dyDescent="0.2">
      <c r="A549" s="3" t="s">
        <v>2405</v>
      </c>
      <c r="B549" s="14" t="s">
        <v>1497</v>
      </c>
      <c r="C549" s="6">
        <v>548</v>
      </c>
      <c r="D549" s="14">
        <v>211</v>
      </c>
      <c r="E549" s="14" t="s">
        <v>1457</v>
      </c>
      <c r="F549" s="15" t="s">
        <v>1445</v>
      </c>
      <c r="G549" s="14" t="s">
        <v>1458</v>
      </c>
      <c r="H549" s="14" t="s">
        <v>108</v>
      </c>
      <c r="I549" s="14" t="s">
        <v>1409</v>
      </c>
      <c r="J549" s="14" t="s">
        <v>1407</v>
      </c>
      <c r="K549" s="8" t="s">
        <v>1503</v>
      </c>
      <c r="L549" s="16" t="s">
        <v>1499</v>
      </c>
      <c r="M549" s="16" t="s">
        <v>1500</v>
      </c>
      <c r="N549" s="16" t="s">
        <v>1407</v>
      </c>
      <c r="O549" s="16" t="s">
        <v>1501</v>
      </c>
      <c r="P549" s="16" t="s">
        <v>1451</v>
      </c>
      <c r="Q549" s="16" t="s">
        <v>1396</v>
      </c>
      <c r="R549" s="16">
        <v>1</v>
      </c>
      <c r="S549" s="16" t="s">
        <v>1453</v>
      </c>
      <c r="T549" s="16" t="s">
        <v>1454</v>
      </c>
      <c r="U549" s="16" t="s">
        <v>1406</v>
      </c>
      <c r="V549" s="16">
        <v>13</v>
      </c>
      <c r="W549" s="16" t="b">
        <v>1</v>
      </c>
      <c r="X549" s="16">
        <v>240806</v>
      </c>
      <c r="Y549" s="16" t="s">
        <v>1405</v>
      </c>
      <c r="Z549" s="16">
        <v>0</v>
      </c>
      <c r="AA549" s="16">
        <v>0</v>
      </c>
      <c r="AB549" s="16" t="s">
        <v>1405</v>
      </c>
      <c r="AC549" s="16" t="s">
        <v>1405</v>
      </c>
      <c r="AD549" s="16">
        <v>0</v>
      </c>
      <c r="AE549" s="16" t="s">
        <v>1405</v>
      </c>
      <c r="AF549" s="16" t="s">
        <v>1405</v>
      </c>
    </row>
    <row r="550" spans="1:32" x14ac:dyDescent="0.2">
      <c r="A550" s="3" t="s">
        <v>2406</v>
      </c>
      <c r="B550" s="12" t="s">
        <v>1497</v>
      </c>
      <c r="C550" s="6">
        <v>549</v>
      </c>
      <c r="D550" s="12">
        <v>212</v>
      </c>
      <c r="E550" s="12" t="s">
        <v>1444</v>
      </c>
      <c r="F550" s="12" t="s">
        <v>1445</v>
      </c>
      <c r="G550" s="12" t="s">
        <v>1446</v>
      </c>
      <c r="H550" s="12" t="s">
        <v>57</v>
      </c>
      <c r="I550" s="12" t="s">
        <v>1414</v>
      </c>
      <c r="J550" s="12" t="s">
        <v>1407</v>
      </c>
      <c r="K550" s="8" t="s">
        <v>1504</v>
      </c>
      <c r="L550" s="13" t="s">
        <v>1499</v>
      </c>
      <c r="M550" s="13" t="s">
        <v>1500</v>
      </c>
      <c r="N550" s="13" t="s">
        <v>1407</v>
      </c>
      <c r="O550" s="13" t="s">
        <v>1501</v>
      </c>
      <c r="P550" s="13" t="s">
        <v>1451</v>
      </c>
      <c r="Q550" s="13" t="s">
        <v>1398</v>
      </c>
      <c r="R550" s="13">
        <v>2</v>
      </c>
      <c r="S550" s="13" t="s">
        <v>1453</v>
      </c>
      <c r="T550" s="13" t="s">
        <v>1454</v>
      </c>
      <c r="U550" s="13" t="s">
        <v>1406</v>
      </c>
      <c r="V550" s="13">
        <v>13</v>
      </c>
      <c r="W550" s="13" t="b">
        <v>1</v>
      </c>
      <c r="X550" s="13">
        <v>240806</v>
      </c>
      <c r="Y550" s="13" t="s">
        <v>1405</v>
      </c>
      <c r="Z550" s="13">
        <v>0</v>
      </c>
      <c r="AA550" s="13">
        <v>0</v>
      </c>
      <c r="AB550" s="13" t="s">
        <v>1405</v>
      </c>
      <c r="AC550" s="13" t="s">
        <v>1405</v>
      </c>
      <c r="AD550" s="13">
        <v>0</v>
      </c>
      <c r="AE550" s="13" t="s">
        <v>1405</v>
      </c>
      <c r="AF550" s="13" t="s">
        <v>1405</v>
      </c>
    </row>
    <row r="551" spans="1:32" x14ac:dyDescent="0.2">
      <c r="A551" s="3" t="s">
        <v>2407</v>
      </c>
      <c r="B551" s="14" t="s">
        <v>1497</v>
      </c>
      <c r="C551" s="6">
        <v>550</v>
      </c>
      <c r="D551" s="14">
        <v>212</v>
      </c>
      <c r="E551" s="14" t="s">
        <v>1457</v>
      </c>
      <c r="F551" s="15" t="s">
        <v>1445</v>
      </c>
      <c r="G551" s="14" t="s">
        <v>1458</v>
      </c>
      <c r="H551" s="14" t="s">
        <v>109</v>
      </c>
      <c r="I551" s="14" t="s">
        <v>1409</v>
      </c>
      <c r="J551" s="14" t="s">
        <v>1407</v>
      </c>
      <c r="K551" s="8" t="s">
        <v>1505</v>
      </c>
      <c r="L551" s="16" t="s">
        <v>1499</v>
      </c>
      <c r="M551" s="16" t="s">
        <v>1500</v>
      </c>
      <c r="N551" s="16" t="s">
        <v>1407</v>
      </c>
      <c r="O551" s="16" t="s">
        <v>1501</v>
      </c>
      <c r="P551" s="16" t="s">
        <v>1451</v>
      </c>
      <c r="Q551" s="16" t="s">
        <v>1398</v>
      </c>
      <c r="R551" s="16">
        <v>2</v>
      </c>
      <c r="S551" s="16" t="s">
        <v>1453</v>
      </c>
      <c r="T551" s="16" t="s">
        <v>1454</v>
      </c>
      <c r="U551" s="16" t="s">
        <v>1406</v>
      </c>
      <c r="V551" s="16">
        <v>13</v>
      </c>
      <c r="W551" s="16" t="b">
        <v>1</v>
      </c>
      <c r="X551" s="16">
        <v>240806</v>
      </c>
      <c r="Y551" s="16" t="s">
        <v>1405</v>
      </c>
      <c r="Z551" s="16">
        <v>0</v>
      </c>
      <c r="AA551" s="16">
        <v>0</v>
      </c>
      <c r="AB551" s="16" t="s">
        <v>1405</v>
      </c>
      <c r="AC551" s="16" t="s">
        <v>1405</v>
      </c>
      <c r="AD551" s="16">
        <v>0</v>
      </c>
      <c r="AE551" s="16" t="s">
        <v>1405</v>
      </c>
      <c r="AF551" s="16" t="s">
        <v>1405</v>
      </c>
    </row>
    <row r="552" spans="1:32" x14ac:dyDescent="0.2">
      <c r="A552" s="3" t="s">
        <v>2408</v>
      </c>
      <c r="B552" s="12" t="s">
        <v>1497</v>
      </c>
      <c r="C552" s="6">
        <v>551</v>
      </c>
      <c r="D552" s="12">
        <v>213</v>
      </c>
      <c r="E552" s="12" t="s">
        <v>1444</v>
      </c>
      <c r="F552" s="12" t="s">
        <v>1445</v>
      </c>
      <c r="G552" s="12" t="s">
        <v>1446</v>
      </c>
      <c r="H552" s="12" t="s">
        <v>58</v>
      </c>
      <c r="I552" s="12" t="s">
        <v>1414</v>
      </c>
      <c r="J552" s="12" t="s">
        <v>1407</v>
      </c>
      <c r="K552" s="8" t="s">
        <v>1506</v>
      </c>
      <c r="L552" s="13" t="s">
        <v>1499</v>
      </c>
      <c r="M552" s="13" t="s">
        <v>1500</v>
      </c>
      <c r="N552" s="13" t="s">
        <v>1407</v>
      </c>
      <c r="O552" s="13" t="s">
        <v>1501</v>
      </c>
      <c r="P552" s="13" t="s">
        <v>1451</v>
      </c>
      <c r="Q552" s="13" t="s">
        <v>1399</v>
      </c>
      <c r="R552" s="13">
        <v>3</v>
      </c>
      <c r="S552" s="13" t="s">
        <v>1453</v>
      </c>
      <c r="T552" s="13" t="s">
        <v>1454</v>
      </c>
      <c r="U552" s="13" t="s">
        <v>1406</v>
      </c>
      <c r="V552" s="13">
        <v>13</v>
      </c>
      <c r="W552" s="13" t="b">
        <v>1</v>
      </c>
      <c r="X552" s="13">
        <v>240806</v>
      </c>
      <c r="Y552" s="13" t="s">
        <v>1405</v>
      </c>
      <c r="Z552" s="13">
        <v>0</v>
      </c>
      <c r="AA552" s="13">
        <v>0</v>
      </c>
      <c r="AB552" s="13" t="s">
        <v>1405</v>
      </c>
      <c r="AC552" s="13" t="s">
        <v>1405</v>
      </c>
      <c r="AD552" s="13">
        <v>0</v>
      </c>
      <c r="AE552" s="13" t="s">
        <v>1405</v>
      </c>
      <c r="AF552" s="13" t="s">
        <v>1405</v>
      </c>
    </row>
    <row r="553" spans="1:32" x14ac:dyDescent="0.2">
      <c r="A553" s="3" t="s">
        <v>2409</v>
      </c>
      <c r="B553" s="14" t="s">
        <v>1497</v>
      </c>
      <c r="C553" s="6">
        <v>552</v>
      </c>
      <c r="D553" s="14">
        <v>213</v>
      </c>
      <c r="E553" s="14" t="s">
        <v>1457</v>
      </c>
      <c r="F553" s="15" t="s">
        <v>1445</v>
      </c>
      <c r="G553" s="14" t="s">
        <v>1458</v>
      </c>
      <c r="H553" s="14" t="s">
        <v>110</v>
      </c>
      <c r="I553" s="14" t="s">
        <v>1409</v>
      </c>
      <c r="J553" s="14" t="s">
        <v>1407</v>
      </c>
      <c r="K553" s="8" t="s">
        <v>1507</v>
      </c>
      <c r="L553" s="16" t="s">
        <v>1499</v>
      </c>
      <c r="M553" s="16" t="s">
        <v>1500</v>
      </c>
      <c r="N553" s="16" t="s">
        <v>1407</v>
      </c>
      <c r="O553" s="16" t="s">
        <v>1501</v>
      </c>
      <c r="P553" s="16" t="s">
        <v>1451</v>
      </c>
      <c r="Q553" s="16" t="s">
        <v>1399</v>
      </c>
      <c r="R553" s="16">
        <v>3</v>
      </c>
      <c r="S553" s="16" t="s">
        <v>1453</v>
      </c>
      <c r="T553" s="16" t="s">
        <v>1454</v>
      </c>
      <c r="U553" s="16" t="s">
        <v>1406</v>
      </c>
      <c r="V553" s="16">
        <v>13</v>
      </c>
      <c r="W553" s="16" t="b">
        <v>1</v>
      </c>
      <c r="X553" s="16">
        <v>240806</v>
      </c>
      <c r="Y553" s="16" t="s">
        <v>1405</v>
      </c>
      <c r="Z553" s="16">
        <v>0</v>
      </c>
      <c r="AA553" s="16">
        <v>0</v>
      </c>
      <c r="AB553" s="16" t="s">
        <v>1405</v>
      </c>
      <c r="AC553" s="16" t="s">
        <v>1405</v>
      </c>
      <c r="AD553" s="16">
        <v>0</v>
      </c>
      <c r="AE553" s="16" t="s">
        <v>1405</v>
      </c>
      <c r="AF553" s="16" t="s">
        <v>1405</v>
      </c>
    </row>
    <row r="554" spans="1:32" x14ac:dyDescent="0.2">
      <c r="A554" s="3" t="s">
        <v>2410</v>
      </c>
      <c r="B554" s="12" t="s">
        <v>1497</v>
      </c>
      <c r="C554" s="6">
        <v>553</v>
      </c>
      <c r="D554" s="12">
        <v>214</v>
      </c>
      <c r="E554" s="12" t="s">
        <v>1444</v>
      </c>
      <c r="F554" s="12" t="s">
        <v>1445</v>
      </c>
      <c r="G554" s="12" t="s">
        <v>1446</v>
      </c>
      <c r="H554" s="12" t="s">
        <v>59</v>
      </c>
      <c r="I554" s="12" t="s">
        <v>1414</v>
      </c>
      <c r="J554" s="12" t="s">
        <v>1407</v>
      </c>
      <c r="K554" s="8" t="s">
        <v>1508</v>
      </c>
      <c r="L554" s="13" t="s">
        <v>1499</v>
      </c>
      <c r="M554" s="13" t="s">
        <v>1500</v>
      </c>
      <c r="N554" s="13" t="s">
        <v>1407</v>
      </c>
      <c r="O554" s="13" t="s">
        <v>1501</v>
      </c>
      <c r="P554" s="13" t="s">
        <v>1451</v>
      </c>
      <c r="Q554" s="13" t="s">
        <v>1400</v>
      </c>
      <c r="R554" s="13">
        <v>4</v>
      </c>
      <c r="S554" s="13" t="s">
        <v>1453</v>
      </c>
      <c r="T554" s="13" t="s">
        <v>1454</v>
      </c>
      <c r="U554" s="13" t="s">
        <v>1406</v>
      </c>
      <c r="V554" s="13">
        <v>13</v>
      </c>
      <c r="W554" s="13" t="b">
        <v>1</v>
      </c>
      <c r="X554" s="13">
        <v>240806</v>
      </c>
      <c r="Y554" s="13" t="s">
        <v>1405</v>
      </c>
      <c r="Z554" s="13">
        <v>0</v>
      </c>
      <c r="AA554" s="13">
        <v>0</v>
      </c>
      <c r="AB554" s="13" t="s">
        <v>1405</v>
      </c>
      <c r="AC554" s="13" t="s">
        <v>1405</v>
      </c>
      <c r="AD554" s="13">
        <v>0</v>
      </c>
      <c r="AE554" s="13" t="s">
        <v>1405</v>
      </c>
      <c r="AF554" s="13" t="s">
        <v>1405</v>
      </c>
    </row>
    <row r="555" spans="1:32" x14ac:dyDescent="0.2">
      <c r="A555" s="3" t="s">
        <v>2411</v>
      </c>
      <c r="B555" s="14" t="s">
        <v>1497</v>
      </c>
      <c r="C555" s="6">
        <v>554</v>
      </c>
      <c r="D555" s="14">
        <v>214</v>
      </c>
      <c r="E555" s="14" t="s">
        <v>1457</v>
      </c>
      <c r="F555" s="15" t="s">
        <v>1445</v>
      </c>
      <c r="G555" s="14" t="s">
        <v>1458</v>
      </c>
      <c r="H555" s="14" t="s">
        <v>111</v>
      </c>
      <c r="I555" s="14" t="s">
        <v>1409</v>
      </c>
      <c r="J555" s="14" t="s">
        <v>1407</v>
      </c>
      <c r="K555" s="8" t="s">
        <v>1509</v>
      </c>
      <c r="L555" s="16" t="s">
        <v>1499</v>
      </c>
      <c r="M555" s="16" t="s">
        <v>1500</v>
      </c>
      <c r="N555" s="16" t="s">
        <v>1407</v>
      </c>
      <c r="O555" s="16" t="s">
        <v>1501</v>
      </c>
      <c r="P555" s="16" t="s">
        <v>1451</v>
      </c>
      <c r="Q555" s="16" t="s">
        <v>1400</v>
      </c>
      <c r="R555" s="16">
        <v>4</v>
      </c>
      <c r="S555" s="16" t="s">
        <v>1453</v>
      </c>
      <c r="T555" s="16" t="s">
        <v>1454</v>
      </c>
      <c r="U555" s="16" t="s">
        <v>1406</v>
      </c>
      <c r="V555" s="16">
        <v>13</v>
      </c>
      <c r="W555" s="16" t="b">
        <v>1</v>
      </c>
      <c r="X555" s="16">
        <v>240806</v>
      </c>
      <c r="Y555" s="16" t="s">
        <v>1405</v>
      </c>
      <c r="Z555" s="16">
        <v>0</v>
      </c>
      <c r="AA555" s="16">
        <v>0</v>
      </c>
      <c r="AB555" s="16" t="s">
        <v>1405</v>
      </c>
      <c r="AC555" s="16" t="s">
        <v>1405</v>
      </c>
      <c r="AD555" s="16">
        <v>0</v>
      </c>
      <c r="AE555" s="16" t="s">
        <v>1405</v>
      </c>
      <c r="AF555" s="16" t="s">
        <v>1405</v>
      </c>
    </row>
    <row r="556" spans="1:32" x14ac:dyDescent="0.2">
      <c r="A556" s="3" t="s">
        <v>2412</v>
      </c>
      <c r="B556" s="12" t="s">
        <v>1497</v>
      </c>
      <c r="C556" s="6">
        <v>555</v>
      </c>
      <c r="D556" s="12">
        <v>215</v>
      </c>
      <c r="E556" s="12" t="s">
        <v>1444</v>
      </c>
      <c r="F556" s="12" t="s">
        <v>1445</v>
      </c>
      <c r="G556" s="12" t="s">
        <v>1446</v>
      </c>
      <c r="H556" s="12" t="s">
        <v>60</v>
      </c>
      <c r="I556" s="12" t="s">
        <v>1414</v>
      </c>
      <c r="J556" s="12" t="s">
        <v>1407</v>
      </c>
      <c r="K556" s="8" t="s">
        <v>1510</v>
      </c>
      <c r="L556" s="13" t="s">
        <v>1511</v>
      </c>
      <c r="M556" s="13" t="s">
        <v>1512</v>
      </c>
      <c r="N556" s="13" t="s">
        <v>1407</v>
      </c>
      <c r="O556" s="13" t="s">
        <v>1501</v>
      </c>
      <c r="P556" s="13" t="s">
        <v>1451</v>
      </c>
      <c r="Q556" s="13" t="s">
        <v>1396</v>
      </c>
      <c r="R556" s="13">
        <v>1</v>
      </c>
      <c r="S556" s="13" t="s">
        <v>1453</v>
      </c>
      <c r="T556" s="13" t="s">
        <v>1454</v>
      </c>
      <c r="U556" s="13" t="s">
        <v>1406</v>
      </c>
      <c r="V556" s="13">
        <v>13</v>
      </c>
      <c r="W556" s="13" t="b">
        <v>1</v>
      </c>
      <c r="X556" s="13">
        <v>240806</v>
      </c>
      <c r="Y556" s="13" t="s">
        <v>1405</v>
      </c>
      <c r="Z556" s="13">
        <v>0</v>
      </c>
      <c r="AA556" s="13">
        <v>0</v>
      </c>
      <c r="AB556" s="13" t="s">
        <v>1405</v>
      </c>
      <c r="AC556" s="13" t="s">
        <v>1405</v>
      </c>
      <c r="AD556" s="13">
        <v>0</v>
      </c>
      <c r="AE556" s="13" t="s">
        <v>1405</v>
      </c>
      <c r="AF556" s="13" t="s">
        <v>1405</v>
      </c>
    </row>
    <row r="557" spans="1:32" x14ac:dyDescent="0.2">
      <c r="A557" s="3" t="s">
        <v>2413</v>
      </c>
      <c r="B557" s="14" t="s">
        <v>1497</v>
      </c>
      <c r="C557" s="6">
        <v>556</v>
      </c>
      <c r="D557" s="14">
        <v>215</v>
      </c>
      <c r="E557" s="14" t="s">
        <v>1457</v>
      </c>
      <c r="F557" s="15" t="s">
        <v>1445</v>
      </c>
      <c r="G557" s="14" t="s">
        <v>1458</v>
      </c>
      <c r="H557" s="14" t="s">
        <v>112</v>
      </c>
      <c r="I557" s="14" t="s">
        <v>1409</v>
      </c>
      <c r="J557" s="14" t="s">
        <v>1407</v>
      </c>
      <c r="K557" s="8" t="s">
        <v>1513</v>
      </c>
      <c r="L557" s="16" t="s">
        <v>1511</v>
      </c>
      <c r="M557" s="16" t="s">
        <v>1512</v>
      </c>
      <c r="N557" s="16" t="s">
        <v>1407</v>
      </c>
      <c r="O557" s="16" t="s">
        <v>1501</v>
      </c>
      <c r="P557" s="16" t="s">
        <v>1451</v>
      </c>
      <c r="Q557" s="16" t="s">
        <v>1396</v>
      </c>
      <c r="R557" s="16">
        <v>1</v>
      </c>
      <c r="S557" s="16" t="s">
        <v>1453</v>
      </c>
      <c r="T557" s="16" t="s">
        <v>1454</v>
      </c>
      <c r="U557" s="16" t="s">
        <v>1406</v>
      </c>
      <c r="V557" s="16">
        <v>13</v>
      </c>
      <c r="W557" s="16" t="b">
        <v>1</v>
      </c>
      <c r="X557" s="16">
        <v>240806</v>
      </c>
      <c r="Y557" s="16" t="s">
        <v>1405</v>
      </c>
      <c r="Z557" s="16">
        <v>0</v>
      </c>
      <c r="AA557" s="16">
        <v>0</v>
      </c>
      <c r="AB557" s="16" t="s">
        <v>1405</v>
      </c>
      <c r="AC557" s="16" t="s">
        <v>1405</v>
      </c>
      <c r="AD557" s="16">
        <v>0</v>
      </c>
      <c r="AE557" s="16" t="s">
        <v>1405</v>
      </c>
      <c r="AF557" s="16" t="s">
        <v>1405</v>
      </c>
    </row>
    <row r="558" spans="1:32" x14ac:dyDescent="0.2">
      <c r="A558" s="3" t="s">
        <v>2414</v>
      </c>
      <c r="B558" s="12" t="s">
        <v>1497</v>
      </c>
      <c r="C558" s="6">
        <v>557</v>
      </c>
      <c r="D558" s="12">
        <v>216</v>
      </c>
      <c r="E558" s="12" t="s">
        <v>1444</v>
      </c>
      <c r="F558" s="12" t="s">
        <v>1445</v>
      </c>
      <c r="G558" s="12" t="s">
        <v>1446</v>
      </c>
      <c r="H558" s="12" t="s">
        <v>61</v>
      </c>
      <c r="I558" s="12" t="s">
        <v>1414</v>
      </c>
      <c r="J558" s="12" t="s">
        <v>1407</v>
      </c>
      <c r="K558" s="8" t="s">
        <v>1514</v>
      </c>
      <c r="L558" s="13" t="s">
        <v>1511</v>
      </c>
      <c r="M558" s="13" t="s">
        <v>1512</v>
      </c>
      <c r="N558" s="13" t="s">
        <v>1407</v>
      </c>
      <c r="O558" s="13" t="s">
        <v>1501</v>
      </c>
      <c r="P558" s="13" t="s">
        <v>1451</v>
      </c>
      <c r="Q558" s="13" t="s">
        <v>1398</v>
      </c>
      <c r="R558" s="13">
        <v>2</v>
      </c>
      <c r="S558" s="13" t="s">
        <v>1453</v>
      </c>
      <c r="T558" s="13" t="s">
        <v>1454</v>
      </c>
      <c r="U558" s="13" t="s">
        <v>1406</v>
      </c>
      <c r="V558" s="13">
        <v>13</v>
      </c>
      <c r="W558" s="13" t="b">
        <v>1</v>
      </c>
      <c r="X558" s="13">
        <v>240806</v>
      </c>
      <c r="Y558" s="13" t="s">
        <v>1405</v>
      </c>
      <c r="Z558" s="13">
        <v>0</v>
      </c>
      <c r="AA558" s="13">
        <v>0</v>
      </c>
      <c r="AB558" s="13" t="s">
        <v>1405</v>
      </c>
      <c r="AC558" s="13" t="s">
        <v>1405</v>
      </c>
      <c r="AD558" s="13">
        <v>0</v>
      </c>
      <c r="AE558" s="13" t="s">
        <v>1405</v>
      </c>
      <c r="AF558" s="13" t="s">
        <v>1405</v>
      </c>
    </row>
    <row r="559" spans="1:32" x14ac:dyDescent="0.2">
      <c r="A559" s="3" t="s">
        <v>2415</v>
      </c>
      <c r="B559" s="14" t="s">
        <v>1497</v>
      </c>
      <c r="C559" s="6">
        <v>558</v>
      </c>
      <c r="D559" s="14">
        <v>216</v>
      </c>
      <c r="E559" s="14" t="s">
        <v>1457</v>
      </c>
      <c r="F559" s="15" t="s">
        <v>1445</v>
      </c>
      <c r="G559" s="14" t="s">
        <v>1458</v>
      </c>
      <c r="H559" s="14" t="s">
        <v>113</v>
      </c>
      <c r="I559" s="14" t="s">
        <v>1409</v>
      </c>
      <c r="J559" s="14" t="s">
        <v>1407</v>
      </c>
      <c r="K559" s="8" t="s">
        <v>1515</v>
      </c>
      <c r="L559" s="16" t="s">
        <v>1511</v>
      </c>
      <c r="M559" s="16" t="s">
        <v>1512</v>
      </c>
      <c r="N559" s="16" t="s">
        <v>1407</v>
      </c>
      <c r="O559" s="16" t="s">
        <v>1501</v>
      </c>
      <c r="P559" s="16" t="s">
        <v>1451</v>
      </c>
      <c r="Q559" s="16" t="s">
        <v>1398</v>
      </c>
      <c r="R559" s="16">
        <v>2</v>
      </c>
      <c r="S559" s="16" t="s">
        <v>1453</v>
      </c>
      <c r="T559" s="16" t="s">
        <v>1454</v>
      </c>
      <c r="U559" s="16" t="s">
        <v>1406</v>
      </c>
      <c r="V559" s="16">
        <v>13</v>
      </c>
      <c r="W559" s="16" t="b">
        <v>1</v>
      </c>
      <c r="X559" s="16">
        <v>240806</v>
      </c>
      <c r="Y559" s="16" t="s">
        <v>1405</v>
      </c>
      <c r="Z559" s="16">
        <v>0</v>
      </c>
      <c r="AA559" s="16">
        <v>0</v>
      </c>
      <c r="AB559" s="16" t="s">
        <v>1405</v>
      </c>
      <c r="AC559" s="16" t="s">
        <v>1405</v>
      </c>
      <c r="AD559" s="16">
        <v>0</v>
      </c>
      <c r="AE559" s="16" t="s">
        <v>1405</v>
      </c>
      <c r="AF559" s="16" t="s">
        <v>1405</v>
      </c>
    </row>
    <row r="560" spans="1:32" x14ac:dyDescent="0.2">
      <c r="A560" s="3" t="s">
        <v>2416</v>
      </c>
      <c r="B560" s="12" t="s">
        <v>1497</v>
      </c>
      <c r="C560" s="6">
        <v>559</v>
      </c>
      <c r="D560" s="12">
        <v>217</v>
      </c>
      <c r="E560" s="12" t="s">
        <v>1444</v>
      </c>
      <c r="F560" s="12" t="s">
        <v>1445</v>
      </c>
      <c r="G560" s="12" t="s">
        <v>1446</v>
      </c>
      <c r="H560" s="12" t="s">
        <v>62</v>
      </c>
      <c r="I560" s="12" t="s">
        <v>1414</v>
      </c>
      <c r="J560" s="12" t="s">
        <v>1407</v>
      </c>
      <c r="K560" s="8" t="s">
        <v>1516</v>
      </c>
      <c r="L560" s="13" t="s">
        <v>1511</v>
      </c>
      <c r="M560" s="13" t="s">
        <v>1512</v>
      </c>
      <c r="N560" s="13" t="s">
        <v>1407</v>
      </c>
      <c r="O560" s="13" t="s">
        <v>1501</v>
      </c>
      <c r="P560" s="13" t="s">
        <v>1451</v>
      </c>
      <c r="Q560" s="13" t="s">
        <v>1399</v>
      </c>
      <c r="R560" s="13">
        <v>3</v>
      </c>
      <c r="S560" s="13" t="s">
        <v>1453</v>
      </c>
      <c r="T560" s="13" t="s">
        <v>1454</v>
      </c>
      <c r="U560" s="13" t="s">
        <v>1406</v>
      </c>
      <c r="V560" s="13">
        <v>13</v>
      </c>
      <c r="W560" s="13" t="b">
        <v>1</v>
      </c>
      <c r="X560" s="13">
        <v>240806</v>
      </c>
      <c r="Y560" s="13" t="s">
        <v>1405</v>
      </c>
      <c r="Z560" s="13">
        <v>0</v>
      </c>
      <c r="AA560" s="13">
        <v>0</v>
      </c>
      <c r="AB560" s="13" t="s">
        <v>1405</v>
      </c>
      <c r="AC560" s="13" t="s">
        <v>1405</v>
      </c>
      <c r="AD560" s="13">
        <v>0</v>
      </c>
      <c r="AE560" s="13" t="s">
        <v>1405</v>
      </c>
      <c r="AF560" s="13" t="s">
        <v>1405</v>
      </c>
    </row>
    <row r="561" spans="1:32" x14ac:dyDescent="0.2">
      <c r="A561" s="3" t="s">
        <v>2417</v>
      </c>
      <c r="B561" s="14" t="s">
        <v>1497</v>
      </c>
      <c r="C561" s="6">
        <v>560</v>
      </c>
      <c r="D561" s="14">
        <v>217</v>
      </c>
      <c r="E561" s="14" t="s">
        <v>1457</v>
      </c>
      <c r="F561" s="15" t="s">
        <v>1445</v>
      </c>
      <c r="G561" s="14" t="s">
        <v>1458</v>
      </c>
      <c r="H561" s="14" t="s">
        <v>114</v>
      </c>
      <c r="I561" s="14" t="s">
        <v>1409</v>
      </c>
      <c r="J561" s="14" t="s">
        <v>1407</v>
      </c>
      <c r="K561" s="8" t="s">
        <v>1517</v>
      </c>
      <c r="L561" s="16" t="s">
        <v>1511</v>
      </c>
      <c r="M561" s="16" t="s">
        <v>1512</v>
      </c>
      <c r="N561" s="16" t="s">
        <v>1407</v>
      </c>
      <c r="O561" s="16" t="s">
        <v>1501</v>
      </c>
      <c r="P561" s="16" t="s">
        <v>1451</v>
      </c>
      <c r="Q561" s="16" t="s">
        <v>1399</v>
      </c>
      <c r="R561" s="16">
        <v>3</v>
      </c>
      <c r="S561" s="16" t="s">
        <v>1453</v>
      </c>
      <c r="T561" s="16" t="s">
        <v>1454</v>
      </c>
      <c r="U561" s="16" t="s">
        <v>1406</v>
      </c>
      <c r="V561" s="16">
        <v>13</v>
      </c>
      <c r="W561" s="16" t="b">
        <v>1</v>
      </c>
      <c r="X561" s="16">
        <v>240806</v>
      </c>
      <c r="Y561" s="16" t="s">
        <v>1405</v>
      </c>
      <c r="Z561" s="16">
        <v>0</v>
      </c>
      <c r="AA561" s="16">
        <v>0</v>
      </c>
      <c r="AB561" s="16" t="s">
        <v>1405</v>
      </c>
      <c r="AC561" s="16" t="s">
        <v>1405</v>
      </c>
      <c r="AD561" s="16">
        <v>0</v>
      </c>
      <c r="AE561" s="16" t="s">
        <v>1405</v>
      </c>
      <c r="AF561" s="16" t="s">
        <v>1405</v>
      </c>
    </row>
    <row r="562" spans="1:32" x14ac:dyDescent="0.2">
      <c r="A562" s="3" t="s">
        <v>2418</v>
      </c>
      <c r="B562" s="12" t="s">
        <v>1497</v>
      </c>
      <c r="C562" s="6">
        <v>561</v>
      </c>
      <c r="D562" s="12">
        <v>218</v>
      </c>
      <c r="E562" s="12" t="s">
        <v>1444</v>
      </c>
      <c r="F562" s="12" t="s">
        <v>1445</v>
      </c>
      <c r="G562" s="12" t="s">
        <v>1446</v>
      </c>
      <c r="H562" s="12" t="s">
        <v>63</v>
      </c>
      <c r="I562" s="12" t="s">
        <v>1414</v>
      </c>
      <c r="J562" s="12" t="s">
        <v>1407</v>
      </c>
      <c r="K562" s="8" t="s">
        <v>1518</v>
      </c>
      <c r="L562" s="13" t="s">
        <v>1511</v>
      </c>
      <c r="M562" s="13" t="s">
        <v>1512</v>
      </c>
      <c r="N562" s="13" t="s">
        <v>1407</v>
      </c>
      <c r="O562" s="13" t="s">
        <v>1501</v>
      </c>
      <c r="P562" s="13" t="s">
        <v>1451</v>
      </c>
      <c r="Q562" s="13" t="s">
        <v>1400</v>
      </c>
      <c r="R562" s="13">
        <v>4</v>
      </c>
      <c r="S562" s="13" t="s">
        <v>1453</v>
      </c>
      <c r="T562" s="13" t="s">
        <v>1454</v>
      </c>
      <c r="U562" s="13" t="s">
        <v>1406</v>
      </c>
      <c r="V562" s="13">
        <v>13</v>
      </c>
      <c r="W562" s="13" t="b">
        <v>1</v>
      </c>
      <c r="X562" s="13">
        <v>240806</v>
      </c>
      <c r="Y562" s="13" t="s">
        <v>1405</v>
      </c>
      <c r="Z562" s="13">
        <v>0</v>
      </c>
      <c r="AA562" s="13">
        <v>0</v>
      </c>
      <c r="AB562" s="13" t="s">
        <v>1405</v>
      </c>
      <c r="AC562" s="13" t="s">
        <v>1405</v>
      </c>
      <c r="AD562" s="13">
        <v>0</v>
      </c>
      <c r="AE562" s="13" t="s">
        <v>1405</v>
      </c>
      <c r="AF562" s="13" t="s">
        <v>1405</v>
      </c>
    </row>
    <row r="563" spans="1:32" x14ac:dyDescent="0.2">
      <c r="A563" s="3" t="s">
        <v>2419</v>
      </c>
      <c r="B563" s="14" t="s">
        <v>1497</v>
      </c>
      <c r="C563" s="6">
        <v>562</v>
      </c>
      <c r="D563" s="14">
        <v>218</v>
      </c>
      <c r="E563" s="14" t="s">
        <v>1457</v>
      </c>
      <c r="F563" s="15" t="s">
        <v>1445</v>
      </c>
      <c r="G563" s="14" t="s">
        <v>1458</v>
      </c>
      <c r="H563" s="14" t="s">
        <v>115</v>
      </c>
      <c r="I563" s="14" t="s">
        <v>1409</v>
      </c>
      <c r="J563" s="14" t="s">
        <v>1407</v>
      </c>
      <c r="K563" s="8" t="s">
        <v>1519</v>
      </c>
      <c r="L563" s="16" t="s">
        <v>1511</v>
      </c>
      <c r="M563" s="16" t="s">
        <v>1512</v>
      </c>
      <c r="N563" s="16" t="s">
        <v>1407</v>
      </c>
      <c r="O563" s="16" t="s">
        <v>1501</v>
      </c>
      <c r="P563" s="16" t="s">
        <v>1451</v>
      </c>
      <c r="Q563" s="16" t="s">
        <v>1400</v>
      </c>
      <c r="R563" s="16">
        <v>4</v>
      </c>
      <c r="S563" s="16" t="s">
        <v>1453</v>
      </c>
      <c r="T563" s="16" t="s">
        <v>1454</v>
      </c>
      <c r="U563" s="16" t="s">
        <v>1406</v>
      </c>
      <c r="V563" s="16">
        <v>13</v>
      </c>
      <c r="W563" s="16" t="b">
        <v>1</v>
      </c>
      <c r="X563" s="16">
        <v>240806</v>
      </c>
      <c r="Y563" s="16" t="s">
        <v>1405</v>
      </c>
      <c r="Z563" s="16">
        <v>0</v>
      </c>
      <c r="AA563" s="16">
        <v>0</v>
      </c>
      <c r="AB563" s="16" t="s">
        <v>1405</v>
      </c>
      <c r="AC563" s="16" t="s">
        <v>1405</v>
      </c>
      <c r="AD563" s="16">
        <v>0</v>
      </c>
      <c r="AE563" s="16" t="s">
        <v>1405</v>
      </c>
      <c r="AF563" s="16" t="s">
        <v>1405</v>
      </c>
    </row>
    <row r="564" spans="1:32" x14ac:dyDescent="0.2">
      <c r="A564" s="3" t="s">
        <v>2420</v>
      </c>
      <c r="B564" s="12" t="s">
        <v>1497</v>
      </c>
      <c r="C564" s="6">
        <v>563</v>
      </c>
      <c r="D564" s="12">
        <v>219</v>
      </c>
      <c r="E564" s="12" t="s">
        <v>1444</v>
      </c>
      <c r="F564" s="12" t="s">
        <v>1445</v>
      </c>
      <c r="G564" s="12" t="s">
        <v>1446</v>
      </c>
      <c r="H564" s="12" t="s">
        <v>64</v>
      </c>
      <c r="I564" s="12" t="s">
        <v>1414</v>
      </c>
      <c r="J564" s="12" t="s">
        <v>1407</v>
      </c>
      <c r="K564" s="8" t="s">
        <v>1520</v>
      </c>
      <c r="L564" s="13" t="s">
        <v>1521</v>
      </c>
      <c r="M564" s="13" t="s">
        <v>1522</v>
      </c>
      <c r="N564" s="13" t="s">
        <v>1407</v>
      </c>
      <c r="O564" s="13" t="s">
        <v>1501</v>
      </c>
      <c r="P564" s="13" t="s">
        <v>1451</v>
      </c>
      <c r="Q564" s="13" t="s">
        <v>1396</v>
      </c>
      <c r="R564" s="13">
        <v>1</v>
      </c>
      <c r="S564" s="13" t="s">
        <v>1453</v>
      </c>
      <c r="T564" s="13" t="s">
        <v>1454</v>
      </c>
      <c r="U564" s="13" t="s">
        <v>1406</v>
      </c>
      <c r="V564" s="13">
        <v>13</v>
      </c>
      <c r="W564" s="13" t="b">
        <v>1</v>
      </c>
      <c r="X564" s="13">
        <v>240806</v>
      </c>
      <c r="Y564" s="13" t="s">
        <v>1405</v>
      </c>
      <c r="Z564" s="13">
        <v>0</v>
      </c>
      <c r="AA564" s="13">
        <v>0</v>
      </c>
      <c r="AB564" s="13" t="s">
        <v>1405</v>
      </c>
      <c r="AC564" s="13" t="s">
        <v>1405</v>
      </c>
      <c r="AD564" s="13">
        <v>0</v>
      </c>
      <c r="AE564" s="13" t="s">
        <v>1405</v>
      </c>
      <c r="AF564" s="13" t="s">
        <v>1405</v>
      </c>
    </row>
    <row r="565" spans="1:32" x14ac:dyDescent="0.2">
      <c r="A565" s="3" t="s">
        <v>2421</v>
      </c>
      <c r="B565" s="14" t="s">
        <v>1497</v>
      </c>
      <c r="C565" s="6">
        <v>564</v>
      </c>
      <c r="D565" s="14">
        <v>219</v>
      </c>
      <c r="E565" s="14" t="s">
        <v>1457</v>
      </c>
      <c r="F565" s="15" t="s">
        <v>1445</v>
      </c>
      <c r="G565" s="14" t="s">
        <v>1458</v>
      </c>
      <c r="H565" s="14" t="s">
        <v>116</v>
      </c>
      <c r="I565" s="14" t="s">
        <v>1409</v>
      </c>
      <c r="J565" s="14" t="s">
        <v>1407</v>
      </c>
      <c r="K565" s="8" t="s">
        <v>1523</v>
      </c>
      <c r="L565" s="16" t="s">
        <v>1521</v>
      </c>
      <c r="M565" s="16" t="s">
        <v>1522</v>
      </c>
      <c r="N565" s="16" t="s">
        <v>1407</v>
      </c>
      <c r="O565" s="16" t="s">
        <v>1501</v>
      </c>
      <c r="P565" s="16" t="s">
        <v>1451</v>
      </c>
      <c r="Q565" s="16" t="s">
        <v>1396</v>
      </c>
      <c r="R565" s="16">
        <v>1</v>
      </c>
      <c r="S565" s="16" t="s">
        <v>1453</v>
      </c>
      <c r="T565" s="16" t="s">
        <v>1454</v>
      </c>
      <c r="U565" s="16" t="s">
        <v>1406</v>
      </c>
      <c r="V565" s="16">
        <v>13</v>
      </c>
      <c r="W565" s="16" t="b">
        <v>1</v>
      </c>
      <c r="X565" s="16">
        <v>240806</v>
      </c>
      <c r="Y565" s="16" t="s">
        <v>1405</v>
      </c>
      <c r="Z565" s="16">
        <v>0</v>
      </c>
      <c r="AA565" s="16">
        <v>0</v>
      </c>
      <c r="AB565" s="16" t="s">
        <v>1405</v>
      </c>
      <c r="AC565" s="16" t="s">
        <v>1405</v>
      </c>
      <c r="AD565" s="16">
        <v>0</v>
      </c>
      <c r="AE565" s="16" t="s">
        <v>1405</v>
      </c>
      <c r="AF565" s="16" t="s">
        <v>1405</v>
      </c>
    </row>
    <row r="566" spans="1:32" x14ac:dyDescent="0.2">
      <c r="A566" s="3" t="s">
        <v>2422</v>
      </c>
      <c r="B566" s="12" t="s">
        <v>1497</v>
      </c>
      <c r="C566" s="6">
        <v>565</v>
      </c>
      <c r="D566" s="12">
        <v>220</v>
      </c>
      <c r="E566" s="12" t="s">
        <v>1444</v>
      </c>
      <c r="F566" s="12" t="s">
        <v>1445</v>
      </c>
      <c r="G566" s="12" t="s">
        <v>1446</v>
      </c>
      <c r="H566" s="12" t="s">
        <v>66</v>
      </c>
      <c r="I566" s="12" t="s">
        <v>1414</v>
      </c>
      <c r="J566" s="12" t="s">
        <v>1407</v>
      </c>
      <c r="K566" s="8" t="s">
        <v>1524</v>
      </c>
      <c r="L566" s="13" t="s">
        <v>1521</v>
      </c>
      <c r="M566" s="13" t="s">
        <v>1522</v>
      </c>
      <c r="N566" s="13" t="s">
        <v>1407</v>
      </c>
      <c r="O566" s="13" t="s">
        <v>1501</v>
      </c>
      <c r="P566" s="13" t="s">
        <v>1451</v>
      </c>
      <c r="Q566" s="13" t="s">
        <v>1398</v>
      </c>
      <c r="R566" s="13">
        <v>2</v>
      </c>
      <c r="S566" s="13" t="s">
        <v>1453</v>
      </c>
      <c r="T566" s="13" t="s">
        <v>1454</v>
      </c>
      <c r="U566" s="13" t="s">
        <v>1406</v>
      </c>
      <c r="V566" s="13">
        <v>13</v>
      </c>
      <c r="W566" s="13" t="b">
        <v>1</v>
      </c>
      <c r="X566" s="13">
        <v>240806</v>
      </c>
      <c r="Y566" s="13" t="s">
        <v>1405</v>
      </c>
      <c r="Z566" s="13">
        <v>0</v>
      </c>
      <c r="AA566" s="13">
        <v>0</v>
      </c>
      <c r="AB566" s="13" t="s">
        <v>1405</v>
      </c>
      <c r="AC566" s="13" t="s">
        <v>1405</v>
      </c>
      <c r="AD566" s="13">
        <v>0</v>
      </c>
      <c r="AE566" s="13" t="s">
        <v>1405</v>
      </c>
      <c r="AF566" s="13" t="s">
        <v>1405</v>
      </c>
    </row>
    <row r="567" spans="1:32" x14ac:dyDescent="0.2">
      <c r="A567" s="3" t="s">
        <v>2423</v>
      </c>
      <c r="B567" s="14" t="s">
        <v>1497</v>
      </c>
      <c r="C567" s="6">
        <v>566</v>
      </c>
      <c r="D567" s="14">
        <v>220</v>
      </c>
      <c r="E567" s="14" t="s">
        <v>1457</v>
      </c>
      <c r="F567" s="15" t="s">
        <v>1445</v>
      </c>
      <c r="G567" s="14" t="s">
        <v>1458</v>
      </c>
      <c r="H567" s="14" t="s">
        <v>118</v>
      </c>
      <c r="I567" s="14" t="s">
        <v>1409</v>
      </c>
      <c r="J567" s="14" t="s">
        <v>1407</v>
      </c>
      <c r="K567" s="8" t="s">
        <v>1525</v>
      </c>
      <c r="L567" s="16" t="s">
        <v>1521</v>
      </c>
      <c r="M567" s="16" t="s">
        <v>1522</v>
      </c>
      <c r="N567" s="16" t="s">
        <v>1407</v>
      </c>
      <c r="O567" s="16" t="s">
        <v>1501</v>
      </c>
      <c r="P567" s="16" t="s">
        <v>1451</v>
      </c>
      <c r="Q567" s="16" t="s">
        <v>1398</v>
      </c>
      <c r="R567" s="16">
        <v>2</v>
      </c>
      <c r="S567" s="16" t="s">
        <v>1453</v>
      </c>
      <c r="T567" s="16" t="s">
        <v>1454</v>
      </c>
      <c r="U567" s="16" t="s">
        <v>1406</v>
      </c>
      <c r="V567" s="16">
        <v>13</v>
      </c>
      <c r="W567" s="16" t="b">
        <v>1</v>
      </c>
      <c r="X567" s="16">
        <v>240806</v>
      </c>
      <c r="Y567" s="16" t="s">
        <v>1405</v>
      </c>
      <c r="Z567" s="16">
        <v>0</v>
      </c>
      <c r="AA567" s="16">
        <v>0</v>
      </c>
      <c r="AB567" s="16" t="s">
        <v>1405</v>
      </c>
      <c r="AC567" s="16" t="s">
        <v>1405</v>
      </c>
      <c r="AD567" s="16">
        <v>0</v>
      </c>
      <c r="AE567" s="16" t="s">
        <v>1405</v>
      </c>
      <c r="AF567" s="16" t="s">
        <v>1405</v>
      </c>
    </row>
    <row r="568" spans="1:32" x14ac:dyDescent="0.2">
      <c r="A568" s="3" t="s">
        <v>2424</v>
      </c>
      <c r="B568" s="12" t="s">
        <v>1497</v>
      </c>
      <c r="C568" s="6">
        <v>567</v>
      </c>
      <c r="D568" s="12">
        <v>221</v>
      </c>
      <c r="E568" s="12" t="s">
        <v>1444</v>
      </c>
      <c r="F568" s="12" t="s">
        <v>1445</v>
      </c>
      <c r="G568" s="12" t="s">
        <v>1446</v>
      </c>
      <c r="H568" s="12" t="s">
        <v>67</v>
      </c>
      <c r="I568" s="12" t="s">
        <v>1414</v>
      </c>
      <c r="J568" s="12" t="s">
        <v>1407</v>
      </c>
      <c r="K568" s="8" t="s">
        <v>1526</v>
      </c>
      <c r="L568" s="13" t="s">
        <v>1521</v>
      </c>
      <c r="M568" s="13" t="s">
        <v>1522</v>
      </c>
      <c r="N568" s="13" t="s">
        <v>1407</v>
      </c>
      <c r="O568" s="13" t="s">
        <v>1501</v>
      </c>
      <c r="P568" s="13" t="s">
        <v>1451</v>
      </c>
      <c r="Q568" s="13" t="s">
        <v>1399</v>
      </c>
      <c r="R568" s="13">
        <v>3</v>
      </c>
      <c r="S568" s="13" t="s">
        <v>1453</v>
      </c>
      <c r="T568" s="13" t="s">
        <v>1454</v>
      </c>
      <c r="U568" s="13" t="s">
        <v>1406</v>
      </c>
      <c r="V568" s="13">
        <v>13</v>
      </c>
      <c r="W568" s="13" t="b">
        <v>1</v>
      </c>
      <c r="X568" s="13">
        <v>240806</v>
      </c>
      <c r="Y568" s="13" t="s">
        <v>1405</v>
      </c>
      <c r="Z568" s="13">
        <v>0</v>
      </c>
      <c r="AA568" s="13">
        <v>0</v>
      </c>
      <c r="AB568" s="13" t="s">
        <v>1405</v>
      </c>
      <c r="AC568" s="13" t="s">
        <v>1405</v>
      </c>
      <c r="AD568" s="13">
        <v>0</v>
      </c>
      <c r="AE568" s="13" t="s">
        <v>1405</v>
      </c>
      <c r="AF568" s="13" t="s">
        <v>1405</v>
      </c>
    </row>
    <row r="569" spans="1:32" x14ac:dyDescent="0.2">
      <c r="A569" s="3" t="s">
        <v>2425</v>
      </c>
      <c r="B569" s="14" t="s">
        <v>1497</v>
      </c>
      <c r="C569" s="6">
        <v>568</v>
      </c>
      <c r="D569" s="14">
        <v>221</v>
      </c>
      <c r="E569" s="14" t="s">
        <v>1457</v>
      </c>
      <c r="F569" s="15" t="s">
        <v>1445</v>
      </c>
      <c r="G569" s="14" t="s">
        <v>1458</v>
      </c>
      <c r="H569" s="14" t="s">
        <v>119</v>
      </c>
      <c r="I569" s="14" t="s">
        <v>1409</v>
      </c>
      <c r="J569" s="14" t="s">
        <v>1407</v>
      </c>
      <c r="K569" s="8" t="s">
        <v>1527</v>
      </c>
      <c r="L569" s="16" t="s">
        <v>1521</v>
      </c>
      <c r="M569" s="16" t="s">
        <v>1522</v>
      </c>
      <c r="N569" s="16" t="s">
        <v>1407</v>
      </c>
      <c r="O569" s="16" t="s">
        <v>1501</v>
      </c>
      <c r="P569" s="16" t="s">
        <v>1451</v>
      </c>
      <c r="Q569" s="16" t="s">
        <v>1399</v>
      </c>
      <c r="R569" s="16">
        <v>3</v>
      </c>
      <c r="S569" s="16" t="s">
        <v>1453</v>
      </c>
      <c r="T569" s="16" t="s">
        <v>1454</v>
      </c>
      <c r="U569" s="16" t="s">
        <v>1406</v>
      </c>
      <c r="V569" s="16">
        <v>13</v>
      </c>
      <c r="W569" s="16" t="b">
        <v>1</v>
      </c>
      <c r="X569" s="16">
        <v>240806</v>
      </c>
      <c r="Y569" s="16" t="s">
        <v>1405</v>
      </c>
      <c r="Z569" s="16">
        <v>0</v>
      </c>
      <c r="AA569" s="16">
        <v>0</v>
      </c>
      <c r="AB569" s="16" t="s">
        <v>1405</v>
      </c>
      <c r="AC569" s="16" t="s">
        <v>1405</v>
      </c>
      <c r="AD569" s="16">
        <v>0</v>
      </c>
      <c r="AE569" s="16" t="s">
        <v>1405</v>
      </c>
      <c r="AF569" s="16" t="s">
        <v>1405</v>
      </c>
    </row>
    <row r="570" spans="1:32" x14ac:dyDescent="0.2">
      <c r="A570" s="3" t="s">
        <v>2426</v>
      </c>
      <c r="B570" s="12" t="s">
        <v>1497</v>
      </c>
      <c r="C570" s="6">
        <v>569</v>
      </c>
      <c r="D570" s="12">
        <v>222</v>
      </c>
      <c r="E570" s="12" t="s">
        <v>1444</v>
      </c>
      <c r="F570" s="12" t="s">
        <v>1445</v>
      </c>
      <c r="G570" s="12" t="s">
        <v>1446</v>
      </c>
      <c r="H570" s="12" t="s">
        <v>68</v>
      </c>
      <c r="I570" s="12" t="s">
        <v>1414</v>
      </c>
      <c r="J570" s="12" t="s">
        <v>1407</v>
      </c>
      <c r="K570" s="8" t="s">
        <v>1528</v>
      </c>
      <c r="L570" s="13" t="s">
        <v>1521</v>
      </c>
      <c r="M570" s="13" t="s">
        <v>1522</v>
      </c>
      <c r="N570" s="13" t="s">
        <v>1407</v>
      </c>
      <c r="O570" s="13" t="s">
        <v>1501</v>
      </c>
      <c r="P570" s="13" t="s">
        <v>1451</v>
      </c>
      <c r="Q570" s="13" t="s">
        <v>1400</v>
      </c>
      <c r="R570" s="13">
        <v>4</v>
      </c>
      <c r="S570" s="13" t="s">
        <v>1453</v>
      </c>
      <c r="T570" s="13" t="s">
        <v>1454</v>
      </c>
      <c r="U570" s="13" t="s">
        <v>1406</v>
      </c>
      <c r="V570" s="13">
        <v>13</v>
      </c>
      <c r="W570" s="13" t="b">
        <v>1</v>
      </c>
      <c r="X570" s="13">
        <v>240806</v>
      </c>
      <c r="Y570" s="13" t="s">
        <v>1405</v>
      </c>
      <c r="Z570" s="13">
        <v>0</v>
      </c>
      <c r="AA570" s="13">
        <v>0</v>
      </c>
      <c r="AB570" s="13" t="s">
        <v>1405</v>
      </c>
      <c r="AC570" s="13" t="s">
        <v>1405</v>
      </c>
      <c r="AD570" s="13">
        <v>0</v>
      </c>
      <c r="AE570" s="13" t="s">
        <v>1405</v>
      </c>
      <c r="AF570" s="13" t="s">
        <v>1405</v>
      </c>
    </row>
    <row r="571" spans="1:32" x14ac:dyDescent="0.2">
      <c r="A571" s="3" t="s">
        <v>2427</v>
      </c>
      <c r="B571" s="14" t="s">
        <v>1497</v>
      </c>
      <c r="C571" s="6">
        <v>570</v>
      </c>
      <c r="D571" s="14">
        <v>222</v>
      </c>
      <c r="E571" s="14" t="s">
        <v>1457</v>
      </c>
      <c r="F571" s="15" t="s">
        <v>1445</v>
      </c>
      <c r="G571" s="14" t="s">
        <v>1458</v>
      </c>
      <c r="H571" s="14" t="s">
        <v>120</v>
      </c>
      <c r="I571" s="14" t="s">
        <v>1409</v>
      </c>
      <c r="J571" s="14" t="s">
        <v>1407</v>
      </c>
      <c r="K571" s="8" t="s">
        <v>1529</v>
      </c>
      <c r="L571" s="16" t="s">
        <v>1521</v>
      </c>
      <c r="M571" s="16" t="s">
        <v>1522</v>
      </c>
      <c r="N571" s="16" t="s">
        <v>1407</v>
      </c>
      <c r="O571" s="16" t="s">
        <v>1501</v>
      </c>
      <c r="P571" s="16" t="s">
        <v>1451</v>
      </c>
      <c r="Q571" s="16" t="s">
        <v>1400</v>
      </c>
      <c r="R571" s="16">
        <v>4</v>
      </c>
      <c r="S571" s="16" t="s">
        <v>1453</v>
      </c>
      <c r="T571" s="16" t="s">
        <v>1454</v>
      </c>
      <c r="U571" s="16" t="s">
        <v>1406</v>
      </c>
      <c r="V571" s="16">
        <v>13</v>
      </c>
      <c r="W571" s="16" t="b">
        <v>1</v>
      </c>
      <c r="X571" s="16">
        <v>240806</v>
      </c>
      <c r="Y571" s="16" t="s">
        <v>1405</v>
      </c>
      <c r="Z571" s="16">
        <v>0</v>
      </c>
      <c r="AA571" s="16">
        <v>0</v>
      </c>
      <c r="AB571" s="16" t="s">
        <v>1405</v>
      </c>
      <c r="AC571" s="16" t="s">
        <v>1405</v>
      </c>
      <c r="AD571" s="16">
        <v>0</v>
      </c>
      <c r="AE571" s="16" t="s">
        <v>1405</v>
      </c>
      <c r="AF571" s="16" t="s">
        <v>1405</v>
      </c>
    </row>
    <row r="572" spans="1:32" x14ac:dyDescent="0.2">
      <c r="A572" s="3" t="s">
        <v>2428</v>
      </c>
      <c r="B572" s="12" t="s">
        <v>1497</v>
      </c>
      <c r="C572" s="6">
        <v>571</v>
      </c>
      <c r="D572" s="12">
        <v>223</v>
      </c>
      <c r="E572" s="12" t="s">
        <v>1444</v>
      </c>
      <c r="F572" s="12" t="s">
        <v>1445</v>
      </c>
      <c r="G572" s="12" t="s">
        <v>1446</v>
      </c>
      <c r="H572" s="12" t="s">
        <v>69</v>
      </c>
      <c r="I572" s="12" t="s">
        <v>1414</v>
      </c>
      <c r="J572" s="12" t="s">
        <v>1407</v>
      </c>
      <c r="K572" s="8" t="s">
        <v>1530</v>
      </c>
      <c r="L572" s="13" t="s">
        <v>1499</v>
      </c>
      <c r="M572" s="13" t="s">
        <v>1531</v>
      </c>
      <c r="N572" s="13" t="s">
        <v>1407</v>
      </c>
      <c r="O572" s="13" t="s">
        <v>1532</v>
      </c>
      <c r="P572" s="13" t="s">
        <v>1451</v>
      </c>
      <c r="Q572" s="13" t="s">
        <v>1396</v>
      </c>
      <c r="R572" s="13">
        <v>1</v>
      </c>
      <c r="S572" s="13" t="s">
        <v>1453</v>
      </c>
      <c r="T572" s="13" t="s">
        <v>1454</v>
      </c>
      <c r="U572" s="13" t="s">
        <v>1406</v>
      </c>
      <c r="V572" s="13">
        <v>13</v>
      </c>
      <c r="W572" s="13" t="b">
        <v>1</v>
      </c>
      <c r="X572" s="13">
        <v>240806</v>
      </c>
      <c r="Y572" s="13" t="s">
        <v>1405</v>
      </c>
      <c r="Z572" s="13">
        <v>0</v>
      </c>
      <c r="AA572" s="13">
        <v>0</v>
      </c>
      <c r="AB572" s="13" t="s">
        <v>1405</v>
      </c>
      <c r="AC572" s="13" t="s">
        <v>1405</v>
      </c>
      <c r="AD572" s="13">
        <v>0</v>
      </c>
      <c r="AE572" s="13" t="s">
        <v>1405</v>
      </c>
      <c r="AF572" s="13" t="s">
        <v>1405</v>
      </c>
    </row>
    <row r="573" spans="1:32" x14ac:dyDescent="0.2">
      <c r="A573" s="3" t="s">
        <v>2429</v>
      </c>
      <c r="B573" s="14" t="s">
        <v>1497</v>
      </c>
      <c r="C573" s="6">
        <v>572</v>
      </c>
      <c r="D573" s="14">
        <v>223</v>
      </c>
      <c r="E573" s="14" t="s">
        <v>1457</v>
      </c>
      <c r="F573" s="15" t="s">
        <v>1445</v>
      </c>
      <c r="G573" s="14" t="s">
        <v>1458</v>
      </c>
      <c r="H573" s="14" t="s">
        <v>121</v>
      </c>
      <c r="I573" s="14" t="s">
        <v>1409</v>
      </c>
      <c r="J573" s="14" t="s">
        <v>1407</v>
      </c>
      <c r="K573" s="8" t="s">
        <v>1533</v>
      </c>
      <c r="L573" s="16" t="s">
        <v>1499</v>
      </c>
      <c r="M573" s="16" t="s">
        <v>1531</v>
      </c>
      <c r="N573" s="16" t="s">
        <v>1407</v>
      </c>
      <c r="O573" s="16" t="s">
        <v>1532</v>
      </c>
      <c r="P573" s="16" t="s">
        <v>1451</v>
      </c>
      <c r="Q573" s="16" t="s">
        <v>1396</v>
      </c>
      <c r="R573" s="16">
        <v>1</v>
      </c>
      <c r="S573" s="16" t="s">
        <v>1453</v>
      </c>
      <c r="T573" s="16" t="s">
        <v>1454</v>
      </c>
      <c r="U573" s="16" t="s">
        <v>1406</v>
      </c>
      <c r="V573" s="16">
        <v>13</v>
      </c>
      <c r="W573" s="16" t="b">
        <v>1</v>
      </c>
      <c r="X573" s="16">
        <v>240806</v>
      </c>
      <c r="Y573" s="16" t="s">
        <v>1405</v>
      </c>
      <c r="Z573" s="16">
        <v>0</v>
      </c>
      <c r="AA573" s="16">
        <v>0</v>
      </c>
      <c r="AB573" s="16" t="s">
        <v>1405</v>
      </c>
      <c r="AC573" s="16" t="s">
        <v>1405</v>
      </c>
      <c r="AD573" s="16">
        <v>0</v>
      </c>
      <c r="AE573" s="16" t="s">
        <v>1405</v>
      </c>
      <c r="AF573" s="16" t="s">
        <v>1405</v>
      </c>
    </row>
    <row r="574" spans="1:32" x14ac:dyDescent="0.2">
      <c r="A574" s="3" t="s">
        <v>2430</v>
      </c>
      <c r="B574" s="12" t="s">
        <v>1497</v>
      </c>
      <c r="C574" s="6">
        <v>573</v>
      </c>
      <c r="D574" s="12">
        <v>224</v>
      </c>
      <c r="E574" s="12" t="s">
        <v>1444</v>
      </c>
      <c r="F574" s="12" t="s">
        <v>1445</v>
      </c>
      <c r="G574" s="12" t="s">
        <v>1446</v>
      </c>
      <c r="H574" s="12" t="s">
        <v>70</v>
      </c>
      <c r="I574" s="12" t="s">
        <v>1414</v>
      </c>
      <c r="J574" s="12" t="s">
        <v>1407</v>
      </c>
      <c r="K574" s="8" t="s">
        <v>1534</v>
      </c>
      <c r="L574" s="13" t="s">
        <v>1499</v>
      </c>
      <c r="M574" s="13" t="s">
        <v>1531</v>
      </c>
      <c r="N574" s="13" t="s">
        <v>1407</v>
      </c>
      <c r="O574" s="13" t="s">
        <v>1532</v>
      </c>
      <c r="P574" s="13" t="s">
        <v>1451</v>
      </c>
      <c r="Q574" s="13" t="s">
        <v>1398</v>
      </c>
      <c r="R574" s="13">
        <v>2</v>
      </c>
      <c r="S574" s="13" t="s">
        <v>1453</v>
      </c>
      <c r="T574" s="13" t="s">
        <v>1454</v>
      </c>
      <c r="U574" s="13" t="s">
        <v>1406</v>
      </c>
      <c r="V574" s="13">
        <v>13</v>
      </c>
      <c r="W574" s="13" t="b">
        <v>1</v>
      </c>
      <c r="X574" s="13">
        <v>240806</v>
      </c>
      <c r="Y574" s="13" t="s">
        <v>1405</v>
      </c>
      <c r="Z574" s="13">
        <v>0</v>
      </c>
      <c r="AA574" s="13">
        <v>0</v>
      </c>
      <c r="AB574" s="13" t="s">
        <v>1405</v>
      </c>
      <c r="AC574" s="13" t="s">
        <v>1405</v>
      </c>
      <c r="AD574" s="13">
        <v>0</v>
      </c>
      <c r="AE574" s="13" t="s">
        <v>1405</v>
      </c>
      <c r="AF574" s="13" t="s">
        <v>1405</v>
      </c>
    </row>
    <row r="575" spans="1:32" x14ac:dyDescent="0.2">
      <c r="A575" s="3" t="s">
        <v>2431</v>
      </c>
      <c r="B575" s="14" t="s">
        <v>1497</v>
      </c>
      <c r="C575" s="6">
        <v>574</v>
      </c>
      <c r="D575" s="14">
        <v>224</v>
      </c>
      <c r="E575" s="14" t="s">
        <v>1457</v>
      </c>
      <c r="F575" s="15" t="s">
        <v>1445</v>
      </c>
      <c r="G575" s="14" t="s">
        <v>1458</v>
      </c>
      <c r="H575" s="14" t="s">
        <v>122</v>
      </c>
      <c r="I575" s="14" t="s">
        <v>1409</v>
      </c>
      <c r="J575" s="14" t="s">
        <v>1407</v>
      </c>
      <c r="K575" s="8" t="s">
        <v>1535</v>
      </c>
      <c r="L575" s="16" t="s">
        <v>1499</v>
      </c>
      <c r="M575" s="16" t="s">
        <v>1531</v>
      </c>
      <c r="N575" s="16" t="s">
        <v>1407</v>
      </c>
      <c r="O575" s="16" t="s">
        <v>1532</v>
      </c>
      <c r="P575" s="16" t="s">
        <v>1451</v>
      </c>
      <c r="Q575" s="16" t="s">
        <v>1398</v>
      </c>
      <c r="R575" s="16">
        <v>2</v>
      </c>
      <c r="S575" s="16" t="s">
        <v>1453</v>
      </c>
      <c r="T575" s="16" t="s">
        <v>1454</v>
      </c>
      <c r="U575" s="16" t="s">
        <v>1406</v>
      </c>
      <c r="V575" s="16">
        <v>13</v>
      </c>
      <c r="W575" s="16" t="b">
        <v>1</v>
      </c>
      <c r="X575" s="16">
        <v>240806</v>
      </c>
      <c r="Y575" s="16" t="s">
        <v>1405</v>
      </c>
      <c r="Z575" s="16">
        <v>0</v>
      </c>
      <c r="AA575" s="16">
        <v>0</v>
      </c>
      <c r="AB575" s="16" t="s">
        <v>1405</v>
      </c>
      <c r="AC575" s="16" t="s">
        <v>1405</v>
      </c>
      <c r="AD575" s="16">
        <v>0</v>
      </c>
      <c r="AE575" s="16" t="s">
        <v>1405</v>
      </c>
      <c r="AF575" s="16" t="s">
        <v>1405</v>
      </c>
    </row>
    <row r="576" spans="1:32" x14ac:dyDescent="0.2">
      <c r="A576" s="3" t="s">
        <v>2432</v>
      </c>
      <c r="B576" s="12" t="s">
        <v>1497</v>
      </c>
      <c r="C576" s="6">
        <v>575</v>
      </c>
      <c r="D576" s="12">
        <v>225</v>
      </c>
      <c r="E576" s="12" t="s">
        <v>1444</v>
      </c>
      <c r="F576" s="12" t="s">
        <v>1445</v>
      </c>
      <c r="G576" s="12" t="s">
        <v>1446</v>
      </c>
      <c r="H576" s="12" t="s">
        <v>71</v>
      </c>
      <c r="I576" s="12" t="s">
        <v>1414</v>
      </c>
      <c r="J576" s="12" t="s">
        <v>1407</v>
      </c>
      <c r="K576" s="8" t="s">
        <v>1536</v>
      </c>
      <c r="L576" s="13" t="s">
        <v>1499</v>
      </c>
      <c r="M576" s="13" t="s">
        <v>1531</v>
      </c>
      <c r="N576" s="13" t="s">
        <v>1407</v>
      </c>
      <c r="O576" s="13" t="s">
        <v>1532</v>
      </c>
      <c r="P576" s="13" t="s">
        <v>1451</v>
      </c>
      <c r="Q576" s="13" t="s">
        <v>1399</v>
      </c>
      <c r="R576" s="13">
        <v>3</v>
      </c>
      <c r="S576" s="13" t="s">
        <v>1453</v>
      </c>
      <c r="T576" s="13" t="s">
        <v>1454</v>
      </c>
      <c r="U576" s="13" t="s">
        <v>1406</v>
      </c>
      <c r="V576" s="13">
        <v>13</v>
      </c>
      <c r="W576" s="13" t="b">
        <v>1</v>
      </c>
      <c r="X576" s="13">
        <v>240806</v>
      </c>
      <c r="Y576" s="13" t="s">
        <v>1405</v>
      </c>
      <c r="Z576" s="13">
        <v>0</v>
      </c>
      <c r="AA576" s="13">
        <v>0</v>
      </c>
      <c r="AB576" s="13" t="s">
        <v>1405</v>
      </c>
      <c r="AC576" s="13" t="s">
        <v>1405</v>
      </c>
      <c r="AD576" s="13">
        <v>0</v>
      </c>
      <c r="AE576" s="13" t="s">
        <v>1405</v>
      </c>
      <c r="AF576" s="13" t="s">
        <v>1405</v>
      </c>
    </row>
    <row r="577" spans="1:32" x14ac:dyDescent="0.2">
      <c r="A577" s="3" t="s">
        <v>2433</v>
      </c>
      <c r="B577" s="14" t="s">
        <v>1497</v>
      </c>
      <c r="C577" s="6">
        <v>576</v>
      </c>
      <c r="D577" s="14">
        <v>225</v>
      </c>
      <c r="E577" s="14" t="s">
        <v>1457</v>
      </c>
      <c r="F577" s="15" t="s">
        <v>1445</v>
      </c>
      <c r="G577" s="14" t="s">
        <v>1458</v>
      </c>
      <c r="H577" s="14" t="s">
        <v>123</v>
      </c>
      <c r="I577" s="14" t="s">
        <v>1409</v>
      </c>
      <c r="J577" s="14" t="s">
        <v>1407</v>
      </c>
      <c r="K577" s="8" t="s">
        <v>1537</v>
      </c>
      <c r="L577" s="16" t="s">
        <v>1499</v>
      </c>
      <c r="M577" s="16" t="s">
        <v>1531</v>
      </c>
      <c r="N577" s="16" t="s">
        <v>1407</v>
      </c>
      <c r="O577" s="16" t="s">
        <v>1532</v>
      </c>
      <c r="P577" s="16" t="s">
        <v>1451</v>
      </c>
      <c r="Q577" s="16" t="s">
        <v>1399</v>
      </c>
      <c r="R577" s="16">
        <v>3</v>
      </c>
      <c r="S577" s="16" t="s">
        <v>1453</v>
      </c>
      <c r="T577" s="16" t="s">
        <v>1454</v>
      </c>
      <c r="U577" s="16" t="s">
        <v>1406</v>
      </c>
      <c r="V577" s="16">
        <v>13</v>
      </c>
      <c r="W577" s="16" t="b">
        <v>1</v>
      </c>
      <c r="X577" s="16">
        <v>240806</v>
      </c>
      <c r="Y577" s="16" t="s">
        <v>1405</v>
      </c>
      <c r="Z577" s="16">
        <v>0</v>
      </c>
      <c r="AA577" s="16">
        <v>0</v>
      </c>
      <c r="AB577" s="16" t="s">
        <v>1405</v>
      </c>
      <c r="AC577" s="16" t="s">
        <v>1405</v>
      </c>
      <c r="AD577" s="16">
        <v>0</v>
      </c>
      <c r="AE577" s="16" t="s">
        <v>1405</v>
      </c>
      <c r="AF577" s="16" t="s">
        <v>1405</v>
      </c>
    </row>
    <row r="578" spans="1:32" x14ac:dyDescent="0.2">
      <c r="A578" s="3" t="s">
        <v>2434</v>
      </c>
      <c r="B578" s="12" t="s">
        <v>1497</v>
      </c>
      <c r="C578" s="6">
        <v>577</v>
      </c>
      <c r="D578" s="12">
        <v>226</v>
      </c>
      <c r="E578" s="12" t="s">
        <v>1444</v>
      </c>
      <c r="F578" s="12" t="s">
        <v>1445</v>
      </c>
      <c r="G578" s="12" t="s">
        <v>1446</v>
      </c>
      <c r="H578" s="12" t="s">
        <v>72</v>
      </c>
      <c r="I578" s="12" t="s">
        <v>1414</v>
      </c>
      <c r="J578" s="12" t="s">
        <v>1407</v>
      </c>
      <c r="K578" s="8" t="s">
        <v>1538</v>
      </c>
      <c r="L578" s="13" t="s">
        <v>1499</v>
      </c>
      <c r="M578" s="13" t="s">
        <v>1531</v>
      </c>
      <c r="N578" s="13" t="s">
        <v>1407</v>
      </c>
      <c r="O578" s="13" t="s">
        <v>1532</v>
      </c>
      <c r="P578" s="13" t="s">
        <v>1451</v>
      </c>
      <c r="Q578" s="13" t="s">
        <v>1400</v>
      </c>
      <c r="R578" s="13">
        <v>4</v>
      </c>
      <c r="S578" s="13" t="s">
        <v>1453</v>
      </c>
      <c r="T578" s="13" t="s">
        <v>1454</v>
      </c>
      <c r="U578" s="13" t="s">
        <v>1406</v>
      </c>
      <c r="V578" s="13">
        <v>13</v>
      </c>
      <c r="W578" s="13" t="b">
        <v>1</v>
      </c>
      <c r="X578" s="13">
        <v>240806</v>
      </c>
      <c r="Y578" s="13" t="s">
        <v>1405</v>
      </c>
      <c r="Z578" s="13">
        <v>0</v>
      </c>
      <c r="AA578" s="13">
        <v>0</v>
      </c>
      <c r="AB578" s="13" t="s">
        <v>1405</v>
      </c>
      <c r="AC578" s="13" t="s">
        <v>1405</v>
      </c>
      <c r="AD578" s="13">
        <v>0</v>
      </c>
      <c r="AE578" s="13" t="s">
        <v>1405</v>
      </c>
      <c r="AF578" s="13" t="s">
        <v>1405</v>
      </c>
    </row>
    <row r="579" spans="1:32" x14ac:dyDescent="0.2">
      <c r="A579" s="3" t="s">
        <v>2435</v>
      </c>
      <c r="B579" s="14" t="s">
        <v>1497</v>
      </c>
      <c r="C579" s="6">
        <v>578</v>
      </c>
      <c r="D579" s="14">
        <v>226</v>
      </c>
      <c r="E579" s="14" t="s">
        <v>1457</v>
      </c>
      <c r="F579" s="15" t="s">
        <v>1445</v>
      </c>
      <c r="G579" s="14" t="s">
        <v>1458</v>
      </c>
      <c r="H579" s="14" t="s">
        <v>124</v>
      </c>
      <c r="I579" s="14" t="s">
        <v>1409</v>
      </c>
      <c r="J579" s="14" t="s">
        <v>1407</v>
      </c>
      <c r="K579" s="8" t="s">
        <v>1539</v>
      </c>
      <c r="L579" s="16" t="s">
        <v>1499</v>
      </c>
      <c r="M579" s="16" t="s">
        <v>1531</v>
      </c>
      <c r="N579" s="16" t="s">
        <v>1407</v>
      </c>
      <c r="O579" s="16" t="s">
        <v>1532</v>
      </c>
      <c r="P579" s="16" t="s">
        <v>1451</v>
      </c>
      <c r="Q579" s="16" t="s">
        <v>1400</v>
      </c>
      <c r="R579" s="16">
        <v>4</v>
      </c>
      <c r="S579" s="16" t="s">
        <v>1453</v>
      </c>
      <c r="T579" s="16" t="s">
        <v>1454</v>
      </c>
      <c r="U579" s="16" t="s">
        <v>1406</v>
      </c>
      <c r="V579" s="16">
        <v>13</v>
      </c>
      <c r="W579" s="16" t="b">
        <v>1</v>
      </c>
      <c r="X579" s="16">
        <v>240806</v>
      </c>
      <c r="Y579" s="16" t="s">
        <v>1405</v>
      </c>
      <c r="Z579" s="16">
        <v>0</v>
      </c>
      <c r="AA579" s="16">
        <v>0</v>
      </c>
      <c r="AB579" s="16" t="s">
        <v>1405</v>
      </c>
      <c r="AC579" s="16" t="s">
        <v>1405</v>
      </c>
      <c r="AD579" s="16">
        <v>0</v>
      </c>
      <c r="AE579" s="16" t="s">
        <v>1405</v>
      </c>
      <c r="AF579" s="16" t="s">
        <v>1405</v>
      </c>
    </row>
    <row r="580" spans="1:32" x14ac:dyDescent="0.2">
      <c r="A580" s="3" t="s">
        <v>2436</v>
      </c>
      <c r="B580" s="12" t="s">
        <v>1497</v>
      </c>
      <c r="C580" s="6">
        <v>579</v>
      </c>
      <c r="D580" s="12">
        <v>227</v>
      </c>
      <c r="E580" s="12" t="s">
        <v>1444</v>
      </c>
      <c r="F580" s="12" t="s">
        <v>1445</v>
      </c>
      <c r="G580" s="12" t="s">
        <v>1446</v>
      </c>
      <c r="H580" s="12" t="s">
        <v>73</v>
      </c>
      <c r="I580" s="12" t="s">
        <v>1414</v>
      </c>
      <c r="J580" s="12" t="s">
        <v>1407</v>
      </c>
      <c r="K580" s="8" t="s">
        <v>1540</v>
      </c>
      <c r="L580" s="13" t="s">
        <v>1499</v>
      </c>
      <c r="M580" s="13" t="s">
        <v>1531</v>
      </c>
      <c r="N580" s="13" t="s">
        <v>1407</v>
      </c>
      <c r="O580" s="13" t="s">
        <v>1532</v>
      </c>
      <c r="P580" s="13" t="s">
        <v>1451</v>
      </c>
      <c r="Q580" s="13" t="s">
        <v>1541</v>
      </c>
      <c r="R580" s="13">
        <v>5</v>
      </c>
      <c r="S580" s="13" t="s">
        <v>1453</v>
      </c>
      <c r="T580" s="13" t="s">
        <v>1454</v>
      </c>
      <c r="U580" s="13" t="s">
        <v>1406</v>
      </c>
      <c r="V580" s="13">
        <v>13</v>
      </c>
      <c r="W580" s="13" t="b">
        <v>1</v>
      </c>
      <c r="X580" s="13">
        <v>240806</v>
      </c>
      <c r="Y580" s="13" t="s">
        <v>1405</v>
      </c>
      <c r="Z580" s="13">
        <v>0</v>
      </c>
      <c r="AA580" s="13">
        <v>0</v>
      </c>
      <c r="AB580" s="13" t="s">
        <v>1405</v>
      </c>
      <c r="AC580" s="13" t="s">
        <v>1405</v>
      </c>
      <c r="AD580" s="13">
        <v>0</v>
      </c>
      <c r="AE580" s="13" t="s">
        <v>1405</v>
      </c>
      <c r="AF580" s="13" t="s">
        <v>1405</v>
      </c>
    </row>
    <row r="581" spans="1:32" x14ac:dyDescent="0.2">
      <c r="A581" s="3" t="s">
        <v>2437</v>
      </c>
      <c r="B581" s="14" t="s">
        <v>1497</v>
      </c>
      <c r="C581" s="6">
        <v>580</v>
      </c>
      <c r="D581" s="14">
        <v>227</v>
      </c>
      <c r="E581" s="14" t="s">
        <v>1457</v>
      </c>
      <c r="F581" s="15" t="s">
        <v>1445</v>
      </c>
      <c r="G581" s="14" t="s">
        <v>1458</v>
      </c>
      <c r="H581" s="14" t="s">
        <v>125</v>
      </c>
      <c r="I581" s="14" t="s">
        <v>1409</v>
      </c>
      <c r="J581" s="14" t="s">
        <v>1407</v>
      </c>
      <c r="K581" s="8" t="s">
        <v>1542</v>
      </c>
      <c r="L581" s="16" t="s">
        <v>1499</v>
      </c>
      <c r="M581" s="16" t="s">
        <v>1531</v>
      </c>
      <c r="N581" s="16" t="s">
        <v>1407</v>
      </c>
      <c r="O581" s="16" t="s">
        <v>1532</v>
      </c>
      <c r="P581" s="16" t="s">
        <v>1451</v>
      </c>
      <c r="Q581" s="16" t="s">
        <v>1541</v>
      </c>
      <c r="R581" s="16">
        <v>5</v>
      </c>
      <c r="S581" s="16" t="s">
        <v>1453</v>
      </c>
      <c r="T581" s="16" t="s">
        <v>1454</v>
      </c>
      <c r="U581" s="16" t="s">
        <v>1406</v>
      </c>
      <c r="V581" s="16">
        <v>13</v>
      </c>
      <c r="W581" s="16" t="b">
        <v>1</v>
      </c>
      <c r="X581" s="16">
        <v>240806</v>
      </c>
      <c r="Y581" s="16" t="s">
        <v>1405</v>
      </c>
      <c r="Z581" s="16">
        <v>0</v>
      </c>
      <c r="AA581" s="16">
        <v>0</v>
      </c>
      <c r="AB581" s="16" t="s">
        <v>1405</v>
      </c>
      <c r="AC581" s="16" t="s">
        <v>1405</v>
      </c>
      <c r="AD581" s="16">
        <v>0</v>
      </c>
      <c r="AE581" s="16" t="s">
        <v>1405</v>
      </c>
      <c r="AF581" s="16" t="s">
        <v>1405</v>
      </c>
    </row>
    <row r="582" spans="1:32" x14ac:dyDescent="0.2">
      <c r="A582" s="3" t="s">
        <v>2438</v>
      </c>
      <c r="B582" s="12" t="s">
        <v>1497</v>
      </c>
      <c r="C582" s="6">
        <v>581</v>
      </c>
      <c r="D582" s="12">
        <v>228</v>
      </c>
      <c r="E582" s="12" t="s">
        <v>1444</v>
      </c>
      <c r="F582" s="12" t="s">
        <v>1445</v>
      </c>
      <c r="G582" s="12" t="s">
        <v>1446</v>
      </c>
      <c r="H582" s="12" t="s">
        <v>74</v>
      </c>
      <c r="I582" s="12" t="s">
        <v>1414</v>
      </c>
      <c r="J582" s="12" t="s">
        <v>1407</v>
      </c>
      <c r="K582" s="8" t="s">
        <v>1543</v>
      </c>
      <c r="L582" s="13" t="s">
        <v>1511</v>
      </c>
      <c r="M582" s="13" t="s">
        <v>1544</v>
      </c>
      <c r="N582" s="13" t="s">
        <v>1407</v>
      </c>
      <c r="O582" s="13" t="s">
        <v>1532</v>
      </c>
      <c r="P582" s="13" t="s">
        <v>1451</v>
      </c>
      <c r="Q582" s="13" t="s">
        <v>1396</v>
      </c>
      <c r="R582" s="13">
        <v>1</v>
      </c>
      <c r="S582" s="13" t="s">
        <v>1453</v>
      </c>
      <c r="T582" s="13" t="s">
        <v>1454</v>
      </c>
      <c r="U582" s="13" t="s">
        <v>1406</v>
      </c>
      <c r="V582" s="13">
        <v>13</v>
      </c>
      <c r="W582" s="13" t="b">
        <v>1</v>
      </c>
      <c r="X582" s="13">
        <v>240806</v>
      </c>
      <c r="Y582" s="13" t="s">
        <v>1405</v>
      </c>
      <c r="Z582" s="13">
        <v>0</v>
      </c>
      <c r="AA582" s="13">
        <v>0</v>
      </c>
      <c r="AB582" s="13" t="s">
        <v>1405</v>
      </c>
      <c r="AC582" s="13" t="s">
        <v>1405</v>
      </c>
      <c r="AD582" s="13">
        <v>0</v>
      </c>
      <c r="AE582" s="13" t="s">
        <v>1405</v>
      </c>
      <c r="AF582" s="13" t="s">
        <v>1405</v>
      </c>
    </row>
    <row r="583" spans="1:32" x14ac:dyDescent="0.2">
      <c r="A583" s="3" t="s">
        <v>2439</v>
      </c>
      <c r="B583" s="14" t="s">
        <v>1497</v>
      </c>
      <c r="C583" s="6">
        <v>582</v>
      </c>
      <c r="D583" s="14">
        <v>228</v>
      </c>
      <c r="E583" s="14" t="s">
        <v>1457</v>
      </c>
      <c r="F583" s="15" t="s">
        <v>1445</v>
      </c>
      <c r="G583" s="14" t="s">
        <v>1458</v>
      </c>
      <c r="H583" s="14" t="s">
        <v>126</v>
      </c>
      <c r="I583" s="14" t="s">
        <v>1409</v>
      </c>
      <c r="J583" s="14" t="s">
        <v>1407</v>
      </c>
      <c r="K583" s="8" t="s">
        <v>1545</v>
      </c>
      <c r="L583" s="16" t="s">
        <v>1511</v>
      </c>
      <c r="M583" s="16" t="s">
        <v>1544</v>
      </c>
      <c r="N583" s="16" t="s">
        <v>1407</v>
      </c>
      <c r="O583" s="16" t="s">
        <v>1532</v>
      </c>
      <c r="P583" s="16" t="s">
        <v>1451</v>
      </c>
      <c r="Q583" s="16" t="s">
        <v>1396</v>
      </c>
      <c r="R583" s="16">
        <v>1</v>
      </c>
      <c r="S583" s="16" t="s">
        <v>1453</v>
      </c>
      <c r="T583" s="16" t="s">
        <v>1454</v>
      </c>
      <c r="U583" s="16" t="s">
        <v>1406</v>
      </c>
      <c r="V583" s="16">
        <v>13</v>
      </c>
      <c r="W583" s="16" t="b">
        <v>1</v>
      </c>
      <c r="X583" s="16">
        <v>240806</v>
      </c>
      <c r="Y583" s="16" t="s">
        <v>1405</v>
      </c>
      <c r="Z583" s="16">
        <v>0</v>
      </c>
      <c r="AA583" s="16">
        <v>0</v>
      </c>
      <c r="AB583" s="16" t="s">
        <v>1405</v>
      </c>
      <c r="AC583" s="16" t="s">
        <v>1405</v>
      </c>
      <c r="AD583" s="16">
        <v>0</v>
      </c>
      <c r="AE583" s="16" t="s">
        <v>1405</v>
      </c>
      <c r="AF583" s="16" t="s">
        <v>1405</v>
      </c>
    </row>
    <row r="584" spans="1:32" x14ac:dyDescent="0.2">
      <c r="A584" s="3" t="s">
        <v>2440</v>
      </c>
      <c r="B584" s="12" t="s">
        <v>1497</v>
      </c>
      <c r="C584" s="6">
        <v>583</v>
      </c>
      <c r="D584" s="12">
        <v>229</v>
      </c>
      <c r="E584" s="12" t="s">
        <v>1444</v>
      </c>
      <c r="F584" s="12" t="s">
        <v>1445</v>
      </c>
      <c r="G584" s="12" t="s">
        <v>1446</v>
      </c>
      <c r="H584" s="12" t="s">
        <v>75</v>
      </c>
      <c r="I584" s="12" t="s">
        <v>1414</v>
      </c>
      <c r="J584" s="12" t="s">
        <v>1407</v>
      </c>
      <c r="K584" s="8" t="s">
        <v>1546</v>
      </c>
      <c r="L584" s="13" t="s">
        <v>1511</v>
      </c>
      <c r="M584" s="13" t="s">
        <v>1544</v>
      </c>
      <c r="N584" s="13" t="s">
        <v>1407</v>
      </c>
      <c r="O584" s="13" t="s">
        <v>1532</v>
      </c>
      <c r="P584" s="13" t="s">
        <v>1451</v>
      </c>
      <c r="Q584" s="13" t="s">
        <v>1398</v>
      </c>
      <c r="R584" s="13">
        <v>2</v>
      </c>
      <c r="S584" s="13" t="s">
        <v>1453</v>
      </c>
      <c r="T584" s="13" t="s">
        <v>1454</v>
      </c>
      <c r="U584" s="13" t="s">
        <v>1406</v>
      </c>
      <c r="V584" s="13">
        <v>13</v>
      </c>
      <c r="W584" s="13" t="b">
        <v>1</v>
      </c>
      <c r="X584" s="13">
        <v>240806</v>
      </c>
      <c r="Y584" s="13" t="s">
        <v>1405</v>
      </c>
      <c r="Z584" s="13">
        <v>0</v>
      </c>
      <c r="AA584" s="13">
        <v>0</v>
      </c>
      <c r="AB584" s="13" t="s">
        <v>1405</v>
      </c>
      <c r="AC584" s="13" t="s">
        <v>1405</v>
      </c>
      <c r="AD584" s="13">
        <v>0</v>
      </c>
      <c r="AE584" s="13" t="s">
        <v>1405</v>
      </c>
      <c r="AF584" s="13" t="s">
        <v>1405</v>
      </c>
    </row>
    <row r="585" spans="1:32" x14ac:dyDescent="0.2">
      <c r="A585" s="3" t="s">
        <v>2441</v>
      </c>
      <c r="B585" s="14" t="s">
        <v>1497</v>
      </c>
      <c r="C585" s="6">
        <v>584</v>
      </c>
      <c r="D585" s="14">
        <v>229</v>
      </c>
      <c r="E585" s="14" t="s">
        <v>1457</v>
      </c>
      <c r="F585" s="15" t="s">
        <v>1445</v>
      </c>
      <c r="G585" s="14" t="s">
        <v>1458</v>
      </c>
      <c r="H585" s="14" t="s">
        <v>127</v>
      </c>
      <c r="I585" s="14" t="s">
        <v>1409</v>
      </c>
      <c r="J585" s="14" t="s">
        <v>1407</v>
      </c>
      <c r="K585" s="8" t="s">
        <v>1547</v>
      </c>
      <c r="L585" s="16" t="s">
        <v>1511</v>
      </c>
      <c r="M585" s="16" t="s">
        <v>1544</v>
      </c>
      <c r="N585" s="16" t="s">
        <v>1407</v>
      </c>
      <c r="O585" s="16" t="s">
        <v>1532</v>
      </c>
      <c r="P585" s="16" t="s">
        <v>1451</v>
      </c>
      <c r="Q585" s="16" t="s">
        <v>1398</v>
      </c>
      <c r="R585" s="16">
        <v>2</v>
      </c>
      <c r="S585" s="16" t="s">
        <v>1453</v>
      </c>
      <c r="T585" s="16" t="s">
        <v>1454</v>
      </c>
      <c r="U585" s="16" t="s">
        <v>1406</v>
      </c>
      <c r="V585" s="16">
        <v>13</v>
      </c>
      <c r="W585" s="16" t="b">
        <v>1</v>
      </c>
      <c r="X585" s="16">
        <v>240806</v>
      </c>
      <c r="Y585" s="16" t="s">
        <v>1405</v>
      </c>
      <c r="Z585" s="16">
        <v>0</v>
      </c>
      <c r="AA585" s="16">
        <v>0</v>
      </c>
      <c r="AB585" s="16" t="s">
        <v>1405</v>
      </c>
      <c r="AC585" s="16" t="s">
        <v>1405</v>
      </c>
      <c r="AD585" s="16">
        <v>0</v>
      </c>
      <c r="AE585" s="16" t="s">
        <v>1405</v>
      </c>
      <c r="AF585" s="16" t="s">
        <v>1405</v>
      </c>
    </row>
    <row r="586" spans="1:32" x14ac:dyDescent="0.2">
      <c r="A586" s="3" t="s">
        <v>2442</v>
      </c>
      <c r="B586" s="12" t="s">
        <v>1497</v>
      </c>
      <c r="C586" s="6">
        <v>585</v>
      </c>
      <c r="D586" s="12">
        <v>230</v>
      </c>
      <c r="E586" s="12" t="s">
        <v>1444</v>
      </c>
      <c r="F586" s="12" t="s">
        <v>1445</v>
      </c>
      <c r="G586" s="12" t="s">
        <v>1446</v>
      </c>
      <c r="H586" s="12" t="s">
        <v>76</v>
      </c>
      <c r="I586" s="12" t="s">
        <v>1414</v>
      </c>
      <c r="J586" s="12" t="s">
        <v>1407</v>
      </c>
      <c r="K586" s="8" t="s">
        <v>1548</v>
      </c>
      <c r="L586" s="13" t="s">
        <v>1511</v>
      </c>
      <c r="M586" s="13" t="s">
        <v>1544</v>
      </c>
      <c r="N586" s="13" t="s">
        <v>1407</v>
      </c>
      <c r="O586" s="13" t="s">
        <v>1532</v>
      </c>
      <c r="P586" s="13" t="s">
        <v>1451</v>
      </c>
      <c r="Q586" s="13" t="s">
        <v>1399</v>
      </c>
      <c r="R586" s="13">
        <v>3</v>
      </c>
      <c r="S586" s="13" t="s">
        <v>1453</v>
      </c>
      <c r="T586" s="13" t="s">
        <v>1454</v>
      </c>
      <c r="U586" s="13" t="s">
        <v>1406</v>
      </c>
      <c r="V586" s="13">
        <v>13</v>
      </c>
      <c r="W586" s="13" t="b">
        <v>1</v>
      </c>
      <c r="X586" s="13">
        <v>240806</v>
      </c>
      <c r="Y586" s="13" t="s">
        <v>1405</v>
      </c>
      <c r="Z586" s="13">
        <v>0</v>
      </c>
      <c r="AA586" s="13">
        <v>0</v>
      </c>
      <c r="AB586" s="13" t="s">
        <v>1405</v>
      </c>
      <c r="AC586" s="13" t="s">
        <v>1405</v>
      </c>
      <c r="AD586" s="13">
        <v>0</v>
      </c>
      <c r="AE586" s="13" t="s">
        <v>1405</v>
      </c>
      <c r="AF586" s="13" t="s">
        <v>1405</v>
      </c>
    </row>
    <row r="587" spans="1:32" x14ac:dyDescent="0.2">
      <c r="A587" s="3" t="s">
        <v>2443</v>
      </c>
      <c r="B587" s="14" t="s">
        <v>1497</v>
      </c>
      <c r="C587" s="6">
        <v>586</v>
      </c>
      <c r="D587" s="14">
        <v>230</v>
      </c>
      <c r="E587" s="14" t="s">
        <v>1457</v>
      </c>
      <c r="F587" s="15" t="s">
        <v>1445</v>
      </c>
      <c r="G587" s="14" t="s">
        <v>1458</v>
      </c>
      <c r="H587" s="14" t="s">
        <v>128</v>
      </c>
      <c r="I587" s="14" t="s">
        <v>1409</v>
      </c>
      <c r="J587" s="14" t="s">
        <v>1407</v>
      </c>
      <c r="K587" s="8" t="s">
        <v>1549</v>
      </c>
      <c r="L587" s="16" t="s">
        <v>1511</v>
      </c>
      <c r="M587" s="16" t="s">
        <v>1544</v>
      </c>
      <c r="N587" s="16" t="s">
        <v>1407</v>
      </c>
      <c r="O587" s="16" t="s">
        <v>1532</v>
      </c>
      <c r="P587" s="16" t="s">
        <v>1451</v>
      </c>
      <c r="Q587" s="16" t="s">
        <v>1399</v>
      </c>
      <c r="R587" s="16">
        <v>3</v>
      </c>
      <c r="S587" s="16" t="s">
        <v>1453</v>
      </c>
      <c r="T587" s="16" t="s">
        <v>1454</v>
      </c>
      <c r="U587" s="16" t="s">
        <v>1406</v>
      </c>
      <c r="V587" s="16">
        <v>13</v>
      </c>
      <c r="W587" s="16" t="b">
        <v>1</v>
      </c>
      <c r="X587" s="16">
        <v>240806</v>
      </c>
      <c r="Y587" s="16" t="s">
        <v>1405</v>
      </c>
      <c r="Z587" s="16">
        <v>0</v>
      </c>
      <c r="AA587" s="16">
        <v>0</v>
      </c>
      <c r="AB587" s="16" t="s">
        <v>1405</v>
      </c>
      <c r="AC587" s="16" t="s">
        <v>1405</v>
      </c>
      <c r="AD587" s="16">
        <v>0</v>
      </c>
      <c r="AE587" s="16" t="s">
        <v>1405</v>
      </c>
      <c r="AF587" s="16" t="s">
        <v>1405</v>
      </c>
    </row>
    <row r="588" spans="1:32" x14ac:dyDescent="0.2">
      <c r="A588" s="3" t="s">
        <v>2444</v>
      </c>
      <c r="B588" s="12" t="s">
        <v>1497</v>
      </c>
      <c r="C588" s="6">
        <v>587</v>
      </c>
      <c r="D588" s="12">
        <v>231</v>
      </c>
      <c r="E588" s="12" t="s">
        <v>1444</v>
      </c>
      <c r="F588" s="12" t="s">
        <v>1445</v>
      </c>
      <c r="G588" s="12" t="s">
        <v>1446</v>
      </c>
      <c r="H588" s="12" t="s">
        <v>77</v>
      </c>
      <c r="I588" s="12" t="s">
        <v>1414</v>
      </c>
      <c r="J588" s="12" t="s">
        <v>1407</v>
      </c>
      <c r="K588" s="8" t="s">
        <v>1550</v>
      </c>
      <c r="L588" s="13" t="s">
        <v>1511</v>
      </c>
      <c r="M588" s="13" t="s">
        <v>1544</v>
      </c>
      <c r="N588" s="13" t="s">
        <v>1407</v>
      </c>
      <c r="O588" s="13" t="s">
        <v>1532</v>
      </c>
      <c r="P588" s="13" t="s">
        <v>1451</v>
      </c>
      <c r="Q588" s="13" t="s">
        <v>1400</v>
      </c>
      <c r="R588" s="13">
        <v>4</v>
      </c>
      <c r="S588" s="13" t="s">
        <v>1453</v>
      </c>
      <c r="T588" s="13" t="s">
        <v>1454</v>
      </c>
      <c r="U588" s="13" t="s">
        <v>1406</v>
      </c>
      <c r="V588" s="13">
        <v>13</v>
      </c>
      <c r="W588" s="13" t="b">
        <v>1</v>
      </c>
      <c r="X588" s="13">
        <v>240806</v>
      </c>
      <c r="Y588" s="13" t="s">
        <v>1405</v>
      </c>
      <c r="Z588" s="13">
        <v>0</v>
      </c>
      <c r="AA588" s="13">
        <v>0</v>
      </c>
      <c r="AB588" s="13" t="s">
        <v>1405</v>
      </c>
      <c r="AC588" s="13" t="s">
        <v>1405</v>
      </c>
      <c r="AD588" s="13">
        <v>0</v>
      </c>
      <c r="AE588" s="13" t="s">
        <v>1405</v>
      </c>
      <c r="AF588" s="13" t="s">
        <v>1405</v>
      </c>
    </row>
    <row r="589" spans="1:32" x14ac:dyDescent="0.2">
      <c r="A589" s="3" t="s">
        <v>2445</v>
      </c>
      <c r="B589" s="14" t="s">
        <v>1497</v>
      </c>
      <c r="C589" s="6">
        <v>588</v>
      </c>
      <c r="D589" s="14">
        <v>231</v>
      </c>
      <c r="E589" s="14" t="s">
        <v>1457</v>
      </c>
      <c r="F589" s="15" t="s">
        <v>1445</v>
      </c>
      <c r="G589" s="14" t="s">
        <v>1458</v>
      </c>
      <c r="H589" s="14" t="s">
        <v>129</v>
      </c>
      <c r="I589" s="14" t="s">
        <v>1409</v>
      </c>
      <c r="J589" s="14" t="s">
        <v>1407</v>
      </c>
      <c r="K589" s="8" t="s">
        <v>1551</v>
      </c>
      <c r="L589" s="16" t="s">
        <v>1511</v>
      </c>
      <c r="M589" s="16" t="s">
        <v>1544</v>
      </c>
      <c r="N589" s="16" t="s">
        <v>1407</v>
      </c>
      <c r="O589" s="16" t="s">
        <v>1532</v>
      </c>
      <c r="P589" s="16" t="s">
        <v>1451</v>
      </c>
      <c r="Q589" s="16" t="s">
        <v>1400</v>
      </c>
      <c r="R589" s="16">
        <v>4</v>
      </c>
      <c r="S589" s="16" t="s">
        <v>1453</v>
      </c>
      <c r="T589" s="16" t="s">
        <v>1454</v>
      </c>
      <c r="U589" s="16" t="s">
        <v>1406</v>
      </c>
      <c r="V589" s="16">
        <v>13</v>
      </c>
      <c r="W589" s="16" t="b">
        <v>1</v>
      </c>
      <c r="X589" s="16">
        <v>240806</v>
      </c>
      <c r="Y589" s="16" t="s">
        <v>1405</v>
      </c>
      <c r="Z589" s="16">
        <v>0</v>
      </c>
      <c r="AA589" s="16">
        <v>0</v>
      </c>
      <c r="AB589" s="16" t="s">
        <v>1405</v>
      </c>
      <c r="AC589" s="16" t="s">
        <v>1405</v>
      </c>
      <c r="AD589" s="16">
        <v>0</v>
      </c>
      <c r="AE589" s="16" t="s">
        <v>1405</v>
      </c>
      <c r="AF589" s="16" t="s">
        <v>1405</v>
      </c>
    </row>
    <row r="590" spans="1:32" x14ac:dyDescent="0.2">
      <c r="A590" s="3" t="s">
        <v>2446</v>
      </c>
      <c r="B590" s="12" t="s">
        <v>1497</v>
      </c>
      <c r="C590" s="6">
        <v>589</v>
      </c>
      <c r="D590" s="12">
        <v>232</v>
      </c>
      <c r="E590" s="12" t="s">
        <v>1444</v>
      </c>
      <c r="F590" s="12" t="s">
        <v>1445</v>
      </c>
      <c r="G590" s="12" t="s">
        <v>1446</v>
      </c>
      <c r="H590" s="12" t="s">
        <v>79</v>
      </c>
      <c r="I590" s="12" t="s">
        <v>1414</v>
      </c>
      <c r="J590" s="12" t="s">
        <v>1407</v>
      </c>
      <c r="K590" s="8" t="s">
        <v>1552</v>
      </c>
      <c r="L590" s="13" t="s">
        <v>1511</v>
      </c>
      <c r="M590" s="13" t="s">
        <v>1544</v>
      </c>
      <c r="N590" s="13" t="s">
        <v>1407</v>
      </c>
      <c r="O590" s="13" t="s">
        <v>1532</v>
      </c>
      <c r="P590" s="13" t="s">
        <v>1451</v>
      </c>
      <c r="Q590" s="13" t="s">
        <v>1541</v>
      </c>
      <c r="R590" s="13">
        <v>5</v>
      </c>
      <c r="S590" s="13" t="s">
        <v>1453</v>
      </c>
      <c r="T590" s="13" t="s">
        <v>1454</v>
      </c>
      <c r="U590" s="13" t="s">
        <v>1406</v>
      </c>
      <c r="V590" s="13">
        <v>13</v>
      </c>
      <c r="W590" s="13" t="b">
        <v>1</v>
      </c>
      <c r="X590" s="13">
        <v>240806</v>
      </c>
      <c r="Y590" s="13" t="s">
        <v>1405</v>
      </c>
      <c r="Z590" s="13">
        <v>0</v>
      </c>
      <c r="AA590" s="13">
        <v>0</v>
      </c>
      <c r="AB590" s="13" t="s">
        <v>1405</v>
      </c>
      <c r="AC590" s="13" t="s">
        <v>1405</v>
      </c>
      <c r="AD590" s="13">
        <v>0</v>
      </c>
      <c r="AE590" s="13" t="s">
        <v>1405</v>
      </c>
      <c r="AF590" s="13" t="s">
        <v>1405</v>
      </c>
    </row>
    <row r="591" spans="1:32" x14ac:dyDescent="0.2">
      <c r="A591" s="3" t="s">
        <v>2447</v>
      </c>
      <c r="B591" s="14" t="s">
        <v>1497</v>
      </c>
      <c r="C591" s="6">
        <v>590</v>
      </c>
      <c r="D591" s="14">
        <v>232</v>
      </c>
      <c r="E591" s="14" t="s">
        <v>1457</v>
      </c>
      <c r="F591" s="15" t="s">
        <v>1445</v>
      </c>
      <c r="G591" s="14" t="s">
        <v>1458</v>
      </c>
      <c r="H591" s="14" t="s">
        <v>131</v>
      </c>
      <c r="I591" s="14" t="s">
        <v>1409</v>
      </c>
      <c r="J591" s="14" t="s">
        <v>1407</v>
      </c>
      <c r="K591" s="8" t="s">
        <v>1553</v>
      </c>
      <c r="L591" s="16" t="s">
        <v>1511</v>
      </c>
      <c r="M591" s="16" t="s">
        <v>1544</v>
      </c>
      <c r="N591" s="16" t="s">
        <v>1407</v>
      </c>
      <c r="O591" s="16" t="s">
        <v>1532</v>
      </c>
      <c r="P591" s="16" t="s">
        <v>1451</v>
      </c>
      <c r="Q591" s="16" t="s">
        <v>1541</v>
      </c>
      <c r="R591" s="16">
        <v>5</v>
      </c>
      <c r="S591" s="16" t="s">
        <v>1453</v>
      </c>
      <c r="T591" s="16" t="s">
        <v>1454</v>
      </c>
      <c r="U591" s="16" t="s">
        <v>1406</v>
      </c>
      <c r="V591" s="16">
        <v>13</v>
      </c>
      <c r="W591" s="16" t="b">
        <v>1</v>
      </c>
      <c r="X591" s="16">
        <v>240806</v>
      </c>
      <c r="Y591" s="16" t="s">
        <v>1405</v>
      </c>
      <c r="Z591" s="16">
        <v>0</v>
      </c>
      <c r="AA591" s="16">
        <v>0</v>
      </c>
      <c r="AB591" s="16" t="s">
        <v>1405</v>
      </c>
      <c r="AC591" s="16" t="s">
        <v>1405</v>
      </c>
      <c r="AD591" s="16">
        <v>0</v>
      </c>
      <c r="AE591" s="16" t="s">
        <v>1405</v>
      </c>
      <c r="AF591" s="16" t="s">
        <v>1405</v>
      </c>
    </row>
    <row r="592" spans="1:32" x14ac:dyDescent="0.2">
      <c r="A592" s="3" t="s">
        <v>2448</v>
      </c>
      <c r="B592" s="12" t="s">
        <v>1497</v>
      </c>
      <c r="C592" s="6">
        <v>591</v>
      </c>
      <c r="D592" s="12">
        <v>233</v>
      </c>
      <c r="E592" s="12" t="s">
        <v>1444</v>
      </c>
      <c r="F592" s="12" t="s">
        <v>1445</v>
      </c>
      <c r="G592" s="12" t="s">
        <v>1446</v>
      </c>
      <c r="H592" s="12" t="s">
        <v>80</v>
      </c>
      <c r="I592" s="12" t="s">
        <v>1414</v>
      </c>
      <c r="J592" s="12" t="s">
        <v>1407</v>
      </c>
      <c r="K592" s="8" t="s">
        <v>1554</v>
      </c>
      <c r="L592" s="13" t="s">
        <v>1521</v>
      </c>
      <c r="M592" s="13" t="s">
        <v>1555</v>
      </c>
      <c r="N592" s="13" t="s">
        <v>1407</v>
      </c>
      <c r="O592" s="13" t="s">
        <v>1532</v>
      </c>
      <c r="P592" s="13" t="s">
        <v>1451</v>
      </c>
      <c r="Q592" s="13" t="s">
        <v>1396</v>
      </c>
      <c r="R592" s="13">
        <v>1</v>
      </c>
      <c r="S592" s="13" t="s">
        <v>1453</v>
      </c>
      <c r="T592" s="13" t="s">
        <v>1454</v>
      </c>
      <c r="U592" s="13" t="s">
        <v>1406</v>
      </c>
      <c r="V592" s="13">
        <v>13</v>
      </c>
      <c r="W592" s="13" t="b">
        <v>1</v>
      </c>
      <c r="X592" s="13">
        <v>240806</v>
      </c>
      <c r="Y592" s="13" t="s">
        <v>1405</v>
      </c>
      <c r="Z592" s="13">
        <v>0</v>
      </c>
      <c r="AA592" s="13">
        <v>0</v>
      </c>
      <c r="AB592" s="13" t="s">
        <v>1405</v>
      </c>
      <c r="AC592" s="13" t="s">
        <v>1405</v>
      </c>
      <c r="AD592" s="13">
        <v>0</v>
      </c>
      <c r="AE592" s="13" t="s">
        <v>1405</v>
      </c>
      <c r="AF592" s="13" t="s">
        <v>1405</v>
      </c>
    </row>
    <row r="593" spans="1:32" x14ac:dyDescent="0.2">
      <c r="A593" s="3" t="s">
        <v>2449</v>
      </c>
      <c r="B593" s="14" t="s">
        <v>1497</v>
      </c>
      <c r="C593" s="6">
        <v>592</v>
      </c>
      <c r="D593" s="14">
        <v>233</v>
      </c>
      <c r="E593" s="14" t="s">
        <v>1457</v>
      </c>
      <c r="F593" s="15" t="s">
        <v>1445</v>
      </c>
      <c r="G593" s="14" t="s">
        <v>1458</v>
      </c>
      <c r="H593" s="14" t="s">
        <v>132</v>
      </c>
      <c r="I593" s="14" t="s">
        <v>1409</v>
      </c>
      <c r="J593" s="14" t="s">
        <v>1407</v>
      </c>
      <c r="K593" s="8" t="s">
        <v>1556</v>
      </c>
      <c r="L593" s="16" t="s">
        <v>1521</v>
      </c>
      <c r="M593" s="16" t="s">
        <v>1555</v>
      </c>
      <c r="N593" s="16" t="s">
        <v>1407</v>
      </c>
      <c r="O593" s="16" t="s">
        <v>1532</v>
      </c>
      <c r="P593" s="16" t="s">
        <v>1451</v>
      </c>
      <c r="Q593" s="16" t="s">
        <v>1396</v>
      </c>
      <c r="R593" s="16">
        <v>1</v>
      </c>
      <c r="S593" s="16" t="s">
        <v>1453</v>
      </c>
      <c r="T593" s="16" t="s">
        <v>1454</v>
      </c>
      <c r="U593" s="16" t="s">
        <v>1406</v>
      </c>
      <c r="V593" s="16">
        <v>13</v>
      </c>
      <c r="W593" s="16" t="b">
        <v>1</v>
      </c>
      <c r="X593" s="16">
        <v>240806</v>
      </c>
      <c r="Y593" s="16" t="s">
        <v>1405</v>
      </c>
      <c r="Z593" s="16">
        <v>0</v>
      </c>
      <c r="AA593" s="16">
        <v>0</v>
      </c>
      <c r="AB593" s="16" t="s">
        <v>1405</v>
      </c>
      <c r="AC593" s="16" t="s">
        <v>1405</v>
      </c>
      <c r="AD593" s="16">
        <v>0</v>
      </c>
      <c r="AE593" s="16" t="s">
        <v>1405</v>
      </c>
      <c r="AF593" s="16" t="s">
        <v>1405</v>
      </c>
    </row>
    <row r="594" spans="1:32" x14ac:dyDescent="0.2">
      <c r="A594" s="3" t="s">
        <v>2450</v>
      </c>
      <c r="B594" s="12" t="s">
        <v>1497</v>
      </c>
      <c r="C594" s="6">
        <v>593</v>
      </c>
      <c r="D594" s="12">
        <v>234</v>
      </c>
      <c r="E594" s="12" t="s">
        <v>1444</v>
      </c>
      <c r="F594" s="12" t="s">
        <v>1445</v>
      </c>
      <c r="G594" s="12" t="s">
        <v>1446</v>
      </c>
      <c r="H594" s="12" t="s">
        <v>81</v>
      </c>
      <c r="I594" s="12" t="s">
        <v>1414</v>
      </c>
      <c r="J594" s="12" t="s">
        <v>1407</v>
      </c>
      <c r="K594" s="8" t="s">
        <v>1557</v>
      </c>
      <c r="L594" s="13" t="s">
        <v>1521</v>
      </c>
      <c r="M594" s="13" t="s">
        <v>1555</v>
      </c>
      <c r="N594" s="13" t="s">
        <v>1407</v>
      </c>
      <c r="O594" s="13" t="s">
        <v>1532</v>
      </c>
      <c r="P594" s="13" t="s">
        <v>1451</v>
      </c>
      <c r="Q594" s="13" t="s">
        <v>1398</v>
      </c>
      <c r="R594" s="13">
        <v>2</v>
      </c>
      <c r="S594" s="13" t="s">
        <v>1453</v>
      </c>
      <c r="T594" s="13" t="s">
        <v>1454</v>
      </c>
      <c r="U594" s="13" t="s">
        <v>1406</v>
      </c>
      <c r="V594" s="13">
        <v>13</v>
      </c>
      <c r="W594" s="13" t="b">
        <v>1</v>
      </c>
      <c r="X594" s="13">
        <v>240806</v>
      </c>
      <c r="Y594" s="13" t="s">
        <v>1405</v>
      </c>
      <c r="Z594" s="13">
        <v>0</v>
      </c>
      <c r="AA594" s="13">
        <v>0</v>
      </c>
      <c r="AB594" s="13" t="s">
        <v>1405</v>
      </c>
      <c r="AC594" s="13" t="s">
        <v>1405</v>
      </c>
      <c r="AD594" s="13">
        <v>0</v>
      </c>
      <c r="AE594" s="13" t="s">
        <v>1405</v>
      </c>
      <c r="AF594" s="13" t="s">
        <v>1405</v>
      </c>
    </row>
    <row r="595" spans="1:32" x14ac:dyDescent="0.2">
      <c r="A595" s="3" t="s">
        <v>2451</v>
      </c>
      <c r="B595" s="14" t="s">
        <v>1497</v>
      </c>
      <c r="C595" s="6">
        <v>594</v>
      </c>
      <c r="D595" s="14">
        <v>234</v>
      </c>
      <c r="E595" s="14" t="s">
        <v>1457</v>
      </c>
      <c r="F595" s="15" t="s">
        <v>1445</v>
      </c>
      <c r="G595" s="14" t="s">
        <v>1458</v>
      </c>
      <c r="H595" s="14" t="s">
        <v>133</v>
      </c>
      <c r="I595" s="14" t="s">
        <v>1409</v>
      </c>
      <c r="J595" s="14" t="s">
        <v>1407</v>
      </c>
      <c r="K595" s="8" t="s">
        <v>1558</v>
      </c>
      <c r="L595" s="16" t="s">
        <v>1521</v>
      </c>
      <c r="M595" s="16" t="s">
        <v>1555</v>
      </c>
      <c r="N595" s="16" t="s">
        <v>1407</v>
      </c>
      <c r="O595" s="16" t="s">
        <v>1532</v>
      </c>
      <c r="P595" s="16" t="s">
        <v>1451</v>
      </c>
      <c r="Q595" s="16" t="s">
        <v>1398</v>
      </c>
      <c r="R595" s="16">
        <v>2</v>
      </c>
      <c r="S595" s="16" t="s">
        <v>1453</v>
      </c>
      <c r="T595" s="16" t="s">
        <v>1454</v>
      </c>
      <c r="U595" s="16" t="s">
        <v>1406</v>
      </c>
      <c r="V595" s="16">
        <v>13</v>
      </c>
      <c r="W595" s="16" t="b">
        <v>1</v>
      </c>
      <c r="X595" s="16">
        <v>240806</v>
      </c>
      <c r="Y595" s="16" t="s">
        <v>1405</v>
      </c>
      <c r="Z595" s="16">
        <v>0</v>
      </c>
      <c r="AA595" s="16">
        <v>0</v>
      </c>
      <c r="AB595" s="16" t="s">
        <v>1405</v>
      </c>
      <c r="AC595" s="16" t="s">
        <v>1405</v>
      </c>
      <c r="AD595" s="16">
        <v>0</v>
      </c>
      <c r="AE595" s="16" t="s">
        <v>1405</v>
      </c>
      <c r="AF595" s="16" t="s">
        <v>1405</v>
      </c>
    </row>
    <row r="596" spans="1:32" x14ac:dyDescent="0.2">
      <c r="A596" s="3" t="s">
        <v>2452</v>
      </c>
      <c r="B596" s="12" t="s">
        <v>1497</v>
      </c>
      <c r="C596" s="6">
        <v>595</v>
      </c>
      <c r="D596" s="12">
        <v>235</v>
      </c>
      <c r="E596" s="12" t="s">
        <v>1444</v>
      </c>
      <c r="F596" s="12" t="s">
        <v>1445</v>
      </c>
      <c r="G596" s="12" t="s">
        <v>1446</v>
      </c>
      <c r="H596" s="12" t="s">
        <v>82</v>
      </c>
      <c r="I596" s="12" t="s">
        <v>1414</v>
      </c>
      <c r="J596" s="12" t="s">
        <v>1407</v>
      </c>
      <c r="K596" s="8" t="s">
        <v>1559</v>
      </c>
      <c r="L596" s="13" t="s">
        <v>1521</v>
      </c>
      <c r="M596" s="13" t="s">
        <v>1555</v>
      </c>
      <c r="N596" s="13" t="s">
        <v>1407</v>
      </c>
      <c r="O596" s="13" t="s">
        <v>1532</v>
      </c>
      <c r="P596" s="13" t="s">
        <v>1451</v>
      </c>
      <c r="Q596" s="13" t="s">
        <v>1399</v>
      </c>
      <c r="R596" s="13">
        <v>3</v>
      </c>
      <c r="S596" s="13" t="s">
        <v>1453</v>
      </c>
      <c r="T596" s="13" t="s">
        <v>1454</v>
      </c>
      <c r="U596" s="13" t="s">
        <v>1406</v>
      </c>
      <c r="V596" s="13">
        <v>13</v>
      </c>
      <c r="W596" s="13" t="b">
        <v>1</v>
      </c>
      <c r="X596" s="13">
        <v>240806</v>
      </c>
      <c r="Y596" s="13" t="s">
        <v>1405</v>
      </c>
      <c r="Z596" s="13">
        <v>0</v>
      </c>
      <c r="AA596" s="13">
        <v>0</v>
      </c>
      <c r="AB596" s="13" t="s">
        <v>1405</v>
      </c>
      <c r="AC596" s="13" t="s">
        <v>1405</v>
      </c>
      <c r="AD596" s="13">
        <v>0</v>
      </c>
      <c r="AE596" s="13" t="s">
        <v>1405</v>
      </c>
      <c r="AF596" s="13" t="s">
        <v>1405</v>
      </c>
    </row>
    <row r="597" spans="1:32" x14ac:dyDescent="0.2">
      <c r="A597" s="3" t="s">
        <v>2453</v>
      </c>
      <c r="B597" s="14" t="s">
        <v>1497</v>
      </c>
      <c r="C597" s="6">
        <v>596</v>
      </c>
      <c r="D597" s="14">
        <v>235</v>
      </c>
      <c r="E597" s="14" t="s">
        <v>1457</v>
      </c>
      <c r="F597" s="15" t="s">
        <v>1445</v>
      </c>
      <c r="G597" s="14" t="s">
        <v>1458</v>
      </c>
      <c r="H597" s="14" t="s">
        <v>134</v>
      </c>
      <c r="I597" s="14" t="s">
        <v>1409</v>
      </c>
      <c r="J597" s="14" t="s">
        <v>1407</v>
      </c>
      <c r="K597" s="8" t="s">
        <v>1560</v>
      </c>
      <c r="L597" s="16" t="s">
        <v>1521</v>
      </c>
      <c r="M597" s="16" t="s">
        <v>1555</v>
      </c>
      <c r="N597" s="16" t="s">
        <v>1407</v>
      </c>
      <c r="O597" s="16" t="s">
        <v>1532</v>
      </c>
      <c r="P597" s="16" t="s">
        <v>1451</v>
      </c>
      <c r="Q597" s="16" t="s">
        <v>1399</v>
      </c>
      <c r="R597" s="16">
        <v>3</v>
      </c>
      <c r="S597" s="16" t="s">
        <v>1453</v>
      </c>
      <c r="T597" s="16" t="s">
        <v>1454</v>
      </c>
      <c r="U597" s="16" t="s">
        <v>1406</v>
      </c>
      <c r="V597" s="16">
        <v>13</v>
      </c>
      <c r="W597" s="16" t="b">
        <v>1</v>
      </c>
      <c r="X597" s="16">
        <v>240806</v>
      </c>
      <c r="Y597" s="16" t="s">
        <v>1405</v>
      </c>
      <c r="Z597" s="16">
        <v>0</v>
      </c>
      <c r="AA597" s="16">
        <v>0</v>
      </c>
      <c r="AB597" s="16" t="s">
        <v>1405</v>
      </c>
      <c r="AC597" s="16" t="s">
        <v>1405</v>
      </c>
      <c r="AD597" s="16">
        <v>0</v>
      </c>
      <c r="AE597" s="16" t="s">
        <v>1405</v>
      </c>
      <c r="AF597" s="16" t="s">
        <v>1405</v>
      </c>
    </row>
    <row r="598" spans="1:32" x14ac:dyDescent="0.2">
      <c r="A598" s="3" t="s">
        <v>2454</v>
      </c>
      <c r="B598" s="12" t="s">
        <v>1497</v>
      </c>
      <c r="C598" s="6">
        <v>597</v>
      </c>
      <c r="D598" s="12">
        <v>236</v>
      </c>
      <c r="E598" s="12" t="s">
        <v>1444</v>
      </c>
      <c r="F598" s="12" t="s">
        <v>1445</v>
      </c>
      <c r="G598" s="12" t="s">
        <v>1446</v>
      </c>
      <c r="H598" s="12" t="s">
        <v>83</v>
      </c>
      <c r="I598" s="12" t="s">
        <v>1414</v>
      </c>
      <c r="J598" s="12" t="s">
        <v>1407</v>
      </c>
      <c r="K598" s="8" t="s">
        <v>1561</v>
      </c>
      <c r="L598" s="13" t="s">
        <v>1521</v>
      </c>
      <c r="M598" s="13" t="s">
        <v>1555</v>
      </c>
      <c r="N598" s="13" t="s">
        <v>1407</v>
      </c>
      <c r="O598" s="13" t="s">
        <v>1532</v>
      </c>
      <c r="P598" s="13" t="s">
        <v>1451</v>
      </c>
      <c r="Q598" s="13" t="s">
        <v>1400</v>
      </c>
      <c r="R598" s="13">
        <v>4</v>
      </c>
      <c r="S598" s="13" t="s">
        <v>1453</v>
      </c>
      <c r="T598" s="13" t="s">
        <v>1454</v>
      </c>
      <c r="U598" s="13" t="s">
        <v>1406</v>
      </c>
      <c r="V598" s="13">
        <v>13</v>
      </c>
      <c r="W598" s="13" t="b">
        <v>1</v>
      </c>
      <c r="X598" s="13">
        <v>240806</v>
      </c>
      <c r="Y598" s="13" t="s">
        <v>1405</v>
      </c>
      <c r="Z598" s="13">
        <v>0</v>
      </c>
      <c r="AA598" s="13">
        <v>0</v>
      </c>
      <c r="AB598" s="13" t="s">
        <v>1405</v>
      </c>
      <c r="AC598" s="13" t="s">
        <v>1405</v>
      </c>
      <c r="AD598" s="13">
        <v>0</v>
      </c>
      <c r="AE598" s="13" t="s">
        <v>1405</v>
      </c>
      <c r="AF598" s="13" t="s">
        <v>1405</v>
      </c>
    </row>
    <row r="599" spans="1:32" x14ac:dyDescent="0.2">
      <c r="A599" s="3" t="s">
        <v>2455</v>
      </c>
      <c r="B599" s="14" t="s">
        <v>1497</v>
      </c>
      <c r="C599" s="6">
        <v>598</v>
      </c>
      <c r="D599" s="14">
        <v>236</v>
      </c>
      <c r="E599" s="14" t="s">
        <v>1457</v>
      </c>
      <c r="F599" s="15" t="s">
        <v>1445</v>
      </c>
      <c r="G599" s="14" t="s">
        <v>1458</v>
      </c>
      <c r="H599" s="14" t="s">
        <v>135</v>
      </c>
      <c r="I599" s="14" t="s">
        <v>1409</v>
      </c>
      <c r="J599" s="14" t="s">
        <v>1407</v>
      </c>
      <c r="K599" s="8" t="s">
        <v>1562</v>
      </c>
      <c r="L599" s="16" t="s">
        <v>1521</v>
      </c>
      <c r="M599" s="16" t="s">
        <v>1555</v>
      </c>
      <c r="N599" s="16" t="s">
        <v>1407</v>
      </c>
      <c r="O599" s="16" t="s">
        <v>1532</v>
      </c>
      <c r="P599" s="16" t="s">
        <v>1451</v>
      </c>
      <c r="Q599" s="16" t="s">
        <v>1400</v>
      </c>
      <c r="R599" s="16">
        <v>4</v>
      </c>
      <c r="S599" s="16" t="s">
        <v>1453</v>
      </c>
      <c r="T599" s="16" t="s">
        <v>1454</v>
      </c>
      <c r="U599" s="16" t="s">
        <v>1406</v>
      </c>
      <c r="V599" s="16">
        <v>13</v>
      </c>
      <c r="W599" s="16" t="b">
        <v>1</v>
      </c>
      <c r="X599" s="16">
        <v>240806</v>
      </c>
      <c r="Y599" s="16" t="s">
        <v>1405</v>
      </c>
      <c r="Z599" s="16">
        <v>0</v>
      </c>
      <c r="AA599" s="16">
        <v>0</v>
      </c>
      <c r="AB599" s="16" t="s">
        <v>1405</v>
      </c>
      <c r="AC599" s="16" t="s">
        <v>1405</v>
      </c>
      <c r="AD599" s="16">
        <v>0</v>
      </c>
      <c r="AE599" s="16" t="s">
        <v>1405</v>
      </c>
      <c r="AF599" s="16" t="s">
        <v>1405</v>
      </c>
    </row>
    <row r="600" spans="1:32" x14ac:dyDescent="0.2">
      <c r="A600" s="3" t="s">
        <v>2456</v>
      </c>
      <c r="B600" s="12" t="s">
        <v>1497</v>
      </c>
      <c r="C600" s="6">
        <v>599</v>
      </c>
      <c r="D600" s="12">
        <v>237</v>
      </c>
      <c r="E600" s="12" t="s">
        <v>1444</v>
      </c>
      <c r="F600" s="12" t="s">
        <v>1445</v>
      </c>
      <c r="G600" s="12" t="s">
        <v>1446</v>
      </c>
      <c r="H600" s="12" t="s">
        <v>85</v>
      </c>
      <c r="I600" s="12" t="s">
        <v>1414</v>
      </c>
      <c r="J600" s="12" t="s">
        <v>1407</v>
      </c>
      <c r="K600" s="8" t="s">
        <v>1566</v>
      </c>
      <c r="L600" s="13" t="s">
        <v>1521</v>
      </c>
      <c r="M600" s="13" t="s">
        <v>1564</v>
      </c>
      <c r="N600" s="13" t="s">
        <v>1407</v>
      </c>
      <c r="O600" s="13" t="s">
        <v>1532</v>
      </c>
      <c r="P600" s="13" t="s">
        <v>1451</v>
      </c>
      <c r="Q600" s="13" t="s">
        <v>1398</v>
      </c>
      <c r="R600" s="13">
        <v>7</v>
      </c>
      <c r="S600" s="13" t="s">
        <v>1453</v>
      </c>
      <c r="T600" s="13" t="s">
        <v>1454</v>
      </c>
      <c r="U600" s="13" t="s">
        <v>1406</v>
      </c>
      <c r="V600" s="13">
        <v>13</v>
      </c>
      <c r="W600" s="13" t="b">
        <v>1</v>
      </c>
      <c r="X600" s="13">
        <v>240806</v>
      </c>
      <c r="Y600" s="13" t="s">
        <v>1405</v>
      </c>
      <c r="Z600" s="13">
        <v>0</v>
      </c>
      <c r="AA600" s="13">
        <v>0</v>
      </c>
      <c r="AB600" s="13" t="s">
        <v>1405</v>
      </c>
      <c r="AC600" s="13" t="s">
        <v>1405</v>
      </c>
      <c r="AD600" s="13">
        <v>0</v>
      </c>
      <c r="AE600" s="13" t="s">
        <v>1405</v>
      </c>
      <c r="AF600" s="13" t="s">
        <v>1405</v>
      </c>
    </row>
    <row r="601" spans="1:32" x14ac:dyDescent="0.2">
      <c r="A601" s="3" t="s">
        <v>2457</v>
      </c>
      <c r="B601" s="14" t="s">
        <v>1497</v>
      </c>
      <c r="C601" s="6">
        <v>600</v>
      </c>
      <c r="D601" s="14">
        <v>237</v>
      </c>
      <c r="E601" s="14" t="s">
        <v>1457</v>
      </c>
      <c r="F601" s="15" t="s">
        <v>1445</v>
      </c>
      <c r="G601" s="14" t="s">
        <v>1458</v>
      </c>
      <c r="H601" s="14" t="s">
        <v>137</v>
      </c>
      <c r="I601" s="14" t="s">
        <v>1409</v>
      </c>
      <c r="J601" s="14" t="s">
        <v>1407</v>
      </c>
      <c r="K601" s="8" t="s">
        <v>1567</v>
      </c>
      <c r="L601" s="16" t="s">
        <v>1521</v>
      </c>
      <c r="M601" s="16" t="s">
        <v>1564</v>
      </c>
      <c r="N601" s="16" t="s">
        <v>1407</v>
      </c>
      <c r="O601" s="16" t="s">
        <v>1532</v>
      </c>
      <c r="P601" s="16" t="s">
        <v>1451</v>
      </c>
      <c r="Q601" s="16" t="s">
        <v>1398</v>
      </c>
      <c r="R601" s="16">
        <v>7</v>
      </c>
      <c r="S601" s="16" t="s">
        <v>1453</v>
      </c>
      <c r="T601" s="16" t="s">
        <v>1454</v>
      </c>
      <c r="U601" s="16" t="s">
        <v>1406</v>
      </c>
      <c r="V601" s="16">
        <v>13</v>
      </c>
      <c r="W601" s="16" t="b">
        <v>1</v>
      </c>
      <c r="X601" s="16">
        <v>240806</v>
      </c>
      <c r="Y601" s="16" t="s">
        <v>1405</v>
      </c>
      <c r="Z601" s="16">
        <v>0</v>
      </c>
      <c r="AA601" s="16">
        <v>0</v>
      </c>
      <c r="AB601" s="16" t="s">
        <v>1405</v>
      </c>
      <c r="AC601" s="16" t="s">
        <v>1405</v>
      </c>
      <c r="AD601" s="16">
        <v>0</v>
      </c>
      <c r="AE601" s="16" t="s">
        <v>1405</v>
      </c>
      <c r="AF601" s="16" t="s">
        <v>1405</v>
      </c>
    </row>
    <row r="602" spans="1:32" x14ac:dyDescent="0.2">
      <c r="A602" s="3" t="s">
        <v>2458</v>
      </c>
      <c r="B602" s="12" t="s">
        <v>1497</v>
      </c>
      <c r="C602" s="6">
        <v>601</v>
      </c>
      <c r="D602" s="12">
        <v>238</v>
      </c>
      <c r="E602" s="12" t="s">
        <v>1444</v>
      </c>
      <c r="F602" s="12" t="s">
        <v>1445</v>
      </c>
      <c r="G602" s="12" t="s">
        <v>1446</v>
      </c>
      <c r="H602" s="12" t="s">
        <v>86</v>
      </c>
      <c r="I602" s="12" t="s">
        <v>1414</v>
      </c>
      <c r="J602" s="12" t="s">
        <v>1407</v>
      </c>
      <c r="K602" s="8" t="s">
        <v>1568</v>
      </c>
      <c r="L602" s="13" t="s">
        <v>1521</v>
      </c>
      <c r="M602" s="13" t="s">
        <v>1564</v>
      </c>
      <c r="N602" s="13" t="s">
        <v>1407</v>
      </c>
      <c r="O602" s="13" t="s">
        <v>1532</v>
      </c>
      <c r="P602" s="13" t="s">
        <v>1451</v>
      </c>
      <c r="Q602" s="13" t="s">
        <v>1399</v>
      </c>
      <c r="R602" s="13">
        <v>8</v>
      </c>
      <c r="S602" s="13" t="s">
        <v>1453</v>
      </c>
      <c r="T602" s="13" t="s">
        <v>1454</v>
      </c>
      <c r="U602" s="13" t="s">
        <v>1406</v>
      </c>
      <c r="V602" s="13">
        <v>13</v>
      </c>
      <c r="W602" s="13" t="b">
        <v>1</v>
      </c>
      <c r="X602" s="13">
        <v>240806</v>
      </c>
      <c r="Y602" s="13" t="s">
        <v>1405</v>
      </c>
      <c r="Z602" s="13">
        <v>0</v>
      </c>
      <c r="AA602" s="13">
        <v>0</v>
      </c>
      <c r="AB602" s="13" t="s">
        <v>1405</v>
      </c>
      <c r="AC602" s="13" t="s">
        <v>1405</v>
      </c>
      <c r="AD602" s="13">
        <v>0</v>
      </c>
      <c r="AE602" s="13" t="s">
        <v>1405</v>
      </c>
      <c r="AF602" s="13" t="s">
        <v>1405</v>
      </c>
    </row>
    <row r="603" spans="1:32" x14ac:dyDescent="0.2">
      <c r="A603" s="3" t="s">
        <v>2459</v>
      </c>
      <c r="B603" s="14" t="s">
        <v>1497</v>
      </c>
      <c r="C603" s="6">
        <v>602</v>
      </c>
      <c r="D603" s="14">
        <v>238</v>
      </c>
      <c r="E603" s="14" t="s">
        <v>1457</v>
      </c>
      <c r="F603" s="15" t="s">
        <v>1445</v>
      </c>
      <c r="G603" s="14" t="s">
        <v>1458</v>
      </c>
      <c r="H603" s="14" t="s">
        <v>138</v>
      </c>
      <c r="I603" s="14" t="s">
        <v>1409</v>
      </c>
      <c r="J603" s="14" t="s">
        <v>1407</v>
      </c>
      <c r="K603" s="8" t="s">
        <v>1569</v>
      </c>
      <c r="L603" s="16" t="s">
        <v>1521</v>
      </c>
      <c r="M603" s="16" t="s">
        <v>1564</v>
      </c>
      <c r="N603" s="16" t="s">
        <v>1407</v>
      </c>
      <c r="O603" s="16" t="s">
        <v>1532</v>
      </c>
      <c r="P603" s="16" t="s">
        <v>1451</v>
      </c>
      <c r="Q603" s="16" t="s">
        <v>1399</v>
      </c>
      <c r="R603" s="16">
        <v>8</v>
      </c>
      <c r="S603" s="16" t="s">
        <v>1453</v>
      </c>
      <c r="T603" s="16" t="s">
        <v>1454</v>
      </c>
      <c r="U603" s="16" t="s">
        <v>1406</v>
      </c>
      <c r="V603" s="16">
        <v>13</v>
      </c>
      <c r="W603" s="16" t="b">
        <v>1</v>
      </c>
      <c r="X603" s="16">
        <v>240806</v>
      </c>
      <c r="Y603" s="16" t="s">
        <v>1405</v>
      </c>
      <c r="Z603" s="16">
        <v>0</v>
      </c>
      <c r="AA603" s="16">
        <v>0</v>
      </c>
      <c r="AB603" s="16" t="s">
        <v>1405</v>
      </c>
      <c r="AC603" s="16" t="s">
        <v>1405</v>
      </c>
      <c r="AD603" s="16">
        <v>0</v>
      </c>
      <c r="AE603" s="16" t="s">
        <v>1405</v>
      </c>
      <c r="AF603" s="16" t="s">
        <v>1405</v>
      </c>
    </row>
    <row r="604" spans="1:32" x14ac:dyDescent="0.2">
      <c r="A604" s="3" t="s">
        <v>2460</v>
      </c>
      <c r="B604" s="12" t="s">
        <v>1497</v>
      </c>
      <c r="C604" s="6">
        <v>603</v>
      </c>
      <c r="D604" s="12">
        <v>239</v>
      </c>
      <c r="E604" s="12" t="s">
        <v>1444</v>
      </c>
      <c r="F604" s="12" t="s">
        <v>1445</v>
      </c>
      <c r="G604" s="12" t="s">
        <v>1446</v>
      </c>
      <c r="H604" s="12" t="s">
        <v>87</v>
      </c>
      <c r="I604" s="12" t="s">
        <v>1414</v>
      </c>
      <c r="J604" s="12" t="s">
        <v>1407</v>
      </c>
      <c r="K604" s="8" t="s">
        <v>1570</v>
      </c>
      <c r="L604" s="13" t="s">
        <v>1521</v>
      </c>
      <c r="M604" s="13" t="s">
        <v>1564</v>
      </c>
      <c r="N604" s="13" t="s">
        <v>1407</v>
      </c>
      <c r="O604" s="13" t="s">
        <v>1532</v>
      </c>
      <c r="P604" s="13" t="s">
        <v>1451</v>
      </c>
      <c r="Q604" s="13" t="s">
        <v>1400</v>
      </c>
      <c r="R604" s="13">
        <v>9</v>
      </c>
      <c r="S604" s="13" t="s">
        <v>1453</v>
      </c>
      <c r="T604" s="13" t="s">
        <v>1454</v>
      </c>
      <c r="U604" s="13" t="s">
        <v>1406</v>
      </c>
      <c r="V604" s="13">
        <v>13</v>
      </c>
      <c r="W604" s="13" t="b">
        <v>1</v>
      </c>
      <c r="X604" s="13">
        <v>240806</v>
      </c>
      <c r="Y604" s="13" t="s">
        <v>1405</v>
      </c>
      <c r="Z604" s="13">
        <v>0</v>
      </c>
      <c r="AA604" s="13">
        <v>0</v>
      </c>
      <c r="AB604" s="13" t="s">
        <v>1405</v>
      </c>
      <c r="AC604" s="13" t="s">
        <v>1405</v>
      </c>
      <c r="AD604" s="13">
        <v>0</v>
      </c>
      <c r="AE604" s="13" t="s">
        <v>1405</v>
      </c>
      <c r="AF604" s="13" t="s">
        <v>1405</v>
      </c>
    </row>
    <row r="605" spans="1:32" x14ac:dyDescent="0.2">
      <c r="A605" s="3" t="s">
        <v>2461</v>
      </c>
      <c r="B605" s="14" t="s">
        <v>1497</v>
      </c>
      <c r="C605" s="6">
        <v>604</v>
      </c>
      <c r="D605" s="14">
        <v>239</v>
      </c>
      <c r="E605" s="14" t="s">
        <v>1457</v>
      </c>
      <c r="F605" s="15" t="s">
        <v>1445</v>
      </c>
      <c r="G605" s="14" t="s">
        <v>1458</v>
      </c>
      <c r="H605" s="14" t="s">
        <v>139</v>
      </c>
      <c r="I605" s="14" t="s">
        <v>1409</v>
      </c>
      <c r="J605" s="14" t="s">
        <v>1407</v>
      </c>
      <c r="K605" s="8" t="s">
        <v>1571</v>
      </c>
      <c r="L605" s="16" t="s">
        <v>1521</v>
      </c>
      <c r="M605" s="16" t="s">
        <v>1564</v>
      </c>
      <c r="N605" s="16" t="s">
        <v>1407</v>
      </c>
      <c r="O605" s="16" t="s">
        <v>1532</v>
      </c>
      <c r="P605" s="16" t="s">
        <v>1451</v>
      </c>
      <c r="Q605" s="16" t="s">
        <v>1400</v>
      </c>
      <c r="R605" s="16">
        <v>9</v>
      </c>
      <c r="S605" s="16" t="s">
        <v>1453</v>
      </c>
      <c r="T605" s="16" t="s">
        <v>1454</v>
      </c>
      <c r="U605" s="16" t="s">
        <v>1406</v>
      </c>
      <c r="V605" s="16">
        <v>13</v>
      </c>
      <c r="W605" s="16" t="b">
        <v>1</v>
      </c>
      <c r="X605" s="16">
        <v>240806</v>
      </c>
      <c r="Y605" s="16" t="s">
        <v>1405</v>
      </c>
      <c r="Z605" s="16">
        <v>0</v>
      </c>
      <c r="AA605" s="16">
        <v>0</v>
      </c>
      <c r="AB605" s="16" t="s">
        <v>1405</v>
      </c>
      <c r="AC605" s="16" t="s">
        <v>1405</v>
      </c>
      <c r="AD605" s="16">
        <v>0</v>
      </c>
      <c r="AE605" s="16" t="s">
        <v>1405</v>
      </c>
      <c r="AF605" s="16" t="s">
        <v>1405</v>
      </c>
    </row>
    <row r="606" spans="1:32" x14ac:dyDescent="0.2">
      <c r="A606" s="3" t="s">
        <v>2462</v>
      </c>
      <c r="B606" s="12" t="s">
        <v>1497</v>
      </c>
      <c r="C606" s="6">
        <v>605</v>
      </c>
      <c r="D606" s="12">
        <v>240</v>
      </c>
      <c r="E606" s="12" t="s">
        <v>1444</v>
      </c>
      <c r="F606" s="12" t="s">
        <v>1445</v>
      </c>
      <c r="G606" s="12" t="s">
        <v>1446</v>
      </c>
      <c r="H606" s="12" t="s">
        <v>88</v>
      </c>
      <c r="I606" s="12" t="s">
        <v>1414</v>
      </c>
      <c r="J606" s="12" t="s">
        <v>1407</v>
      </c>
      <c r="K606" s="8" t="s">
        <v>1572</v>
      </c>
      <c r="L606" s="13" t="s">
        <v>1521</v>
      </c>
      <c r="M606" s="13" t="s">
        <v>1564</v>
      </c>
      <c r="N606" s="13" t="s">
        <v>1407</v>
      </c>
      <c r="O606" s="13" t="s">
        <v>1532</v>
      </c>
      <c r="P606" s="13" t="s">
        <v>1451</v>
      </c>
      <c r="Q606" s="13" t="s">
        <v>1541</v>
      </c>
      <c r="R606" s="13">
        <v>10</v>
      </c>
      <c r="S606" s="13" t="s">
        <v>1453</v>
      </c>
      <c r="T606" s="13" t="s">
        <v>1454</v>
      </c>
      <c r="U606" s="13" t="s">
        <v>1406</v>
      </c>
      <c r="V606" s="13">
        <v>13</v>
      </c>
      <c r="W606" s="13" t="b">
        <v>1</v>
      </c>
      <c r="X606" s="13">
        <v>240806</v>
      </c>
      <c r="Y606" s="13" t="s">
        <v>1405</v>
      </c>
      <c r="Z606" s="13">
        <v>0</v>
      </c>
      <c r="AA606" s="13">
        <v>0</v>
      </c>
      <c r="AB606" s="13" t="s">
        <v>1405</v>
      </c>
      <c r="AC606" s="13" t="s">
        <v>1405</v>
      </c>
      <c r="AD606" s="13">
        <v>0</v>
      </c>
      <c r="AE606" s="13" t="s">
        <v>1405</v>
      </c>
      <c r="AF606" s="13" t="s">
        <v>1405</v>
      </c>
    </row>
    <row r="607" spans="1:32" x14ac:dyDescent="0.2">
      <c r="A607" s="3" t="s">
        <v>2463</v>
      </c>
      <c r="B607" s="14" t="s">
        <v>1497</v>
      </c>
      <c r="C607" s="6">
        <v>606</v>
      </c>
      <c r="D607" s="14">
        <v>240</v>
      </c>
      <c r="E607" s="14" t="s">
        <v>1457</v>
      </c>
      <c r="F607" s="15" t="s">
        <v>1445</v>
      </c>
      <c r="G607" s="14" t="s">
        <v>1458</v>
      </c>
      <c r="H607" s="14" t="s">
        <v>140</v>
      </c>
      <c r="I607" s="14" t="s">
        <v>1409</v>
      </c>
      <c r="J607" s="14" t="s">
        <v>1407</v>
      </c>
      <c r="K607" s="8" t="s">
        <v>1573</v>
      </c>
      <c r="L607" s="16" t="s">
        <v>1521</v>
      </c>
      <c r="M607" s="16" t="s">
        <v>1564</v>
      </c>
      <c r="N607" s="16" t="s">
        <v>1407</v>
      </c>
      <c r="O607" s="16" t="s">
        <v>1532</v>
      </c>
      <c r="P607" s="16" t="s">
        <v>1451</v>
      </c>
      <c r="Q607" s="16" t="s">
        <v>1541</v>
      </c>
      <c r="R607" s="16">
        <v>10</v>
      </c>
      <c r="S607" s="16" t="s">
        <v>1453</v>
      </c>
      <c r="T607" s="16" t="s">
        <v>1454</v>
      </c>
      <c r="U607" s="16" t="s">
        <v>1406</v>
      </c>
      <c r="V607" s="16">
        <v>13</v>
      </c>
      <c r="W607" s="16" t="b">
        <v>1</v>
      </c>
      <c r="X607" s="16">
        <v>240806</v>
      </c>
      <c r="Y607" s="16" t="s">
        <v>1405</v>
      </c>
      <c r="Z607" s="16">
        <v>0</v>
      </c>
      <c r="AA607" s="16">
        <v>0</v>
      </c>
      <c r="AB607" s="16" t="s">
        <v>1405</v>
      </c>
      <c r="AC607" s="16" t="s">
        <v>1405</v>
      </c>
      <c r="AD607" s="16">
        <v>0</v>
      </c>
      <c r="AE607" s="16" t="s">
        <v>1405</v>
      </c>
      <c r="AF607" s="16" t="s">
        <v>1405</v>
      </c>
    </row>
    <row r="608" spans="1:32" x14ac:dyDescent="0.2">
      <c r="A608" s="3" t="s">
        <v>2464</v>
      </c>
      <c r="B608" s="12" t="s">
        <v>1497</v>
      </c>
      <c r="C608" s="6">
        <v>607</v>
      </c>
      <c r="D608" s="12">
        <v>241</v>
      </c>
      <c r="E608" s="12" t="s">
        <v>1444</v>
      </c>
      <c r="F608" s="12" t="s">
        <v>1445</v>
      </c>
      <c r="G608" s="12" t="s">
        <v>1446</v>
      </c>
      <c r="H608" s="12" t="s">
        <v>89</v>
      </c>
      <c r="I608" s="12" t="s">
        <v>1414</v>
      </c>
      <c r="J608" s="12" t="s">
        <v>1407</v>
      </c>
      <c r="K608" s="8" t="s">
        <v>1574</v>
      </c>
      <c r="L608" s="13" t="s">
        <v>1521</v>
      </c>
      <c r="M608" s="13" t="s">
        <v>1575</v>
      </c>
      <c r="N608" s="13" t="s">
        <v>1407</v>
      </c>
      <c r="O608" s="13" t="s">
        <v>1532</v>
      </c>
      <c r="P608" s="13" t="s">
        <v>1451</v>
      </c>
      <c r="Q608" s="13" t="s">
        <v>1396</v>
      </c>
      <c r="R608" s="13">
        <v>11</v>
      </c>
      <c r="S608" s="13" t="s">
        <v>1453</v>
      </c>
      <c r="T608" s="13" t="s">
        <v>1454</v>
      </c>
      <c r="U608" s="13" t="s">
        <v>1406</v>
      </c>
      <c r="V608" s="13">
        <v>13</v>
      </c>
      <c r="W608" s="13" t="b">
        <v>1</v>
      </c>
      <c r="X608" s="13">
        <v>240806</v>
      </c>
      <c r="Y608" s="13" t="s">
        <v>1405</v>
      </c>
      <c r="Z608" s="13">
        <v>0</v>
      </c>
      <c r="AA608" s="13">
        <v>0</v>
      </c>
      <c r="AB608" s="13" t="s">
        <v>1405</v>
      </c>
      <c r="AC608" s="13" t="s">
        <v>1405</v>
      </c>
      <c r="AD608" s="13">
        <v>0</v>
      </c>
      <c r="AE608" s="13" t="s">
        <v>1405</v>
      </c>
      <c r="AF608" s="13" t="s">
        <v>1405</v>
      </c>
    </row>
    <row r="609" spans="1:32" x14ac:dyDescent="0.2">
      <c r="A609" s="3" t="s">
        <v>2465</v>
      </c>
      <c r="B609" s="14" t="s">
        <v>1497</v>
      </c>
      <c r="C609" s="6">
        <v>608</v>
      </c>
      <c r="D609" s="14">
        <v>241</v>
      </c>
      <c r="E609" s="14" t="s">
        <v>1457</v>
      </c>
      <c r="F609" s="15" t="s">
        <v>1445</v>
      </c>
      <c r="G609" s="14" t="s">
        <v>1458</v>
      </c>
      <c r="H609" s="14" t="s">
        <v>141</v>
      </c>
      <c r="I609" s="14" t="s">
        <v>1409</v>
      </c>
      <c r="J609" s="14" t="s">
        <v>1407</v>
      </c>
      <c r="K609" s="8" t="s">
        <v>1576</v>
      </c>
      <c r="L609" s="16" t="s">
        <v>1521</v>
      </c>
      <c r="M609" s="16" t="s">
        <v>1575</v>
      </c>
      <c r="N609" s="16" t="s">
        <v>1407</v>
      </c>
      <c r="O609" s="16" t="s">
        <v>1532</v>
      </c>
      <c r="P609" s="16" t="s">
        <v>1451</v>
      </c>
      <c r="Q609" s="16" t="s">
        <v>1396</v>
      </c>
      <c r="R609" s="16">
        <v>11</v>
      </c>
      <c r="S609" s="16" t="s">
        <v>1453</v>
      </c>
      <c r="T609" s="16" t="s">
        <v>1454</v>
      </c>
      <c r="U609" s="16" t="s">
        <v>1406</v>
      </c>
      <c r="V609" s="16">
        <v>13</v>
      </c>
      <c r="W609" s="16" t="b">
        <v>1</v>
      </c>
      <c r="X609" s="16">
        <v>240806</v>
      </c>
      <c r="Y609" s="16" t="s">
        <v>1405</v>
      </c>
      <c r="Z609" s="16">
        <v>0</v>
      </c>
      <c r="AA609" s="16">
        <v>0</v>
      </c>
      <c r="AB609" s="16" t="s">
        <v>1405</v>
      </c>
      <c r="AC609" s="16" t="s">
        <v>1405</v>
      </c>
      <c r="AD609" s="16">
        <v>0</v>
      </c>
      <c r="AE609" s="16" t="s">
        <v>1405</v>
      </c>
      <c r="AF609" s="16" t="s">
        <v>1405</v>
      </c>
    </row>
    <row r="610" spans="1:32" x14ac:dyDescent="0.2">
      <c r="A610" s="3" t="s">
        <v>2466</v>
      </c>
      <c r="B610" s="12" t="s">
        <v>1497</v>
      </c>
      <c r="C610" s="6">
        <v>609</v>
      </c>
      <c r="D610" s="12">
        <v>242</v>
      </c>
      <c r="E610" s="12" t="s">
        <v>1444</v>
      </c>
      <c r="F610" s="12" t="s">
        <v>1445</v>
      </c>
      <c r="G610" s="12" t="s">
        <v>1446</v>
      </c>
      <c r="H610" s="12" t="s">
        <v>90</v>
      </c>
      <c r="I610" s="12" t="s">
        <v>1414</v>
      </c>
      <c r="J610" s="12" t="s">
        <v>1407</v>
      </c>
      <c r="K610" s="8" t="s">
        <v>1577</v>
      </c>
      <c r="L610" s="13" t="s">
        <v>1521</v>
      </c>
      <c r="M610" s="13" t="s">
        <v>1575</v>
      </c>
      <c r="N610" s="13" t="s">
        <v>1407</v>
      </c>
      <c r="O610" s="13" t="s">
        <v>1532</v>
      </c>
      <c r="P610" s="13" t="s">
        <v>1451</v>
      </c>
      <c r="Q610" s="13" t="s">
        <v>1398</v>
      </c>
      <c r="R610" s="13">
        <v>12</v>
      </c>
      <c r="S610" s="13" t="s">
        <v>1453</v>
      </c>
      <c r="T610" s="13" t="s">
        <v>1454</v>
      </c>
      <c r="U610" s="13" t="s">
        <v>1406</v>
      </c>
      <c r="V610" s="13">
        <v>13</v>
      </c>
      <c r="W610" s="13" t="b">
        <v>1</v>
      </c>
      <c r="X610" s="13">
        <v>240806</v>
      </c>
      <c r="Y610" s="13" t="s">
        <v>1405</v>
      </c>
      <c r="Z610" s="13">
        <v>0</v>
      </c>
      <c r="AA610" s="13">
        <v>0</v>
      </c>
      <c r="AB610" s="13" t="s">
        <v>1405</v>
      </c>
      <c r="AC610" s="13" t="s">
        <v>1405</v>
      </c>
      <c r="AD610" s="13">
        <v>0</v>
      </c>
      <c r="AE610" s="13" t="s">
        <v>1405</v>
      </c>
      <c r="AF610" s="13" t="s">
        <v>1405</v>
      </c>
    </row>
    <row r="611" spans="1:32" x14ac:dyDescent="0.2">
      <c r="A611" s="3" t="s">
        <v>2467</v>
      </c>
      <c r="B611" s="14" t="s">
        <v>1497</v>
      </c>
      <c r="C611" s="6">
        <v>610</v>
      </c>
      <c r="D611" s="14">
        <v>242</v>
      </c>
      <c r="E611" s="14" t="s">
        <v>1457</v>
      </c>
      <c r="F611" s="15" t="s">
        <v>1445</v>
      </c>
      <c r="G611" s="14" t="s">
        <v>1458</v>
      </c>
      <c r="H611" s="14" t="s">
        <v>22</v>
      </c>
      <c r="I611" s="14" t="s">
        <v>1410</v>
      </c>
      <c r="J611" s="14" t="s">
        <v>1407</v>
      </c>
      <c r="K611" s="8" t="s">
        <v>1578</v>
      </c>
      <c r="L611" s="16" t="s">
        <v>1521</v>
      </c>
      <c r="M611" s="16" t="s">
        <v>1575</v>
      </c>
      <c r="N611" s="16" t="s">
        <v>1407</v>
      </c>
      <c r="O611" s="16" t="s">
        <v>1532</v>
      </c>
      <c r="P611" s="16" t="s">
        <v>1451</v>
      </c>
      <c r="Q611" s="16" t="s">
        <v>1398</v>
      </c>
      <c r="R611" s="16">
        <v>12</v>
      </c>
      <c r="S611" s="16" t="s">
        <v>1453</v>
      </c>
      <c r="T611" s="16" t="s">
        <v>1454</v>
      </c>
      <c r="U611" s="16" t="s">
        <v>1406</v>
      </c>
      <c r="V611" s="16">
        <v>13</v>
      </c>
      <c r="W611" s="16" t="b">
        <v>1</v>
      </c>
      <c r="X611" s="16">
        <v>240806</v>
      </c>
      <c r="Y611" s="16" t="s">
        <v>1405</v>
      </c>
      <c r="Z611" s="16">
        <v>0</v>
      </c>
      <c r="AA611" s="16">
        <v>0</v>
      </c>
      <c r="AB611" s="16" t="s">
        <v>1405</v>
      </c>
      <c r="AC611" s="16" t="s">
        <v>1405</v>
      </c>
      <c r="AD611" s="16">
        <v>0</v>
      </c>
      <c r="AE611" s="16" t="s">
        <v>1405</v>
      </c>
      <c r="AF611" s="16" t="s">
        <v>1405</v>
      </c>
    </row>
    <row r="612" spans="1:32" x14ac:dyDescent="0.2">
      <c r="A612" s="3" t="s">
        <v>2468</v>
      </c>
      <c r="B612" s="12" t="s">
        <v>1497</v>
      </c>
      <c r="C612" s="6">
        <v>611</v>
      </c>
      <c r="D612" s="12">
        <v>243</v>
      </c>
      <c r="E612" s="12" t="s">
        <v>1444</v>
      </c>
      <c r="F612" s="12" t="s">
        <v>1445</v>
      </c>
      <c r="G612" s="12" t="s">
        <v>1446</v>
      </c>
      <c r="H612" s="12" t="s">
        <v>92</v>
      </c>
      <c r="I612" s="12" t="s">
        <v>1414</v>
      </c>
      <c r="J612" s="12" t="s">
        <v>1407</v>
      </c>
      <c r="K612" s="8" t="s">
        <v>1579</v>
      </c>
      <c r="L612" s="13" t="s">
        <v>1499</v>
      </c>
      <c r="M612" s="13" t="s">
        <v>1580</v>
      </c>
      <c r="N612" s="13" t="s">
        <v>1407</v>
      </c>
      <c r="O612" s="13" t="s">
        <v>1581</v>
      </c>
      <c r="P612" s="13" t="s">
        <v>1451</v>
      </c>
      <c r="Q612" s="13" t="s">
        <v>1396</v>
      </c>
      <c r="R612" s="13">
        <v>1</v>
      </c>
      <c r="S612" s="13" t="s">
        <v>1453</v>
      </c>
      <c r="T612" s="13" t="s">
        <v>1454</v>
      </c>
      <c r="U612" s="13" t="s">
        <v>1406</v>
      </c>
      <c r="V612" s="13">
        <v>13</v>
      </c>
      <c r="W612" s="13" t="b">
        <v>1</v>
      </c>
      <c r="X612" s="13">
        <v>240806</v>
      </c>
      <c r="Y612" s="13" t="s">
        <v>1405</v>
      </c>
      <c r="Z612" s="13">
        <v>0</v>
      </c>
      <c r="AA612" s="13">
        <v>0</v>
      </c>
      <c r="AB612" s="13" t="s">
        <v>1405</v>
      </c>
      <c r="AC612" s="13" t="s">
        <v>1405</v>
      </c>
      <c r="AD612" s="13">
        <v>0</v>
      </c>
      <c r="AE612" s="13" t="s">
        <v>1405</v>
      </c>
      <c r="AF612" s="13" t="s">
        <v>1405</v>
      </c>
    </row>
    <row r="613" spans="1:32" x14ac:dyDescent="0.2">
      <c r="A613" s="3" t="s">
        <v>2469</v>
      </c>
      <c r="B613" s="14" t="s">
        <v>1497</v>
      </c>
      <c r="C613" s="6">
        <v>612</v>
      </c>
      <c r="D613" s="14">
        <v>243</v>
      </c>
      <c r="E613" s="14" t="s">
        <v>1457</v>
      </c>
      <c r="F613" s="15" t="s">
        <v>1445</v>
      </c>
      <c r="G613" s="14" t="s">
        <v>1458</v>
      </c>
      <c r="H613" s="14" t="s">
        <v>30</v>
      </c>
      <c r="I613" s="14" t="s">
        <v>1410</v>
      </c>
      <c r="J613" s="14" t="s">
        <v>1407</v>
      </c>
      <c r="K613" s="8" t="s">
        <v>1582</v>
      </c>
      <c r="L613" s="16" t="s">
        <v>1499</v>
      </c>
      <c r="M613" s="16" t="s">
        <v>1580</v>
      </c>
      <c r="N613" s="16" t="s">
        <v>1407</v>
      </c>
      <c r="O613" s="16" t="s">
        <v>1581</v>
      </c>
      <c r="P613" s="16" t="s">
        <v>1451</v>
      </c>
      <c r="Q613" s="16" t="s">
        <v>1396</v>
      </c>
      <c r="R613" s="16">
        <v>1</v>
      </c>
      <c r="S613" s="16" t="s">
        <v>1453</v>
      </c>
      <c r="T613" s="16" t="s">
        <v>1454</v>
      </c>
      <c r="U613" s="16" t="s">
        <v>1406</v>
      </c>
      <c r="V613" s="16">
        <v>13</v>
      </c>
      <c r="W613" s="16" t="b">
        <v>1</v>
      </c>
      <c r="X613" s="16">
        <v>240806</v>
      </c>
      <c r="Y613" s="16" t="s">
        <v>1405</v>
      </c>
      <c r="Z613" s="16">
        <v>0</v>
      </c>
      <c r="AA613" s="16">
        <v>0</v>
      </c>
      <c r="AB613" s="16" t="s">
        <v>1405</v>
      </c>
      <c r="AC613" s="16" t="s">
        <v>1405</v>
      </c>
      <c r="AD613" s="16">
        <v>0</v>
      </c>
      <c r="AE613" s="16" t="s">
        <v>1405</v>
      </c>
      <c r="AF613" s="16" t="s">
        <v>1405</v>
      </c>
    </row>
    <row r="614" spans="1:32" x14ac:dyDescent="0.2">
      <c r="A614" s="3" t="s">
        <v>2470</v>
      </c>
      <c r="B614" s="12" t="s">
        <v>1497</v>
      </c>
      <c r="C614" s="6">
        <v>613</v>
      </c>
      <c r="D614" s="12">
        <v>244</v>
      </c>
      <c r="E614" s="12" t="s">
        <v>1444</v>
      </c>
      <c r="F614" s="12" t="s">
        <v>1445</v>
      </c>
      <c r="G614" s="12" t="s">
        <v>1446</v>
      </c>
      <c r="H614" s="12" t="s">
        <v>93</v>
      </c>
      <c r="I614" s="12" t="s">
        <v>1414</v>
      </c>
      <c r="J614" s="12" t="s">
        <v>1407</v>
      </c>
      <c r="K614" s="8" t="s">
        <v>1583</v>
      </c>
      <c r="L614" s="13" t="s">
        <v>1499</v>
      </c>
      <c r="M614" s="13" t="s">
        <v>1580</v>
      </c>
      <c r="N614" s="13" t="s">
        <v>1407</v>
      </c>
      <c r="O614" s="13" t="s">
        <v>1581</v>
      </c>
      <c r="P614" s="13" t="s">
        <v>1451</v>
      </c>
      <c r="Q614" s="13" t="s">
        <v>1398</v>
      </c>
      <c r="R614" s="13">
        <v>2</v>
      </c>
      <c r="S614" s="13" t="s">
        <v>1453</v>
      </c>
      <c r="T614" s="13" t="s">
        <v>1454</v>
      </c>
      <c r="U614" s="13" t="s">
        <v>1406</v>
      </c>
      <c r="V614" s="13">
        <v>13</v>
      </c>
      <c r="W614" s="13" t="b">
        <v>1</v>
      </c>
      <c r="X614" s="13">
        <v>240806</v>
      </c>
      <c r="Y614" s="13" t="s">
        <v>1405</v>
      </c>
      <c r="Z614" s="13">
        <v>0</v>
      </c>
      <c r="AA614" s="13">
        <v>0</v>
      </c>
      <c r="AB614" s="13" t="s">
        <v>1405</v>
      </c>
      <c r="AC614" s="13" t="s">
        <v>1405</v>
      </c>
      <c r="AD614" s="13">
        <v>0</v>
      </c>
      <c r="AE614" s="13" t="s">
        <v>1405</v>
      </c>
      <c r="AF614" s="13" t="s">
        <v>1405</v>
      </c>
    </row>
    <row r="615" spans="1:32" x14ac:dyDescent="0.2">
      <c r="A615" s="3" t="s">
        <v>2471</v>
      </c>
      <c r="B615" s="14" t="s">
        <v>1497</v>
      </c>
      <c r="C615" s="6">
        <v>614</v>
      </c>
      <c r="D615" s="14">
        <v>244</v>
      </c>
      <c r="E615" s="14" t="s">
        <v>1457</v>
      </c>
      <c r="F615" s="15" t="s">
        <v>1445</v>
      </c>
      <c r="G615" s="14" t="s">
        <v>1458</v>
      </c>
      <c r="H615" s="14" t="s">
        <v>32</v>
      </c>
      <c r="I615" s="14" t="s">
        <v>1410</v>
      </c>
      <c r="J615" s="14" t="s">
        <v>1407</v>
      </c>
      <c r="K615" s="8" t="s">
        <v>1584</v>
      </c>
      <c r="L615" s="16" t="s">
        <v>1499</v>
      </c>
      <c r="M615" s="16" t="s">
        <v>1580</v>
      </c>
      <c r="N615" s="16" t="s">
        <v>1407</v>
      </c>
      <c r="O615" s="16" t="s">
        <v>1581</v>
      </c>
      <c r="P615" s="16" t="s">
        <v>1451</v>
      </c>
      <c r="Q615" s="16" t="s">
        <v>1398</v>
      </c>
      <c r="R615" s="16">
        <v>2</v>
      </c>
      <c r="S615" s="16" t="s">
        <v>1453</v>
      </c>
      <c r="T615" s="16" t="s">
        <v>1454</v>
      </c>
      <c r="U615" s="16" t="s">
        <v>1406</v>
      </c>
      <c r="V615" s="16">
        <v>13</v>
      </c>
      <c r="W615" s="16" t="b">
        <v>1</v>
      </c>
      <c r="X615" s="16">
        <v>240806</v>
      </c>
      <c r="Y615" s="16" t="s">
        <v>1405</v>
      </c>
      <c r="Z615" s="16">
        <v>0</v>
      </c>
      <c r="AA615" s="16">
        <v>0</v>
      </c>
      <c r="AB615" s="16" t="s">
        <v>1405</v>
      </c>
      <c r="AC615" s="16" t="s">
        <v>1405</v>
      </c>
      <c r="AD615" s="16">
        <v>0</v>
      </c>
      <c r="AE615" s="16" t="s">
        <v>1405</v>
      </c>
      <c r="AF615" s="16" t="s">
        <v>1405</v>
      </c>
    </row>
    <row r="616" spans="1:32" x14ac:dyDescent="0.2">
      <c r="A616" s="3" t="s">
        <v>2472</v>
      </c>
      <c r="B616" s="12" t="s">
        <v>1497</v>
      </c>
      <c r="C616" s="6">
        <v>615</v>
      </c>
      <c r="D616" s="12">
        <v>245</v>
      </c>
      <c r="E616" s="12" t="s">
        <v>1444</v>
      </c>
      <c r="F616" s="12" t="s">
        <v>1445</v>
      </c>
      <c r="G616" s="12" t="s">
        <v>1446</v>
      </c>
      <c r="H616" s="12" t="s">
        <v>94</v>
      </c>
      <c r="I616" s="12" t="s">
        <v>1414</v>
      </c>
      <c r="J616" s="12" t="s">
        <v>1407</v>
      </c>
      <c r="K616" s="8" t="s">
        <v>1585</v>
      </c>
      <c r="L616" s="13" t="s">
        <v>1499</v>
      </c>
      <c r="M616" s="13" t="s">
        <v>1580</v>
      </c>
      <c r="N616" s="13" t="s">
        <v>1407</v>
      </c>
      <c r="O616" s="13" t="s">
        <v>1581</v>
      </c>
      <c r="P616" s="13" t="s">
        <v>1451</v>
      </c>
      <c r="Q616" s="13" t="s">
        <v>1399</v>
      </c>
      <c r="R616" s="13">
        <v>3</v>
      </c>
      <c r="S616" s="13" t="s">
        <v>1453</v>
      </c>
      <c r="T616" s="13" t="s">
        <v>1454</v>
      </c>
      <c r="U616" s="13" t="s">
        <v>1406</v>
      </c>
      <c r="V616" s="13">
        <v>13</v>
      </c>
      <c r="W616" s="13" t="b">
        <v>1</v>
      </c>
      <c r="X616" s="13">
        <v>240806</v>
      </c>
      <c r="Y616" s="13" t="s">
        <v>1405</v>
      </c>
      <c r="Z616" s="13">
        <v>0</v>
      </c>
      <c r="AA616" s="13">
        <v>0</v>
      </c>
      <c r="AB616" s="13" t="s">
        <v>1405</v>
      </c>
      <c r="AC616" s="13" t="s">
        <v>1405</v>
      </c>
      <c r="AD616" s="13">
        <v>0</v>
      </c>
      <c r="AE616" s="13" t="s">
        <v>1405</v>
      </c>
      <c r="AF616" s="13" t="s">
        <v>1405</v>
      </c>
    </row>
    <row r="617" spans="1:32" x14ac:dyDescent="0.2">
      <c r="A617" s="3" t="s">
        <v>2473</v>
      </c>
      <c r="B617" s="14" t="s">
        <v>1497</v>
      </c>
      <c r="C617" s="6">
        <v>616</v>
      </c>
      <c r="D617" s="14">
        <v>245</v>
      </c>
      <c r="E617" s="14" t="s">
        <v>1457</v>
      </c>
      <c r="F617" s="15" t="s">
        <v>1445</v>
      </c>
      <c r="G617" s="14" t="s">
        <v>1458</v>
      </c>
      <c r="H617" s="14" t="s">
        <v>34</v>
      </c>
      <c r="I617" s="14" t="s">
        <v>1410</v>
      </c>
      <c r="J617" s="14" t="s">
        <v>1407</v>
      </c>
      <c r="K617" s="8" t="s">
        <v>1586</v>
      </c>
      <c r="L617" s="16" t="s">
        <v>1499</v>
      </c>
      <c r="M617" s="16" t="s">
        <v>1580</v>
      </c>
      <c r="N617" s="16" t="s">
        <v>1407</v>
      </c>
      <c r="O617" s="16" t="s">
        <v>1581</v>
      </c>
      <c r="P617" s="16" t="s">
        <v>1451</v>
      </c>
      <c r="Q617" s="16" t="s">
        <v>1399</v>
      </c>
      <c r="R617" s="16">
        <v>3</v>
      </c>
      <c r="S617" s="16" t="s">
        <v>1453</v>
      </c>
      <c r="T617" s="16" t="s">
        <v>1454</v>
      </c>
      <c r="U617" s="16" t="s">
        <v>1406</v>
      </c>
      <c r="V617" s="16">
        <v>13</v>
      </c>
      <c r="W617" s="16" t="b">
        <v>1</v>
      </c>
      <c r="X617" s="16">
        <v>240806</v>
      </c>
      <c r="Y617" s="16" t="s">
        <v>1405</v>
      </c>
      <c r="Z617" s="16">
        <v>0</v>
      </c>
      <c r="AA617" s="16">
        <v>0</v>
      </c>
      <c r="AB617" s="16" t="s">
        <v>1405</v>
      </c>
      <c r="AC617" s="16" t="s">
        <v>1405</v>
      </c>
      <c r="AD617" s="16">
        <v>0</v>
      </c>
      <c r="AE617" s="16" t="s">
        <v>1405</v>
      </c>
      <c r="AF617" s="16" t="s">
        <v>1405</v>
      </c>
    </row>
    <row r="618" spans="1:32" x14ac:dyDescent="0.2">
      <c r="A618" s="3" t="s">
        <v>2474</v>
      </c>
      <c r="B618" s="12" t="s">
        <v>1497</v>
      </c>
      <c r="C618" s="6">
        <v>617</v>
      </c>
      <c r="D618" s="12">
        <v>246</v>
      </c>
      <c r="E618" s="12" t="s">
        <v>1444</v>
      </c>
      <c r="F618" s="12" t="s">
        <v>1445</v>
      </c>
      <c r="G618" s="12" t="s">
        <v>1446</v>
      </c>
      <c r="H618" s="12" t="s">
        <v>95</v>
      </c>
      <c r="I618" s="12" t="s">
        <v>1414</v>
      </c>
      <c r="J618" s="12" t="s">
        <v>1407</v>
      </c>
      <c r="K618" s="8" t="s">
        <v>1587</v>
      </c>
      <c r="L618" s="13" t="s">
        <v>1499</v>
      </c>
      <c r="M618" s="13" t="s">
        <v>1580</v>
      </c>
      <c r="N618" s="13" t="s">
        <v>1407</v>
      </c>
      <c r="O618" s="13" t="s">
        <v>1581</v>
      </c>
      <c r="P618" s="13" t="s">
        <v>1451</v>
      </c>
      <c r="Q618" s="13" t="s">
        <v>1400</v>
      </c>
      <c r="R618" s="13">
        <v>4</v>
      </c>
      <c r="S618" s="13" t="s">
        <v>1453</v>
      </c>
      <c r="T618" s="13" t="s">
        <v>1454</v>
      </c>
      <c r="U618" s="13" t="s">
        <v>1406</v>
      </c>
      <c r="V618" s="13">
        <v>13</v>
      </c>
      <c r="W618" s="13" t="b">
        <v>1</v>
      </c>
      <c r="X618" s="13">
        <v>240806</v>
      </c>
      <c r="Y618" s="13" t="s">
        <v>1405</v>
      </c>
      <c r="Z618" s="13">
        <v>0</v>
      </c>
      <c r="AA618" s="13">
        <v>0</v>
      </c>
      <c r="AB618" s="13" t="s">
        <v>1405</v>
      </c>
      <c r="AC618" s="13" t="s">
        <v>1405</v>
      </c>
      <c r="AD618" s="13">
        <v>0</v>
      </c>
      <c r="AE618" s="13" t="s">
        <v>1405</v>
      </c>
      <c r="AF618" s="13" t="s">
        <v>1405</v>
      </c>
    </row>
    <row r="619" spans="1:32" x14ac:dyDescent="0.2">
      <c r="A619" s="3" t="s">
        <v>2475</v>
      </c>
      <c r="B619" s="14" t="s">
        <v>1497</v>
      </c>
      <c r="C619" s="6">
        <v>618</v>
      </c>
      <c r="D619" s="14">
        <v>246</v>
      </c>
      <c r="E619" s="14" t="s">
        <v>1457</v>
      </c>
      <c r="F619" s="15" t="s">
        <v>1445</v>
      </c>
      <c r="G619" s="14" t="s">
        <v>1458</v>
      </c>
      <c r="H619" s="14" t="s">
        <v>36</v>
      </c>
      <c r="I619" s="14" t="s">
        <v>1410</v>
      </c>
      <c r="J619" s="14" t="s">
        <v>1407</v>
      </c>
      <c r="K619" s="8" t="s">
        <v>1588</v>
      </c>
      <c r="L619" s="16" t="s">
        <v>1499</v>
      </c>
      <c r="M619" s="16" t="s">
        <v>1580</v>
      </c>
      <c r="N619" s="16" t="s">
        <v>1407</v>
      </c>
      <c r="O619" s="16" t="s">
        <v>1581</v>
      </c>
      <c r="P619" s="16" t="s">
        <v>1451</v>
      </c>
      <c r="Q619" s="16" t="s">
        <v>1400</v>
      </c>
      <c r="R619" s="16">
        <v>4</v>
      </c>
      <c r="S619" s="16" t="s">
        <v>1453</v>
      </c>
      <c r="T619" s="16" t="s">
        <v>1454</v>
      </c>
      <c r="U619" s="16" t="s">
        <v>1406</v>
      </c>
      <c r="V619" s="16">
        <v>13</v>
      </c>
      <c r="W619" s="16" t="b">
        <v>1</v>
      </c>
      <c r="X619" s="16">
        <v>240806</v>
      </c>
      <c r="Y619" s="16" t="s">
        <v>1405</v>
      </c>
      <c r="Z619" s="16">
        <v>0</v>
      </c>
      <c r="AA619" s="16">
        <v>0</v>
      </c>
      <c r="AB619" s="16" t="s">
        <v>1405</v>
      </c>
      <c r="AC619" s="16" t="s">
        <v>1405</v>
      </c>
      <c r="AD619" s="16">
        <v>0</v>
      </c>
      <c r="AE619" s="16" t="s">
        <v>1405</v>
      </c>
      <c r="AF619" s="16" t="s">
        <v>1405</v>
      </c>
    </row>
    <row r="620" spans="1:32" x14ac:dyDescent="0.2">
      <c r="A620" s="3" t="s">
        <v>2476</v>
      </c>
      <c r="B620" s="12" t="s">
        <v>1497</v>
      </c>
      <c r="C620" s="6">
        <v>619</v>
      </c>
      <c r="D620" s="12">
        <v>247</v>
      </c>
      <c r="E620" s="12" t="s">
        <v>1444</v>
      </c>
      <c r="F620" s="12" t="s">
        <v>1445</v>
      </c>
      <c r="G620" s="12" t="s">
        <v>1446</v>
      </c>
      <c r="H620" s="12" t="s">
        <v>96</v>
      </c>
      <c r="I620" s="12" t="s">
        <v>1414</v>
      </c>
      <c r="J620" s="12" t="s">
        <v>1407</v>
      </c>
      <c r="K620" s="8" t="s">
        <v>1589</v>
      </c>
      <c r="L620" s="13" t="s">
        <v>1521</v>
      </c>
      <c r="M620" s="13" t="s">
        <v>1590</v>
      </c>
      <c r="N620" s="13" t="s">
        <v>1407</v>
      </c>
      <c r="O620" s="13" t="s">
        <v>1581</v>
      </c>
      <c r="P620" s="13" t="s">
        <v>1451</v>
      </c>
      <c r="Q620" s="13" t="s">
        <v>1396</v>
      </c>
      <c r="R620" s="13">
        <v>1</v>
      </c>
      <c r="S620" s="13" t="s">
        <v>1453</v>
      </c>
      <c r="T620" s="13" t="s">
        <v>1454</v>
      </c>
      <c r="U620" s="13" t="s">
        <v>1406</v>
      </c>
      <c r="V620" s="13">
        <v>13</v>
      </c>
      <c r="W620" s="13" t="b">
        <v>1</v>
      </c>
      <c r="X620" s="13">
        <v>240806</v>
      </c>
      <c r="Y620" s="13" t="s">
        <v>1405</v>
      </c>
      <c r="Z620" s="13">
        <v>0</v>
      </c>
      <c r="AA620" s="13">
        <v>0</v>
      </c>
      <c r="AB620" s="13" t="s">
        <v>1405</v>
      </c>
      <c r="AC620" s="13" t="s">
        <v>1405</v>
      </c>
      <c r="AD620" s="13">
        <v>0</v>
      </c>
      <c r="AE620" s="13" t="s">
        <v>1405</v>
      </c>
      <c r="AF620" s="13" t="s">
        <v>1405</v>
      </c>
    </row>
    <row r="621" spans="1:32" x14ac:dyDescent="0.2">
      <c r="A621" s="3" t="s">
        <v>2477</v>
      </c>
      <c r="B621" s="14" t="s">
        <v>1497</v>
      </c>
      <c r="C621" s="6">
        <v>620</v>
      </c>
      <c r="D621" s="14">
        <v>247</v>
      </c>
      <c r="E621" s="14" t="s">
        <v>1457</v>
      </c>
      <c r="F621" s="15" t="s">
        <v>1445</v>
      </c>
      <c r="G621" s="14" t="s">
        <v>1458</v>
      </c>
      <c r="H621" s="14" t="s">
        <v>38</v>
      </c>
      <c r="I621" s="14" t="s">
        <v>1410</v>
      </c>
      <c r="J621" s="14" t="s">
        <v>1407</v>
      </c>
      <c r="K621" s="8" t="s">
        <v>1591</v>
      </c>
      <c r="L621" s="16" t="s">
        <v>1521</v>
      </c>
      <c r="M621" s="16" t="s">
        <v>1590</v>
      </c>
      <c r="N621" s="16" t="s">
        <v>1407</v>
      </c>
      <c r="O621" s="16" t="s">
        <v>1581</v>
      </c>
      <c r="P621" s="16" t="s">
        <v>1451</v>
      </c>
      <c r="Q621" s="16" t="s">
        <v>1396</v>
      </c>
      <c r="R621" s="16">
        <v>1</v>
      </c>
      <c r="S621" s="16" t="s">
        <v>1453</v>
      </c>
      <c r="T621" s="16" t="s">
        <v>1454</v>
      </c>
      <c r="U621" s="16" t="s">
        <v>1406</v>
      </c>
      <c r="V621" s="16">
        <v>13</v>
      </c>
      <c r="W621" s="16" t="b">
        <v>1</v>
      </c>
      <c r="X621" s="16">
        <v>240806</v>
      </c>
      <c r="Y621" s="16" t="s">
        <v>1405</v>
      </c>
      <c r="Z621" s="16">
        <v>0</v>
      </c>
      <c r="AA621" s="16">
        <v>0</v>
      </c>
      <c r="AB621" s="16" t="s">
        <v>1405</v>
      </c>
      <c r="AC621" s="16" t="s">
        <v>1405</v>
      </c>
      <c r="AD621" s="16">
        <v>0</v>
      </c>
      <c r="AE621" s="16" t="s">
        <v>1405</v>
      </c>
      <c r="AF621" s="16" t="s">
        <v>1405</v>
      </c>
    </row>
    <row r="622" spans="1:32" x14ac:dyDescent="0.2">
      <c r="A622" s="3" t="s">
        <v>2478</v>
      </c>
      <c r="B622" s="12" t="s">
        <v>1497</v>
      </c>
      <c r="C622" s="6">
        <v>621</v>
      </c>
      <c r="D622" s="12">
        <v>248</v>
      </c>
      <c r="E622" s="12" t="s">
        <v>1444</v>
      </c>
      <c r="F622" s="12" t="s">
        <v>1445</v>
      </c>
      <c r="G622" s="12" t="s">
        <v>1446</v>
      </c>
      <c r="H622" s="12" t="s">
        <v>97</v>
      </c>
      <c r="I622" s="12" t="s">
        <v>1414</v>
      </c>
      <c r="J622" s="12" t="s">
        <v>1407</v>
      </c>
      <c r="K622" s="8" t="s">
        <v>1592</v>
      </c>
      <c r="L622" s="13" t="s">
        <v>1521</v>
      </c>
      <c r="M622" s="13" t="s">
        <v>1590</v>
      </c>
      <c r="N622" s="13" t="s">
        <v>1407</v>
      </c>
      <c r="O622" s="13" t="s">
        <v>1581</v>
      </c>
      <c r="P622" s="13" t="s">
        <v>1451</v>
      </c>
      <c r="Q622" s="13" t="s">
        <v>1398</v>
      </c>
      <c r="R622" s="13">
        <v>2</v>
      </c>
      <c r="S622" s="13" t="s">
        <v>1453</v>
      </c>
      <c r="T622" s="13" t="s">
        <v>1454</v>
      </c>
      <c r="U622" s="13" t="s">
        <v>1406</v>
      </c>
      <c r="V622" s="13">
        <v>13</v>
      </c>
      <c r="W622" s="13" t="b">
        <v>1</v>
      </c>
      <c r="X622" s="13">
        <v>240806</v>
      </c>
      <c r="Y622" s="13" t="s">
        <v>1405</v>
      </c>
      <c r="Z622" s="13">
        <v>0</v>
      </c>
      <c r="AA622" s="13">
        <v>0</v>
      </c>
      <c r="AB622" s="13" t="s">
        <v>1405</v>
      </c>
      <c r="AC622" s="13" t="s">
        <v>1405</v>
      </c>
      <c r="AD622" s="13">
        <v>0</v>
      </c>
      <c r="AE622" s="13" t="s">
        <v>1405</v>
      </c>
      <c r="AF622" s="13" t="s">
        <v>1405</v>
      </c>
    </row>
    <row r="623" spans="1:32" x14ac:dyDescent="0.2">
      <c r="A623" s="3" t="s">
        <v>2479</v>
      </c>
      <c r="B623" s="14" t="s">
        <v>1497</v>
      </c>
      <c r="C623" s="6">
        <v>622</v>
      </c>
      <c r="D623" s="14">
        <v>248</v>
      </c>
      <c r="E623" s="14" t="s">
        <v>1457</v>
      </c>
      <c r="F623" s="15" t="s">
        <v>1445</v>
      </c>
      <c r="G623" s="14" t="s">
        <v>1458</v>
      </c>
      <c r="H623" s="14" t="s">
        <v>40</v>
      </c>
      <c r="I623" s="14" t="s">
        <v>1410</v>
      </c>
      <c r="J623" s="14" t="s">
        <v>1407</v>
      </c>
      <c r="K623" s="8" t="s">
        <v>1593</v>
      </c>
      <c r="L623" s="16" t="s">
        <v>1521</v>
      </c>
      <c r="M623" s="16" t="s">
        <v>1590</v>
      </c>
      <c r="N623" s="16" t="s">
        <v>1407</v>
      </c>
      <c r="O623" s="16" t="s">
        <v>1581</v>
      </c>
      <c r="P623" s="16" t="s">
        <v>1451</v>
      </c>
      <c r="Q623" s="16" t="s">
        <v>1398</v>
      </c>
      <c r="R623" s="16">
        <v>2</v>
      </c>
      <c r="S623" s="16" t="s">
        <v>1453</v>
      </c>
      <c r="T623" s="16" t="s">
        <v>1454</v>
      </c>
      <c r="U623" s="16" t="s">
        <v>1406</v>
      </c>
      <c r="V623" s="16">
        <v>13</v>
      </c>
      <c r="W623" s="16" t="b">
        <v>1</v>
      </c>
      <c r="X623" s="16">
        <v>240806</v>
      </c>
      <c r="Y623" s="16" t="s">
        <v>1405</v>
      </c>
      <c r="Z623" s="16">
        <v>0</v>
      </c>
      <c r="AA623" s="16">
        <v>0</v>
      </c>
      <c r="AB623" s="16" t="s">
        <v>1405</v>
      </c>
      <c r="AC623" s="16" t="s">
        <v>1405</v>
      </c>
      <c r="AD623" s="16">
        <v>0</v>
      </c>
      <c r="AE623" s="16" t="s">
        <v>1405</v>
      </c>
      <c r="AF623" s="16" t="s">
        <v>1405</v>
      </c>
    </row>
    <row r="624" spans="1:32" x14ac:dyDescent="0.2">
      <c r="A624" s="3" t="s">
        <v>2480</v>
      </c>
      <c r="B624" s="12" t="s">
        <v>1497</v>
      </c>
      <c r="C624" s="6">
        <v>623</v>
      </c>
      <c r="D624" s="12">
        <v>249</v>
      </c>
      <c r="E624" s="12" t="s">
        <v>1444</v>
      </c>
      <c r="F624" s="12" t="s">
        <v>1445</v>
      </c>
      <c r="G624" s="12" t="s">
        <v>1446</v>
      </c>
      <c r="H624" s="12" t="s">
        <v>98</v>
      </c>
      <c r="I624" s="12" t="s">
        <v>1414</v>
      </c>
      <c r="J624" s="12" t="s">
        <v>1407</v>
      </c>
      <c r="K624" s="8" t="s">
        <v>1594</v>
      </c>
      <c r="L624" s="13" t="s">
        <v>1521</v>
      </c>
      <c r="M624" s="13" t="s">
        <v>1590</v>
      </c>
      <c r="N624" s="13" t="s">
        <v>1407</v>
      </c>
      <c r="O624" s="13" t="s">
        <v>1581</v>
      </c>
      <c r="P624" s="13" t="s">
        <v>1451</v>
      </c>
      <c r="Q624" s="13" t="s">
        <v>1399</v>
      </c>
      <c r="R624" s="13">
        <v>3</v>
      </c>
      <c r="S624" s="13" t="s">
        <v>1453</v>
      </c>
      <c r="T624" s="13" t="s">
        <v>1454</v>
      </c>
      <c r="U624" s="13" t="s">
        <v>1406</v>
      </c>
      <c r="V624" s="13">
        <v>13</v>
      </c>
      <c r="W624" s="13" t="b">
        <v>1</v>
      </c>
      <c r="X624" s="13">
        <v>240806</v>
      </c>
      <c r="Y624" s="13" t="s">
        <v>1405</v>
      </c>
      <c r="Z624" s="13">
        <v>0</v>
      </c>
      <c r="AA624" s="13">
        <v>0</v>
      </c>
      <c r="AB624" s="13" t="s">
        <v>1405</v>
      </c>
      <c r="AC624" s="13" t="s">
        <v>1405</v>
      </c>
      <c r="AD624" s="13">
        <v>0</v>
      </c>
      <c r="AE624" s="13" t="s">
        <v>1405</v>
      </c>
      <c r="AF624" s="13" t="s">
        <v>1405</v>
      </c>
    </row>
    <row r="625" spans="1:32" x14ac:dyDescent="0.2">
      <c r="A625" s="3" t="s">
        <v>2481</v>
      </c>
      <c r="B625" s="14" t="s">
        <v>1497</v>
      </c>
      <c r="C625" s="6">
        <v>624</v>
      </c>
      <c r="D625" s="14">
        <v>249</v>
      </c>
      <c r="E625" s="14" t="s">
        <v>1457</v>
      </c>
      <c r="F625" s="15" t="s">
        <v>1445</v>
      </c>
      <c r="G625" s="14" t="s">
        <v>1458</v>
      </c>
      <c r="H625" s="14" t="s">
        <v>42</v>
      </c>
      <c r="I625" s="14" t="s">
        <v>1410</v>
      </c>
      <c r="J625" s="14" t="s">
        <v>1407</v>
      </c>
      <c r="K625" s="8" t="s">
        <v>1595</v>
      </c>
      <c r="L625" s="16" t="s">
        <v>1521</v>
      </c>
      <c r="M625" s="16" t="s">
        <v>1590</v>
      </c>
      <c r="N625" s="16" t="s">
        <v>1407</v>
      </c>
      <c r="O625" s="16" t="s">
        <v>1581</v>
      </c>
      <c r="P625" s="16" t="s">
        <v>1451</v>
      </c>
      <c r="Q625" s="16" t="s">
        <v>1399</v>
      </c>
      <c r="R625" s="16">
        <v>3</v>
      </c>
      <c r="S625" s="16" t="s">
        <v>1453</v>
      </c>
      <c r="T625" s="16" t="s">
        <v>1454</v>
      </c>
      <c r="U625" s="16" t="s">
        <v>1406</v>
      </c>
      <c r="V625" s="16">
        <v>13</v>
      </c>
      <c r="W625" s="16" t="b">
        <v>1</v>
      </c>
      <c r="X625" s="16">
        <v>240806</v>
      </c>
      <c r="Y625" s="16" t="s">
        <v>1405</v>
      </c>
      <c r="Z625" s="16">
        <v>0</v>
      </c>
      <c r="AA625" s="16">
        <v>0</v>
      </c>
      <c r="AB625" s="16" t="s">
        <v>1405</v>
      </c>
      <c r="AC625" s="16" t="s">
        <v>1405</v>
      </c>
      <c r="AD625" s="16">
        <v>0</v>
      </c>
      <c r="AE625" s="16" t="s">
        <v>1405</v>
      </c>
      <c r="AF625" s="16" t="s">
        <v>1405</v>
      </c>
    </row>
    <row r="626" spans="1:32" x14ac:dyDescent="0.2">
      <c r="A626" s="3" t="s">
        <v>2482</v>
      </c>
      <c r="B626" s="12" t="s">
        <v>1497</v>
      </c>
      <c r="C626" s="6">
        <v>625</v>
      </c>
      <c r="D626" s="12">
        <v>250</v>
      </c>
      <c r="E626" s="12" t="s">
        <v>1444</v>
      </c>
      <c r="F626" s="12" t="s">
        <v>1445</v>
      </c>
      <c r="G626" s="12" t="s">
        <v>1446</v>
      </c>
      <c r="H626" s="12" t="s">
        <v>99</v>
      </c>
      <c r="I626" s="12" t="s">
        <v>1414</v>
      </c>
      <c r="J626" s="12" t="s">
        <v>1407</v>
      </c>
      <c r="K626" s="8" t="s">
        <v>1596</v>
      </c>
      <c r="L626" s="13" t="s">
        <v>1521</v>
      </c>
      <c r="M626" s="13" t="s">
        <v>1590</v>
      </c>
      <c r="N626" s="13" t="s">
        <v>1407</v>
      </c>
      <c r="O626" s="13" t="s">
        <v>1581</v>
      </c>
      <c r="P626" s="13" t="s">
        <v>1451</v>
      </c>
      <c r="Q626" s="13" t="s">
        <v>1400</v>
      </c>
      <c r="R626" s="13">
        <v>4</v>
      </c>
      <c r="S626" s="13" t="s">
        <v>1453</v>
      </c>
      <c r="T626" s="13" t="s">
        <v>1454</v>
      </c>
      <c r="U626" s="13" t="s">
        <v>1406</v>
      </c>
      <c r="V626" s="13">
        <v>13</v>
      </c>
      <c r="W626" s="13" t="b">
        <v>1</v>
      </c>
      <c r="X626" s="13">
        <v>240806</v>
      </c>
      <c r="Y626" s="13" t="s">
        <v>1405</v>
      </c>
      <c r="Z626" s="13">
        <v>0</v>
      </c>
      <c r="AA626" s="13">
        <v>0</v>
      </c>
      <c r="AB626" s="13" t="s">
        <v>1405</v>
      </c>
      <c r="AC626" s="13" t="s">
        <v>1405</v>
      </c>
      <c r="AD626" s="13">
        <v>0</v>
      </c>
      <c r="AE626" s="13" t="s">
        <v>1405</v>
      </c>
      <c r="AF626" s="13" t="s">
        <v>1405</v>
      </c>
    </row>
    <row r="627" spans="1:32" x14ac:dyDescent="0.2">
      <c r="A627" s="3" t="s">
        <v>2483</v>
      </c>
      <c r="B627" s="14" t="s">
        <v>1497</v>
      </c>
      <c r="C627" s="6">
        <v>626</v>
      </c>
      <c r="D627" s="14">
        <v>250</v>
      </c>
      <c r="E627" s="14" t="s">
        <v>1457</v>
      </c>
      <c r="F627" s="15" t="s">
        <v>1445</v>
      </c>
      <c r="G627" s="14" t="s">
        <v>1458</v>
      </c>
      <c r="H627" s="14" t="s">
        <v>44</v>
      </c>
      <c r="I627" s="14" t="s">
        <v>1410</v>
      </c>
      <c r="J627" s="14" t="s">
        <v>1407</v>
      </c>
      <c r="K627" s="8" t="s">
        <v>1597</v>
      </c>
      <c r="L627" s="16" t="s">
        <v>1521</v>
      </c>
      <c r="M627" s="16" t="s">
        <v>1590</v>
      </c>
      <c r="N627" s="16" t="s">
        <v>1407</v>
      </c>
      <c r="O627" s="16" t="s">
        <v>1581</v>
      </c>
      <c r="P627" s="16" t="s">
        <v>1451</v>
      </c>
      <c r="Q627" s="16" t="s">
        <v>1400</v>
      </c>
      <c r="R627" s="16">
        <v>4</v>
      </c>
      <c r="S627" s="16" t="s">
        <v>1453</v>
      </c>
      <c r="T627" s="16" t="s">
        <v>1454</v>
      </c>
      <c r="U627" s="16" t="s">
        <v>1406</v>
      </c>
      <c r="V627" s="16">
        <v>13</v>
      </c>
      <c r="W627" s="16" t="b">
        <v>1</v>
      </c>
      <c r="X627" s="16">
        <v>240806</v>
      </c>
      <c r="Y627" s="16" t="s">
        <v>1405</v>
      </c>
      <c r="Z627" s="16">
        <v>0</v>
      </c>
      <c r="AA627" s="16">
        <v>0</v>
      </c>
      <c r="AB627" s="16" t="s">
        <v>1405</v>
      </c>
      <c r="AC627" s="16" t="s">
        <v>1405</v>
      </c>
      <c r="AD627" s="16">
        <v>0</v>
      </c>
      <c r="AE627" s="16" t="s">
        <v>1405</v>
      </c>
      <c r="AF627" s="16" t="s">
        <v>1405</v>
      </c>
    </row>
    <row r="628" spans="1:32" x14ac:dyDescent="0.2">
      <c r="A628" s="3" t="s">
        <v>2484</v>
      </c>
      <c r="B628" s="12" t="s">
        <v>1497</v>
      </c>
      <c r="C628" s="6">
        <v>627</v>
      </c>
      <c r="D628" s="12">
        <v>251</v>
      </c>
      <c r="E628" s="12" t="s">
        <v>1444</v>
      </c>
      <c r="F628" s="12" t="s">
        <v>1445</v>
      </c>
      <c r="G628" s="12" t="s">
        <v>1446</v>
      </c>
      <c r="H628" s="12" t="s">
        <v>100</v>
      </c>
      <c r="I628" s="12" t="s">
        <v>1414</v>
      </c>
      <c r="J628" s="12" t="s">
        <v>1407</v>
      </c>
      <c r="K628" s="8" t="s">
        <v>1598</v>
      </c>
      <c r="L628" s="13" t="s">
        <v>1521</v>
      </c>
      <c r="M628" s="13" t="s">
        <v>1590</v>
      </c>
      <c r="N628" s="13" t="s">
        <v>1407</v>
      </c>
      <c r="O628" s="13" t="s">
        <v>1581</v>
      </c>
      <c r="P628" s="13" t="s">
        <v>1451</v>
      </c>
      <c r="Q628" s="13" t="s">
        <v>1541</v>
      </c>
      <c r="R628" s="13">
        <v>5</v>
      </c>
      <c r="S628" s="13" t="s">
        <v>1453</v>
      </c>
      <c r="T628" s="13" t="s">
        <v>1454</v>
      </c>
      <c r="U628" s="13" t="s">
        <v>1406</v>
      </c>
      <c r="V628" s="13">
        <v>13</v>
      </c>
      <c r="W628" s="13" t="b">
        <v>1</v>
      </c>
      <c r="X628" s="13">
        <v>240806</v>
      </c>
      <c r="Y628" s="13" t="s">
        <v>1405</v>
      </c>
      <c r="Z628" s="13">
        <v>0</v>
      </c>
      <c r="AA628" s="13">
        <v>0</v>
      </c>
      <c r="AB628" s="13" t="s">
        <v>1405</v>
      </c>
      <c r="AC628" s="13" t="s">
        <v>1405</v>
      </c>
      <c r="AD628" s="13">
        <v>0</v>
      </c>
      <c r="AE628" s="13" t="s">
        <v>1405</v>
      </c>
      <c r="AF628" s="13" t="s">
        <v>1405</v>
      </c>
    </row>
    <row r="629" spans="1:32" x14ac:dyDescent="0.2">
      <c r="A629" s="3" t="s">
        <v>2485</v>
      </c>
      <c r="B629" s="14" t="s">
        <v>1497</v>
      </c>
      <c r="C629" s="6">
        <v>628</v>
      </c>
      <c r="D629" s="14">
        <v>251</v>
      </c>
      <c r="E629" s="14" t="s">
        <v>1457</v>
      </c>
      <c r="F629" s="15" t="s">
        <v>1445</v>
      </c>
      <c r="G629" s="14" t="s">
        <v>1458</v>
      </c>
      <c r="H629" s="14" t="s">
        <v>46</v>
      </c>
      <c r="I629" s="14" t="s">
        <v>1410</v>
      </c>
      <c r="J629" s="14" t="s">
        <v>1407</v>
      </c>
      <c r="K629" s="8" t="s">
        <v>1599</v>
      </c>
      <c r="L629" s="16" t="s">
        <v>1521</v>
      </c>
      <c r="M629" s="16" t="s">
        <v>1590</v>
      </c>
      <c r="N629" s="16" t="s">
        <v>1407</v>
      </c>
      <c r="O629" s="16" t="s">
        <v>1581</v>
      </c>
      <c r="P629" s="16" t="s">
        <v>1451</v>
      </c>
      <c r="Q629" s="16" t="s">
        <v>1541</v>
      </c>
      <c r="R629" s="16">
        <v>5</v>
      </c>
      <c r="S629" s="16" t="s">
        <v>1453</v>
      </c>
      <c r="T629" s="16" t="s">
        <v>1454</v>
      </c>
      <c r="U629" s="16" t="s">
        <v>1406</v>
      </c>
      <c r="V629" s="16">
        <v>13</v>
      </c>
      <c r="W629" s="16" t="b">
        <v>1</v>
      </c>
      <c r="X629" s="16">
        <v>240806</v>
      </c>
      <c r="Y629" s="16" t="s">
        <v>1405</v>
      </c>
      <c r="Z629" s="16">
        <v>0</v>
      </c>
      <c r="AA629" s="16">
        <v>0</v>
      </c>
      <c r="AB629" s="16" t="s">
        <v>1405</v>
      </c>
      <c r="AC629" s="16" t="s">
        <v>1405</v>
      </c>
      <c r="AD629" s="16">
        <v>0</v>
      </c>
      <c r="AE629" s="16" t="s">
        <v>1405</v>
      </c>
      <c r="AF629" s="16" t="s">
        <v>1405</v>
      </c>
    </row>
    <row r="630" spans="1:32" x14ac:dyDescent="0.2">
      <c r="A630" s="3" t="s">
        <v>2486</v>
      </c>
      <c r="B630" s="12" t="s">
        <v>1497</v>
      </c>
      <c r="C630" s="6">
        <v>629</v>
      </c>
      <c r="D630" s="12">
        <v>252</v>
      </c>
      <c r="E630" s="12" t="s">
        <v>1444</v>
      </c>
      <c r="F630" s="12" t="s">
        <v>1445</v>
      </c>
      <c r="G630" s="12" t="s">
        <v>1446</v>
      </c>
      <c r="H630" s="12" t="s">
        <v>101</v>
      </c>
      <c r="I630" s="12" t="s">
        <v>1414</v>
      </c>
      <c r="J630" s="12" t="s">
        <v>1407</v>
      </c>
      <c r="K630" s="8" t="s">
        <v>1620</v>
      </c>
      <c r="L630" s="13" t="s">
        <v>1521</v>
      </c>
      <c r="M630" s="13" t="s">
        <v>1601</v>
      </c>
      <c r="N630" s="13" t="s">
        <v>1407</v>
      </c>
      <c r="O630" s="13" t="s">
        <v>1581</v>
      </c>
      <c r="P630" s="13" t="s">
        <v>1451</v>
      </c>
      <c r="Q630" s="13" t="s">
        <v>1396</v>
      </c>
      <c r="R630" s="13">
        <v>6</v>
      </c>
      <c r="S630" s="13" t="s">
        <v>1453</v>
      </c>
      <c r="T630" s="13" t="s">
        <v>1454</v>
      </c>
      <c r="U630" s="13" t="s">
        <v>1406</v>
      </c>
      <c r="V630" s="13">
        <v>13</v>
      </c>
      <c r="W630" s="13" t="b">
        <v>1</v>
      </c>
      <c r="X630" s="13">
        <v>240806</v>
      </c>
      <c r="Y630" s="13" t="s">
        <v>1405</v>
      </c>
      <c r="Z630" s="13">
        <v>0</v>
      </c>
      <c r="AA630" s="13">
        <v>0</v>
      </c>
      <c r="AB630" s="13" t="s">
        <v>1405</v>
      </c>
      <c r="AC630" s="13" t="s">
        <v>1405</v>
      </c>
      <c r="AD630" s="13">
        <v>0</v>
      </c>
      <c r="AE630" s="13" t="s">
        <v>1405</v>
      </c>
      <c r="AF630" s="13" t="s">
        <v>1405</v>
      </c>
    </row>
    <row r="631" spans="1:32" x14ac:dyDescent="0.2">
      <c r="A631" s="3" t="s">
        <v>2487</v>
      </c>
      <c r="B631" s="14" t="s">
        <v>1497</v>
      </c>
      <c r="C631" s="6">
        <v>630</v>
      </c>
      <c r="D631" s="14">
        <v>252</v>
      </c>
      <c r="E631" s="14" t="s">
        <v>1457</v>
      </c>
      <c r="F631" s="15" t="s">
        <v>1445</v>
      </c>
      <c r="G631" s="14" t="s">
        <v>1458</v>
      </c>
      <c r="H631" s="14" t="s">
        <v>48</v>
      </c>
      <c r="I631" s="14" t="s">
        <v>1410</v>
      </c>
      <c r="J631" s="14" t="s">
        <v>1407</v>
      </c>
      <c r="K631" s="8" t="s">
        <v>1621</v>
      </c>
      <c r="L631" s="16" t="s">
        <v>1521</v>
      </c>
      <c r="M631" s="16" t="s">
        <v>1601</v>
      </c>
      <c r="N631" s="16" t="s">
        <v>1407</v>
      </c>
      <c r="O631" s="16" t="s">
        <v>1581</v>
      </c>
      <c r="P631" s="16" t="s">
        <v>1451</v>
      </c>
      <c r="Q631" s="16" t="s">
        <v>1396</v>
      </c>
      <c r="R631" s="16">
        <v>6</v>
      </c>
      <c r="S631" s="16" t="s">
        <v>1453</v>
      </c>
      <c r="T631" s="16" t="s">
        <v>1454</v>
      </c>
      <c r="U631" s="16" t="s">
        <v>1406</v>
      </c>
      <c r="V631" s="16">
        <v>13</v>
      </c>
      <c r="W631" s="16" t="b">
        <v>1</v>
      </c>
      <c r="X631" s="16">
        <v>240806</v>
      </c>
      <c r="Y631" s="16" t="s">
        <v>1405</v>
      </c>
      <c r="Z631" s="16">
        <v>0</v>
      </c>
      <c r="AA631" s="16">
        <v>0</v>
      </c>
      <c r="AB631" s="16" t="s">
        <v>1405</v>
      </c>
      <c r="AC631" s="16" t="s">
        <v>1405</v>
      </c>
      <c r="AD631" s="16">
        <v>0</v>
      </c>
      <c r="AE631" s="16" t="s">
        <v>1405</v>
      </c>
      <c r="AF631" s="16" t="s">
        <v>1405</v>
      </c>
    </row>
    <row r="632" spans="1:32" x14ac:dyDescent="0.2">
      <c r="A632" s="3" t="s">
        <v>2488</v>
      </c>
      <c r="B632" s="12" t="s">
        <v>1497</v>
      </c>
      <c r="C632" s="6">
        <v>631</v>
      </c>
      <c r="D632" s="12">
        <v>253</v>
      </c>
      <c r="E632" s="12" t="s">
        <v>1444</v>
      </c>
      <c r="F632" s="12" t="s">
        <v>1445</v>
      </c>
      <c r="G632" s="12" t="s">
        <v>1446</v>
      </c>
      <c r="H632" s="12" t="s">
        <v>102</v>
      </c>
      <c r="I632" s="12" t="s">
        <v>1414</v>
      </c>
      <c r="J632" s="12" t="s">
        <v>1407</v>
      </c>
      <c r="K632" s="8" t="s">
        <v>1600</v>
      </c>
      <c r="L632" s="13" t="s">
        <v>1521</v>
      </c>
      <c r="M632" s="13" t="s">
        <v>1601</v>
      </c>
      <c r="N632" s="13" t="s">
        <v>1407</v>
      </c>
      <c r="O632" s="13" t="s">
        <v>1581</v>
      </c>
      <c r="P632" s="13" t="s">
        <v>1451</v>
      </c>
      <c r="Q632" s="13" t="s">
        <v>1398</v>
      </c>
      <c r="R632" s="13">
        <v>7</v>
      </c>
      <c r="S632" s="13" t="s">
        <v>1453</v>
      </c>
      <c r="T632" s="13" t="s">
        <v>1454</v>
      </c>
      <c r="U632" s="13" t="s">
        <v>1406</v>
      </c>
      <c r="V632" s="13">
        <v>13</v>
      </c>
      <c r="W632" s="13" t="b">
        <v>1</v>
      </c>
      <c r="X632" s="13">
        <v>240806</v>
      </c>
      <c r="Y632" s="13" t="s">
        <v>1405</v>
      </c>
      <c r="Z632" s="13">
        <v>0</v>
      </c>
      <c r="AA632" s="13">
        <v>0</v>
      </c>
      <c r="AB632" s="13" t="s">
        <v>1405</v>
      </c>
      <c r="AC632" s="13" t="s">
        <v>1405</v>
      </c>
      <c r="AD632" s="13">
        <v>0</v>
      </c>
      <c r="AE632" s="13" t="s">
        <v>1405</v>
      </c>
      <c r="AF632" s="13" t="s">
        <v>1405</v>
      </c>
    </row>
    <row r="633" spans="1:32" x14ac:dyDescent="0.2">
      <c r="A633" s="3" t="s">
        <v>2489</v>
      </c>
      <c r="B633" s="14" t="s">
        <v>1497</v>
      </c>
      <c r="C633" s="6">
        <v>632</v>
      </c>
      <c r="D633" s="14">
        <v>253</v>
      </c>
      <c r="E633" s="14" t="s">
        <v>1457</v>
      </c>
      <c r="F633" s="15" t="s">
        <v>1445</v>
      </c>
      <c r="G633" s="14" t="s">
        <v>1458</v>
      </c>
      <c r="H633" s="14" t="s">
        <v>50</v>
      </c>
      <c r="I633" s="14" t="s">
        <v>1410</v>
      </c>
      <c r="J633" s="14" t="s">
        <v>1407</v>
      </c>
      <c r="K633" s="8" t="s">
        <v>1602</v>
      </c>
      <c r="L633" s="16" t="s">
        <v>1521</v>
      </c>
      <c r="M633" s="16" t="s">
        <v>1601</v>
      </c>
      <c r="N633" s="16" t="s">
        <v>1407</v>
      </c>
      <c r="O633" s="16" t="s">
        <v>1581</v>
      </c>
      <c r="P633" s="16" t="s">
        <v>1451</v>
      </c>
      <c r="Q633" s="16" t="s">
        <v>1398</v>
      </c>
      <c r="R633" s="16">
        <v>7</v>
      </c>
      <c r="S633" s="16" t="s">
        <v>1453</v>
      </c>
      <c r="T633" s="16" t="s">
        <v>1454</v>
      </c>
      <c r="U633" s="16" t="s">
        <v>1406</v>
      </c>
      <c r="V633" s="16">
        <v>13</v>
      </c>
      <c r="W633" s="16" t="b">
        <v>1</v>
      </c>
      <c r="X633" s="16">
        <v>240806</v>
      </c>
      <c r="Y633" s="16" t="s">
        <v>1405</v>
      </c>
      <c r="Z633" s="16">
        <v>0</v>
      </c>
      <c r="AA633" s="16">
        <v>0</v>
      </c>
      <c r="AB633" s="16" t="s">
        <v>1405</v>
      </c>
      <c r="AC633" s="16" t="s">
        <v>1405</v>
      </c>
      <c r="AD633" s="16">
        <v>0</v>
      </c>
      <c r="AE633" s="16" t="s">
        <v>1405</v>
      </c>
      <c r="AF633" s="16" t="s">
        <v>1405</v>
      </c>
    </row>
    <row r="634" spans="1:32" x14ac:dyDescent="0.2">
      <c r="A634" s="3" t="s">
        <v>2490</v>
      </c>
      <c r="B634" s="12" t="s">
        <v>1497</v>
      </c>
      <c r="C634" s="6">
        <v>633</v>
      </c>
      <c r="D634" s="12">
        <v>254</v>
      </c>
      <c r="E634" s="12" t="s">
        <v>1444</v>
      </c>
      <c r="F634" s="12" t="s">
        <v>1445</v>
      </c>
      <c r="G634" s="12" t="s">
        <v>1446</v>
      </c>
      <c r="H634" s="12" t="s">
        <v>103</v>
      </c>
      <c r="I634" s="12" t="s">
        <v>1414</v>
      </c>
      <c r="J634" s="12" t="s">
        <v>1407</v>
      </c>
      <c r="K634" s="8" t="s">
        <v>1603</v>
      </c>
      <c r="L634" s="13" t="s">
        <v>1521</v>
      </c>
      <c r="M634" s="13" t="s">
        <v>1601</v>
      </c>
      <c r="N634" s="13" t="s">
        <v>1407</v>
      </c>
      <c r="O634" s="13" t="s">
        <v>1581</v>
      </c>
      <c r="P634" s="13" t="s">
        <v>1451</v>
      </c>
      <c r="Q634" s="13" t="s">
        <v>1399</v>
      </c>
      <c r="R634" s="13">
        <v>8</v>
      </c>
      <c r="S634" s="13" t="s">
        <v>1453</v>
      </c>
      <c r="T634" s="13" t="s">
        <v>1454</v>
      </c>
      <c r="U634" s="13" t="s">
        <v>1406</v>
      </c>
      <c r="V634" s="13">
        <v>13</v>
      </c>
      <c r="W634" s="13" t="b">
        <v>1</v>
      </c>
      <c r="X634" s="13">
        <v>240806</v>
      </c>
      <c r="Y634" s="13" t="s">
        <v>1405</v>
      </c>
      <c r="Z634" s="13">
        <v>0</v>
      </c>
      <c r="AA634" s="13">
        <v>0</v>
      </c>
      <c r="AB634" s="13" t="s">
        <v>1405</v>
      </c>
      <c r="AC634" s="13" t="s">
        <v>1405</v>
      </c>
      <c r="AD634" s="13">
        <v>0</v>
      </c>
      <c r="AE634" s="13" t="s">
        <v>1405</v>
      </c>
      <c r="AF634" s="13" t="s">
        <v>1405</v>
      </c>
    </row>
    <row r="635" spans="1:32" x14ac:dyDescent="0.2">
      <c r="A635" s="3" t="s">
        <v>2491</v>
      </c>
      <c r="B635" s="14" t="s">
        <v>1497</v>
      </c>
      <c r="C635" s="6">
        <v>634</v>
      </c>
      <c r="D635" s="14">
        <v>254</v>
      </c>
      <c r="E635" s="14" t="s">
        <v>1457</v>
      </c>
      <c r="F635" s="15" t="s">
        <v>1445</v>
      </c>
      <c r="G635" s="14" t="s">
        <v>1458</v>
      </c>
      <c r="H635" s="14" t="s">
        <v>51</v>
      </c>
      <c r="I635" s="14" t="s">
        <v>1410</v>
      </c>
      <c r="J635" s="14" t="s">
        <v>1407</v>
      </c>
      <c r="K635" s="8" t="s">
        <v>1604</v>
      </c>
      <c r="L635" s="16" t="s">
        <v>1521</v>
      </c>
      <c r="M635" s="16" t="s">
        <v>1601</v>
      </c>
      <c r="N635" s="16" t="s">
        <v>1407</v>
      </c>
      <c r="O635" s="16" t="s">
        <v>1581</v>
      </c>
      <c r="P635" s="16" t="s">
        <v>1451</v>
      </c>
      <c r="Q635" s="16" t="s">
        <v>1399</v>
      </c>
      <c r="R635" s="16">
        <v>8</v>
      </c>
      <c r="S635" s="16" t="s">
        <v>1453</v>
      </c>
      <c r="T635" s="16" t="s">
        <v>1454</v>
      </c>
      <c r="U635" s="16" t="s">
        <v>1406</v>
      </c>
      <c r="V635" s="16">
        <v>13</v>
      </c>
      <c r="W635" s="16" t="b">
        <v>1</v>
      </c>
      <c r="X635" s="16">
        <v>240806</v>
      </c>
      <c r="Y635" s="16" t="s">
        <v>1405</v>
      </c>
      <c r="Z635" s="16">
        <v>0</v>
      </c>
      <c r="AA635" s="16">
        <v>0</v>
      </c>
      <c r="AB635" s="16" t="s">
        <v>1405</v>
      </c>
      <c r="AC635" s="16" t="s">
        <v>1405</v>
      </c>
      <c r="AD635" s="16">
        <v>0</v>
      </c>
      <c r="AE635" s="16" t="s">
        <v>1405</v>
      </c>
      <c r="AF635" s="16" t="s">
        <v>1405</v>
      </c>
    </row>
    <row r="636" spans="1:32" x14ac:dyDescent="0.2">
      <c r="A636" s="3" t="s">
        <v>2492</v>
      </c>
      <c r="B636" s="12" t="s">
        <v>1497</v>
      </c>
      <c r="C636" s="6">
        <v>635</v>
      </c>
      <c r="D636" s="12">
        <v>255</v>
      </c>
      <c r="E636" s="12" t="s">
        <v>1444</v>
      </c>
      <c r="F636" s="12" t="s">
        <v>1445</v>
      </c>
      <c r="G636" s="12" t="s">
        <v>1446</v>
      </c>
      <c r="H636" s="12" t="s">
        <v>105</v>
      </c>
      <c r="I636" s="12" t="s">
        <v>1414</v>
      </c>
      <c r="J636" s="12" t="s">
        <v>1407</v>
      </c>
      <c r="K636" s="8" t="s">
        <v>1605</v>
      </c>
      <c r="L636" s="13" t="s">
        <v>1521</v>
      </c>
      <c r="M636" s="13" t="s">
        <v>1601</v>
      </c>
      <c r="N636" s="13" t="s">
        <v>1407</v>
      </c>
      <c r="O636" s="13" t="s">
        <v>1581</v>
      </c>
      <c r="P636" s="13" t="s">
        <v>1451</v>
      </c>
      <c r="Q636" s="13" t="s">
        <v>1400</v>
      </c>
      <c r="R636" s="13">
        <v>9</v>
      </c>
      <c r="S636" s="13" t="s">
        <v>1453</v>
      </c>
      <c r="T636" s="13" t="s">
        <v>1454</v>
      </c>
      <c r="U636" s="13" t="s">
        <v>1406</v>
      </c>
      <c r="V636" s="13">
        <v>13</v>
      </c>
      <c r="W636" s="13" t="b">
        <v>1</v>
      </c>
      <c r="X636" s="13">
        <v>240806</v>
      </c>
      <c r="Y636" s="13" t="s">
        <v>1405</v>
      </c>
      <c r="Z636" s="13">
        <v>0</v>
      </c>
      <c r="AA636" s="13">
        <v>0</v>
      </c>
      <c r="AB636" s="13" t="s">
        <v>1405</v>
      </c>
      <c r="AC636" s="13" t="s">
        <v>1405</v>
      </c>
      <c r="AD636" s="13">
        <v>0</v>
      </c>
      <c r="AE636" s="13" t="s">
        <v>1405</v>
      </c>
      <c r="AF636" s="13" t="s">
        <v>1405</v>
      </c>
    </row>
    <row r="637" spans="1:32" x14ac:dyDescent="0.2">
      <c r="A637" s="3" t="s">
        <v>2493</v>
      </c>
      <c r="B637" s="14" t="s">
        <v>1497</v>
      </c>
      <c r="C637" s="6">
        <v>636</v>
      </c>
      <c r="D637" s="14">
        <v>255</v>
      </c>
      <c r="E637" s="14" t="s">
        <v>1457</v>
      </c>
      <c r="F637" s="15" t="s">
        <v>1445</v>
      </c>
      <c r="G637" s="14" t="s">
        <v>1458</v>
      </c>
      <c r="H637" s="14" t="s">
        <v>53</v>
      </c>
      <c r="I637" s="14" t="s">
        <v>1410</v>
      </c>
      <c r="J637" s="14" t="s">
        <v>1407</v>
      </c>
      <c r="K637" s="8" t="s">
        <v>1606</v>
      </c>
      <c r="L637" s="16" t="s">
        <v>1521</v>
      </c>
      <c r="M637" s="16" t="s">
        <v>1601</v>
      </c>
      <c r="N637" s="16" t="s">
        <v>1407</v>
      </c>
      <c r="O637" s="16" t="s">
        <v>1581</v>
      </c>
      <c r="P637" s="16" t="s">
        <v>1451</v>
      </c>
      <c r="Q637" s="16" t="s">
        <v>1400</v>
      </c>
      <c r="R637" s="16">
        <v>9</v>
      </c>
      <c r="S637" s="16" t="s">
        <v>1453</v>
      </c>
      <c r="T637" s="16" t="s">
        <v>1454</v>
      </c>
      <c r="U637" s="16" t="s">
        <v>1406</v>
      </c>
      <c r="V637" s="16">
        <v>13</v>
      </c>
      <c r="W637" s="16" t="b">
        <v>1</v>
      </c>
      <c r="X637" s="16">
        <v>240806</v>
      </c>
      <c r="Y637" s="16" t="s">
        <v>1405</v>
      </c>
      <c r="Z637" s="16">
        <v>0</v>
      </c>
      <c r="AA637" s="16">
        <v>0</v>
      </c>
      <c r="AB637" s="16" t="s">
        <v>1405</v>
      </c>
      <c r="AC637" s="16" t="s">
        <v>1405</v>
      </c>
      <c r="AD637" s="16">
        <v>0</v>
      </c>
      <c r="AE637" s="16" t="s">
        <v>1405</v>
      </c>
      <c r="AF637" s="16" t="s">
        <v>1405</v>
      </c>
    </row>
    <row r="638" spans="1:32" x14ac:dyDescent="0.2">
      <c r="A638" s="3" t="s">
        <v>2494</v>
      </c>
      <c r="B638" s="12" t="s">
        <v>1497</v>
      </c>
      <c r="C638" s="6">
        <v>637</v>
      </c>
      <c r="D638" s="12">
        <v>256</v>
      </c>
      <c r="E638" s="12" t="s">
        <v>1444</v>
      </c>
      <c r="F638" s="12" t="s">
        <v>1445</v>
      </c>
      <c r="G638" s="12" t="s">
        <v>1446</v>
      </c>
      <c r="H638" s="12" t="s">
        <v>106</v>
      </c>
      <c r="I638" s="12" t="s">
        <v>1414</v>
      </c>
      <c r="J638" s="12" t="s">
        <v>1407</v>
      </c>
      <c r="K638" s="8" t="s">
        <v>1607</v>
      </c>
      <c r="L638" s="13" t="s">
        <v>1521</v>
      </c>
      <c r="M638" s="13" t="s">
        <v>1601</v>
      </c>
      <c r="N638" s="13" t="s">
        <v>1407</v>
      </c>
      <c r="O638" s="13" t="s">
        <v>1581</v>
      </c>
      <c r="P638" s="13" t="s">
        <v>1451</v>
      </c>
      <c r="Q638" s="13" t="s">
        <v>1541</v>
      </c>
      <c r="R638" s="13">
        <v>10</v>
      </c>
      <c r="S638" s="13" t="s">
        <v>1453</v>
      </c>
      <c r="T638" s="13" t="s">
        <v>1454</v>
      </c>
      <c r="U638" s="13" t="s">
        <v>1406</v>
      </c>
      <c r="V638" s="13">
        <v>13</v>
      </c>
      <c r="W638" s="13" t="b">
        <v>1</v>
      </c>
      <c r="X638" s="13">
        <v>240806</v>
      </c>
      <c r="Y638" s="13" t="s">
        <v>1405</v>
      </c>
      <c r="Z638" s="13">
        <v>0</v>
      </c>
      <c r="AA638" s="13">
        <v>0</v>
      </c>
      <c r="AB638" s="13" t="s">
        <v>1405</v>
      </c>
      <c r="AC638" s="13" t="s">
        <v>1405</v>
      </c>
      <c r="AD638" s="13">
        <v>0</v>
      </c>
      <c r="AE638" s="13" t="s">
        <v>1405</v>
      </c>
      <c r="AF638" s="13" t="s">
        <v>1405</v>
      </c>
    </row>
    <row r="639" spans="1:32" x14ac:dyDescent="0.2">
      <c r="A639" s="3" t="s">
        <v>2495</v>
      </c>
      <c r="B639" s="14" t="s">
        <v>1497</v>
      </c>
      <c r="C639" s="6">
        <v>638</v>
      </c>
      <c r="D639" s="14">
        <v>256</v>
      </c>
      <c r="E639" s="14" t="s">
        <v>1457</v>
      </c>
      <c r="F639" s="15" t="s">
        <v>1445</v>
      </c>
      <c r="G639" s="14" t="s">
        <v>1458</v>
      </c>
      <c r="H639" s="14" t="s">
        <v>54</v>
      </c>
      <c r="I639" s="14" t="s">
        <v>1410</v>
      </c>
      <c r="J639" s="14" t="s">
        <v>1407</v>
      </c>
      <c r="K639" s="8" t="s">
        <v>1608</v>
      </c>
      <c r="L639" s="16" t="s">
        <v>1521</v>
      </c>
      <c r="M639" s="16" t="s">
        <v>1601</v>
      </c>
      <c r="N639" s="16" t="s">
        <v>1407</v>
      </c>
      <c r="O639" s="16" t="s">
        <v>1581</v>
      </c>
      <c r="P639" s="16" t="s">
        <v>1451</v>
      </c>
      <c r="Q639" s="16" t="s">
        <v>1541</v>
      </c>
      <c r="R639" s="16">
        <v>10</v>
      </c>
      <c r="S639" s="16" t="s">
        <v>1453</v>
      </c>
      <c r="T639" s="16" t="s">
        <v>1454</v>
      </c>
      <c r="U639" s="16" t="s">
        <v>1406</v>
      </c>
      <c r="V639" s="16">
        <v>13</v>
      </c>
      <c r="W639" s="16" t="b">
        <v>1</v>
      </c>
      <c r="X639" s="16">
        <v>240806</v>
      </c>
      <c r="Y639" s="16" t="s">
        <v>1405</v>
      </c>
      <c r="Z639" s="16">
        <v>0</v>
      </c>
      <c r="AA639" s="16">
        <v>0</v>
      </c>
      <c r="AB639" s="16" t="s">
        <v>1405</v>
      </c>
      <c r="AC639" s="16" t="s">
        <v>1405</v>
      </c>
      <c r="AD639" s="16">
        <v>0</v>
      </c>
      <c r="AE639" s="16" t="s">
        <v>1405</v>
      </c>
      <c r="AF639" s="16" t="s">
        <v>1405</v>
      </c>
    </row>
    <row r="640" spans="1:32" x14ac:dyDescent="0.2">
      <c r="A640" s="3" t="s">
        <v>2496</v>
      </c>
      <c r="B640" s="12" t="s">
        <v>1497</v>
      </c>
      <c r="C640" s="6">
        <v>639</v>
      </c>
      <c r="D640" s="12">
        <v>257</v>
      </c>
      <c r="E640" s="12" t="s">
        <v>1444</v>
      </c>
      <c r="F640" s="12" t="s">
        <v>1445</v>
      </c>
      <c r="G640" s="12" t="s">
        <v>1446</v>
      </c>
      <c r="H640" s="12" t="s">
        <v>107</v>
      </c>
      <c r="I640" s="12" t="s">
        <v>1414</v>
      </c>
      <c r="J640" s="12" t="s">
        <v>1407</v>
      </c>
      <c r="K640" s="8" t="s">
        <v>1609</v>
      </c>
      <c r="L640" s="13" t="s">
        <v>1521</v>
      </c>
      <c r="M640" s="13" t="s">
        <v>1610</v>
      </c>
      <c r="N640" s="13" t="s">
        <v>1407</v>
      </c>
      <c r="O640" s="13" t="s">
        <v>1581</v>
      </c>
      <c r="P640" s="13" t="s">
        <v>1451</v>
      </c>
      <c r="Q640" s="13" t="s">
        <v>1396</v>
      </c>
      <c r="R640" s="13">
        <v>11</v>
      </c>
      <c r="S640" s="13" t="s">
        <v>1453</v>
      </c>
      <c r="T640" s="13" t="s">
        <v>1454</v>
      </c>
      <c r="U640" s="13" t="s">
        <v>1406</v>
      </c>
      <c r="V640" s="13">
        <v>13</v>
      </c>
      <c r="W640" s="13" t="b">
        <v>1</v>
      </c>
      <c r="X640" s="13">
        <v>240806</v>
      </c>
      <c r="Y640" s="13" t="s">
        <v>1405</v>
      </c>
      <c r="Z640" s="13">
        <v>0</v>
      </c>
      <c r="AA640" s="13">
        <v>0</v>
      </c>
      <c r="AB640" s="13" t="s">
        <v>1405</v>
      </c>
      <c r="AC640" s="13" t="s">
        <v>1405</v>
      </c>
      <c r="AD640" s="13">
        <v>0</v>
      </c>
      <c r="AE640" s="13" t="s">
        <v>1405</v>
      </c>
      <c r="AF640" s="13" t="s">
        <v>1405</v>
      </c>
    </row>
    <row r="641" spans="1:32" x14ac:dyDescent="0.2">
      <c r="A641" s="3" t="s">
        <v>2497</v>
      </c>
      <c r="B641" s="14" t="s">
        <v>1497</v>
      </c>
      <c r="C641" s="6">
        <v>640</v>
      </c>
      <c r="D641" s="14">
        <v>257</v>
      </c>
      <c r="E641" s="14" t="s">
        <v>1457</v>
      </c>
      <c r="F641" s="15" t="s">
        <v>1445</v>
      </c>
      <c r="G641" s="14" t="s">
        <v>1458</v>
      </c>
      <c r="H641" s="14" t="s">
        <v>55</v>
      </c>
      <c r="I641" s="14" t="s">
        <v>1410</v>
      </c>
      <c r="J641" s="14" t="s">
        <v>1407</v>
      </c>
      <c r="K641" s="8" t="s">
        <v>1611</v>
      </c>
      <c r="L641" s="16" t="s">
        <v>1521</v>
      </c>
      <c r="M641" s="16" t="s">
        <v>1610</v>
      </c>
      <c r="N641" s="16" t="s">
        <v>1407</v>
      </c>
      <c r="O641" s="16" t="s">
        <v>1581</v>
      </c>
      <c r="P641" s="16" t="s">
        <v>1451</v>
      </c>
      <c r="Q641" s="16" t="s">
        <v>1396</v>
      </c>
      <c r="R641" s="16">
        <v>11</v>
      </c>
      <c r="S641" s="16" t="s">
        <v>1453</v>
      </c>
      <c r="T641" s="16" t="s">
        <v>1454</v>
      </c>
      <c r="U641" s="16" t="s">
        <v>1406</v>
      </c>
      <c r="V641" s="16">
        <v>13</v>
      </c>
      <c r="W641" s="16" t="b">
        <v>1</v>
      </c>
      <c r="X641" s="16">
        <v>240806</v>
      </c>
      <c r="Y641" s="16" t="s">
        <v>1405</v>
      </c>
      <c r="Z641" s="16">
        <v>0</v>
      </c>
      <c r="AA641" s="16">
        <v>0</v>
      </c>
      <c r="AB641" s="16" t="s">
        <v>1405</v>
      </c>
      <c r="AC641" s="16" t="s">
        <v>1405</v>
      </c>
      <c r="AD641" s="16">
        <v>0</v>
      </c>
      <c r="AE641" s="16" t="s">
        <v>1405</v>
      </c>
      <c r="AF641" s="16" t="s">
        <v>1405</v>
      </c>
    </row>
    <row r="642" spans="1:32" x14ac:dyDescent="0.2">
      <c r="A642" s="3" t="s">
        <v>2498</v>
      </c>
      <c r="B642" s="12" t="s">
        <v>1497</v>
      </c>
      <c r="C642" s="6">
        <v>641</v>
      </c>
      <c r="D642" s="12">
        <v>258</v>
      </c>
      <c r="E642" s="12" t="s">
        <v>1444</v>
      </c>
      <c r="F642" s="12" t="s">
        <v>1445</v>
      </c>
      <c r="G642" s="12" t="s">
        <v>1446</v>
      </c>
      <c r="H642" s="12" t="s">
        <v>108</v>
      </c>
      <c r="I642" s="12" t="s">
        <v>1414</v>
      </c>
      <c r="J642" s="12" t="s">
        <v>1407</v>
      </c>
      <c r="K642" s="8" t="s">
        <v>1612</v>
      </c>
      <c r="L642" s="13" t="s">
        <v>1521</v>
      </c>
      <c r="M642" s="13" t="s">
        <v>1610</v>
      </c>
      <c r="N642" s="13" t="s">
        <v>1407</v>
      </c>
      <c r="O642" s="13" t="s">
        <v>1581</v>
      </c>
      <c r="P642" s="13" t="s">
        <v>1451</v>
      </c>
      <c r="Q642" s="13" t="s">
        <v>1398</v>
      </c>
      <c r="R642" s="13">
        <v>12</v>
      </c>
      <c r="S642" s="13" t="s">
        <v>1453</v>
      </c>
      <c r="T642" s="13" t="s">
        <v>1454</v>
      </c>
      <c r="U642" s="13" t="s">
        <v>1406</v>
      </c>
      <c r="V642" s="13">
        <v>13</v>
      </c>
      <c r="W642" s="13" t="b">
        <v>1</v>
      </c>
      <c r="X642" s="13">
        <v>240806</v>
      </c>
      <c r="Y642" s="13" t="s">
        <v>1405</v>
      </c>
      <c r="Z642" s="13">
        <v>0</v>
      </c>
      <c r="AA642" s="13">
        <v>0</v>
      </c>
      <c r="AB642" s="13" t="s">
        <v>1405</v>
      </c>
      <c r="AC642" s="13" t="s">
        <v>1405</v>
      </c>
      <c r="AD642" s="13">
        <v>0</v>
      </c>
      <c r="AE642" s="13" t="s">
        <v>1405</v>
      </c>
      <c r="AF642" s="13" t="s">
        <v>1405</v>
      </c>
    </row>
    <row r="643" spans="1:32" x14ac:dyDescent="0.2">
      <c r="A643" s="3" t="s">
        <v>2499</v>
      </c>
      <c r="B643" s="14" t="s">
        <v>1497</v>
      </c>
      <c r="C643" s="6">
        <v>642</v>
      </c>
      <c r="D643" s="14">
        <v>258</v>
      </c>
      <c r="E643" s="14" t="s">
        <v>1457</v>
      </c>
      <c r="F643" s="15" t="s">
        <v>1445</v>
      </c>
      <c r="G643" s="14" t="s">
        <v>1458</v>
      </c>
      <c r="H643" s="14" t="s">
        <v>56</v>
      </c>
      <c r="I643" s="14" t="s">
        <v>1410</v>
      </c>
      <c r="J643" s="14" t="s">
        <v>1407</v>
      </c>
      <c r="K643" s="8" t="s">
        <v>1613</v>
      </c>
      <c r="L643" s="16" t="s">
        <v>1521</v>
      </c>
      <c r="M643" s="16" t="s">
        <v>1610</v>
      </c>
      <c r="N643" s="16" t="s">
        <v>1407</v>
      </c>
      <c r="O643" s="16" t="s">
        <v>1581</v>
      </c>
      <c r="P643" s="16" t="s">
        <v>1451</v>
      </c>
      <c r="Q643" s="16" t="s">
        <v>1398</v>
      </c>
      <c r="R643" s="16">
        <v>12</v>
      </c>
      <c r="S643" s="16" t="s">
        <v>1453</v>
      </c>
      <c r="T643" s="16" t="s">
        <v>1454</v>
      </c>
      <c r="U643" s="16" t="s">
        <v>1406</v>
      </c>
      <c r="V643" s="16">
        <v>13</v>
      </c>
      <c r="W643" s="16" t="b">
        <v>1</v>
      </c>
      <c r="X643" s="16">
        <v>240806</v>
      </c>
      <c r="Y643" s="16" t="s">
        <v>1405</v>
      </c>
      <c r="Z643" s="16">
        <v>0</v>
      </c>
      <c r="AA643" s="16">
        <v>0</v>
      </c>
      <c r="AB643" s="16" t="s">
        <v>1405</v>
      </c>
      <c r="AC643" s="16" t="s">
        <v>1405</v>
      </c>
      <c r="AD643" s="16">
        <v>0</v>
      </c>
      <c r="AE643" s="16" t="s">
        <v>1405</v>
      </c>
      <c r="AF643" s="16" t="s">
        <v>1405</v>
      </c>
    </row>
    <row r="644" spans="1:32" x14ac:dyDescent="0.2">
      <c r="A644" s="3" t="s">
        <v>2500</v>
      </c>
      <c r="B644" s="12" t="s">
        <v>1497</v>
      </c>
      <c r="C644" s="6">
        <v>643</v>
      </c>
      <c r="D644" s="12">
        <v>259</v>
      </c>
      <c r="E644" s="12" t="s">
        <v>1444</v>
      </c>
      <c r="F644" s="12" t="s">
        <v>1445</v>
      </c>
      <c r="G644" s="12" t="s">
        <v>1446</v>
      </c>
      <c r="H644" s="12" t="s">
        <v>109</v>
      </c>
      <c r="I644" s="12" t="s">
        <v>1414</v>
      </c>
      <c r="J644" s="12" t="s">
        <v>1407</v>
      </c>
      <c r="K644" s="8" t="s">
        <v>1614</v>
      </c>
      <c r="L644" s="13" t="s">
        <v>1521</v>
      </c>
      <c r="M644" s="13" t="s">
        <v>1610</v>
      </c>
      <c r="N644" s="13" t="s">
        <v>1407</v>
      </c>
      <c r="O644" s="13" t="s">
        <v>1581</v>
      </c>
      <c r="P644" s="13" t="s">
        <v>1451</v>
      </c>
      <c r="Q644" s="13" t="s">
        <v>1399</v>
      </c>
      <c r="R644" s="13">
        <v>13</v>
      </c>
      <c r="S644" s="13" t="s">
        <v>1453</v>
      </c>
      <c r="T644" s="13" t="s">
        <v>1454</v>
      </c>
      <c r="U644" s="13" t="s">
        <v>1406</v>
      </c>
      <c r="V644" s="13">
        <v>13</v>
      </c>
      <c r="W644" s="13" t="b">
        <v>1</v>
      </c>
      <c r="X644" s="13">
        <v>240806</v>
      </c>
      <c r="Y644" s="13" t="s">
        <v>1405</v>
      </c>
      <c r="Z644" s="13">
        <v>0</v>
      </c>
      <c r="AA644" s="13">
        <v>0</v>
      </c>
      <c r="AB644" s="13" t="s">
        <v>1405</v>
      </c>
      <c r="AC644" s="13" t="s">
        <v>1405</v>
      </c>
      <c r="AD644" s="13">
        <v>0</v>
      </c>
      <c r="AE644" s="13" t="s">
        <v>1405</v>
      </c>
      <c r="AF644" s="13" t="s">
        <v>1405</v>
      </c>
    </row>
    <row r="645" spans="1:32" x14ac:dyDescent="0.2">
      <c r="A645" s="3" t="s">
        <v>2501</v>
      </c>
      <c r="B645" s="14" t="s">
        <v>1497</v>
      </c>
      <c r="C645" s="6">
        <v>644</v>
      </c>
      <c r="D645" s="14">
        <v>259</v>
      </c>
      <c r="E645" s="14" t="s">
        <v>1457</v>
      </c>
      <c r="F645" s="15" t="s">
        <v>1445</v>
      </c>
      <c r="G645" s="14" t="s">
        <v>1458</v>
      </c>
      <c r="H645" s="14" t="s">
        <v>57</v>
      </c>
      <c r="I645" s="14" t="s">
        <v>1410</v>
      </c>
      <c r="J645" s="14" t="s">
        <v>1407</v>
      </c>
      <c r="K645" s="8" t="s">
        <v>1615</v>
      </c>
      <c r="L645" s="16" t="s">
        <v>1521</v>
      </c>
      <c r="M645" s="16" t="s">
        <v>1610</v>
      </c>
      <c r="N645" s="16" t="s">
        <v>1407</v>
      </c>
      <c r="O645" s="16" t="s">
        <v>1581</v>
      </c>
      <c r="P645" s="16" t="s">
        <v>1451</v>
      </c>
      <c r="Q645" s="16" t="s">
        <v>1399</v>
      </c>
      <c r="R645" s="16">
        <v>13</v>
      </c>
      <c r="S645" s="16" t="s">
        <v>1453</v>
      </c>
      <c r="T645" s="16" t="s">
        <v>1454</v>
      </c>
      <c r="U645" s="16" t="s">
        <v>1406</v>
      </c>
      <c r="V645" s="16">
        <v>13</v>
      </c>
      <c r="W645" s="16" t="b">
        <v>1</v>
      </c>
      <c r="X645" s="16">
        <v>240806</v>
      </c>
      <c r="Y645" s="16" t="s">
        <v>1405</v>
      </c>
      <c r="Z645" s="16">
        <v>0</v>
      </c>
      <c r="AA645" s="16">
        <v>0</v>
      </c>
      <c r="AB645" s="16" t="s">
        <v>1405</v>
      </c>
      <c r="AC645" s="16" t="s">
        <v>1405</v>
      </c>
      <c r="AD645" s="16">
        <v>0</v>
      </c>
      <c r="AE645" s="16" t="s">
        <v>1405</v>
      </c>
      <c r="AF645" s="16" t="s">
        <v>1405</v>
      </c>
    </row>
    <row r="646" spans="1:32" x14ac:dyDescent="0.2">
      <c r="A646" s="3" t="s">
        <v>2502</v>
      </c>
      <c r="B646" s="12" t="s">
        <v>1497</v>
      </c>
      <c r="C646" s="6">
        <v>645</v>
      </c>
      <c r="D646" s="12">
        <v>260</v>
      </c>
      <c r="E646" s="12" t="s">
        <v>1444</v>
      </c>
      <c r="F646" s="12" t="s">
        <v>1445</v>
      </c>
      <c r="G646" s="12" t="s">
        <v>1446</v>
      </c>
      <c r="H646" s="12" t="s">
        <v>110</v>
      </c>
      <c r="I646" s="12" t="s">
        <v>1414</v>
      </c>
      <c r="J646" s="12" t="s">
        <v>1407</v>
      </c>
      <c r="K646" s="8" t="s">
        <v>1616</v>
      </c>
      <c r="L646" s="13" t="s">
        <v>1521</v>
      </c>
      <c r="M646" s="13" t="s">
        <v>1610</v>
      </c>
      <c r="N646" s="13" t="s">
        <v>1407</v>
      </c>
      <c r="O646" s="13" t="s">
        <v>1581</v>
      </c>
      <c r="P646" s="13" t="s">
        <v>1451</v>
      </c>
      <c r="Q646" s="13" t="s">
        <v>1400</v>
      </c>
      <c r="R646" s="13">
        <v>14</v>
      </c>
      <c r="S646" s="13" t="s">
        <v>1453</v>
      </c>
      <c r="T646" s="13" t="s">
        <v>1454</v>
      </c>
      <c r="U646" s="13" t="s">
        <v>1406</v>
      </c>
      <c r="V646" s="13">
        <v>13</v>
      </c>
      <c r="W646" s="13" t="b">
        <v>1</v>
      </c>
      <c r="X646" s="13">
        <v>240806</v>
      </c>
      <c r="Y646" s="13" t="s">
        <v>1405</v>
      </c>
      <c r="Z646" s="13">
        <v>0</v>
      </c>
      <c r="AA646" s="13">
        <v>0</v>
      </c>
      <c r="AB646" s="13" t="s">
        <v>1405</v>
      </c>
      <c r="AC646" s="13" t="s">
        <v>1405</v>
      </c>
      <c r="AD646" s="13">
        <v>0</v>
      </c>
      <c r="AE646" s="13" t="s">
        <v>1405</v>
      </c>
      <c r="AF646" s="13" t="s">
        <v>1405</v>
      </c>
    </row>
    <row r="647" spans="1:32" x14ac:dyDescent="0.2">
      <c r="A647" s="3" t="s">
        <v>2503</v>
      </c>
      <c r="B647" s="14" t="s">
        <v>1497</v>
      </c>
      <c r="C647" s="6">
        <v>646</v>
      </c>
      <c r="D647" s="14">
        <v>260</v>
      </c>
      <c r="E647" s="14" t="s">
        <v>1457</v>
      </c>
      <c r="F647" s="15" t="s">
        <v>1445</v>
      </c>
      <c r="G647" s="14" t="s">
        <v>1458</v>
      </c>
      <c r="H647" s="14" t="s">
        <v>58</v>
      </c>
      <c r="I647" s="14" t="s">
        <v>1410</v>
      </c>
      <c r="J647" s="14" t="s">
        <v>1407</v>
      </c>
      <c r="K647" s="8" t="s">
        <v>1617</v>
      </c>
      <c r="L647" s="16" t="s">
        <v>1521</v>
      </c>
      <c r="M647" s="16" t="s">
        <v>1610</v>
      </c>
      <c r="N647" s="16" t="s">
        <v>1407</v>
      </c>
      <c r="O647" s="16" t="s">
        <v>1581</v>
      </c>
      <c r="P647" s="16" t="s">
        <v>1451</v>
      </c>
      <c r="Q647" s="16" t="s">
        <v>1400</v>
      </c>
      <c r="R647" s="16">
        <v>14</v>
      </c>
      <c r="S647" s="16" t="s">
        <v>1453</v>
      </c>
      <c r="T647" s="16" t="s">
        <v>1454</v>
      </c>
      <c r="U647" s="16" t="s">
        <v>1406</v>
      </c>
      <c r="V647" s="16">
        <v>13</v>
      </c>
      <c r="W647" s="16" t="b">
        <v>1</v>
      </c>
      <c r="X647" s="16">
        <v>240806</v>
      </c>
      <c r="Y647" s="16" t="s">
        <v>1405</v>
      </c>
      <c r="Z647" s="16">
        <v>0</v>
      </c>
      <c r="AA647" s="16">
        <v>0</v>
      </c>
      <c r="AB647" s="16" t="s">
        <v>1405</v>
      </c>
      <c r="AC647" s="16" t="s">
        <v>1405</v>
      </c>
      <c r="AD647" s="16">
        <v>0</v>
      </c>
      <c r="AE647" s="16" t="s">
        <v>1405</v>
      </c>
      <c r="AF647" s="16" t="s">
        <v>1405</v>
      </c>
    </row>
    <row r="648" spans="1:32" x14ac:dyDescent="0.2">
      <c r="A648" s="3" t="s">
        <v>2504</v>
      </c>
      <c r="B648" s="12" t="s">
        <v>1497</v>
      </c>
      <c r="C648" s="6">
        <v>647</v>
      </c>
      <c r="D648" s="12">
        <v>261</v>
      </c>
      <c r="E648" s="12" t="s">
        <v>1444</v>
      </c>
      <c r="F648" s="12" t="s">
        <v>1445</v>
      </c>
      <c r="G648" s="12" t="s">
        <v>1446</v>
      </c>
      <c r="H648" s="12" t="s">
        <v>111</v>
      </c>
      <c r="I648" s="12" t="s">
        <v>1414</v>
      </c>
      <c r="J648" s="12" t="s">
        <v>1407</v>
      </c>
      <c r="K648" s="8" t="s">
        <v>1618</v>
      </c>
      <c r="L648" s="13" t="s">
        <v>1521</v>
      </c>
      <c r="M648" s="13" t="s">
        <v>1610</v>
      </c>
      <c r="N648" s="13" t="s">
        <v>1407</v>
      </c>
      <c r="O648" s="13" t="s">
        <v>1581</v>
      </c>
      <c r="P648" s="13" t="s">
        <v>1451</v>
      </c>
      <c r="Q648" s="13" t="s">
        <v>1541</v>
      </c>
      <c r="R648" s="13">
        <v>15</v>
      </c>
      <c r="S648" s="13" t="s">
        <v>1453</v>
      </c>
      <c r="T648" s="13" t="s">
        <v>1454</v>
      </c>
      <c r="U648" s="13" t="s">
        <v>1406</v>
      </c>
      <c r="V648" s="13">
        <v>13</v>
      </c>
      <c r="W648" s="13" t="b">
        <v>1</v>
      </c>
      <c r="X648" s="13">
        <v>240806</v>
      </c>
      <c r="Y648" s="13" t="s">
        <v>1405</v>
      </c>
      <c r="Z648" s="13">
        <v>0</v>
      </c>
      <c r="AA648" s="13">
        <v>0</v>
      </c>
      <c r="AB648" s="13" t="s">
        <v>1405</v>
      </c>
      <c r="AC648" s="13" t="s">
        <v>1405</v>
      </c>
      <c r="AD648" s="13">
        <v>0</v>
      </c>
      <c r="AE648" s="13" t="s">
        <v>1405</v>
      </c>
      <c r="AF648" s="13" t="s">
        <v>1405</v>
      </c>
    </row>
    <row r="649" spans="1:32" x14ac:dyDescent="0.2">
      <c r="A649" s="3" t="s">
        <v>2505</v>
      </c>
      <c r="B649" s="14" t="s">
        <v>1497</v>
      </c>
      <c r="C649" s="6">
        <v>648</v>
      </c>
      <c r="D649" s="14">
        <v>261</v>
      </c>
      <c r="E649" s="14" t="s">
        <v>1457</v>
      </c>
      <c r="F649" s="15" t="s">
        <v>1445</v>
      </c>
      <c r="G649" s="14" t="s">
        <v>1458</v>
      </c>
      <c r="H649" s="14" t="s">
        <v>59</v>
      </c>
      <c r="I649" s="14" t="s">
        <v>1410</v>
      </c>
      <c r="J649" s="14" t="s">
        <v>1407</v>
      </c>
      <c r="K649" s="8" t="s">
        <v>1619</v>
      </c>
      <c r="L649" s="16" t="s">
        <v>1521</v>
      </c>
      <c r="M649" s="16" t="s">
        <v>1610</v>
      </c>
      <c r="N649" s="16" t="s">
        <v>1407</v>
      </c>
      <c r="O649" s="16" t="s">
        <v>1581</v>
      </c>
      <c r="P649" s="16" t="s">
        <v>1451</v>
      </c>
      <c r="Q649" s="16" t="s">
        <v>1541</v>
      </c>
      <c r="R649" s="16">
        <v>15</v>
      </c>
      <c r="S649" s="16" t="s">
        <v>1453</v>
      </c>
      <c r="T649" s="16" t="s">
        <v>1454</v>
      </c>
      <c r="U649" s="16" t="s">
        <v>1406</v>
      </c>
      <c r="V649" s="16">
        <v>13</v>
      </c>
      <c r="W649" s="16" t="b">
        <v>1</v>
      </c>
      <c r="X649" s="16">
        <v>240806</v>
      </c>
      <c r="Y649" s="16" t="s">
        <v>1405</v>
      </c>
      <c r="Z649" s="16">
        <v>0</v>
      </c>
      <c r="AA649" s="16">
        <v>0</v>
      </c>
      <c r="AB649" s="16" t="s">
        <v>1405</v>
      </c>
      <c r="AC649" s="16" t="s">
        <v>1405</v>
      </c>
      <c r="AD649" s="16">
        <v>0</v>
      </c>
      <c r="AE649" s="16" t="s">
        <v>1405</v>
      </c>
      <c r="AF649" s="16" t="s">
        <v>1405</v>
      </c>
    </row>
    <row r="650" spans="1:32" x14ac:dyDescent="0.2">
      <c r="A650" s="3" t="s">
        <v>2506</v>
      </c>
      <c r="B650" s="12" t="s">
        <v>1497</v>
      </c>
      <c r="C650" s="6">
        <v>649</v>
      </c>
      <c r="D650" s="12">
        <v>262</v>
      </c>
      <c r="E650" s="12" t="s">
        <v>1444</v>
      </c>
      <c r="F650" s="12" t="s">
        <v>1445</v>
      </c>
      <c r="G650" s="12" t="s">
        <v>1446</v>
      </c>
      <c r="H650" s="12" t="s">
        <v>112</v>
      </c>
      <c r="I650" s="12" t="s">
        <v>1414</v>
      </c>
      <c r="J650" s="12" t="s">
        <v>1622</v>
      </c>
      <c r="K650" s="8" t="s">
        <v>1405</v>
      </c>
      <c r="L650" s="13" t="s">
        <v>1405</v>
      </c>
      <c r="M650" s="13" t="s">
        <v>1405</v>
      </c>
      <c r="N650" s="13" t="s">
        <v>1622</v>
      </c>
      <c r="O650" s="13" t="s">
        <v>1623</v>
      </c>
      <c r="P650" s="13" t="s">
        <v>1405</v>
      </c>
      <c r="Q650" s="13" t="s">
        <v>1405</v>
      </c>
      <c r="R650" s="13">
        <v>0</v>
      </c>
      <c r="S650" s="13" t="s">
        <v>1405</v>
      </c>
      <c r="T650" s="13"/>
      <c r="U650" s="13" t="s">
        <v>1405</v>
      </c>
      <c r="V650" s="13">
        <v>0</v>
      </c>
      <c r="W650" s="13" t="b">
        <v>0</v>
      </c>
      <c r="X650" s="13">
        <v>0</v>
      </c>
      <c r="Y650" s="13" t="s">
        <v>1405</v>
      </c>
      <c r="Z650" s="13">
        <v>0</v>
      </c>
      <c r="AA650" s="13">
        <v>0</v>
      </c>
      <c r="AB650" s="13" t="s">
        <v>1405</v>
      </c>
      <c r="AC650" s="13" t="s">
        <v>1405</v>
      </c>
      <c r="AD650" s="13">
        <v>0</v>
      </c>
      <c r="AE650" s="13" t="s">
        <v>1405</v>
      </c>
      <c r="AF650" s="13" t="s">
        <v>1405</v>
      </c>
    </row>
    <row r="651" spans="1:32" x14ac:dyDescent="0.2">
      <c r="A651" s="3" t="s">
        <v>2507</v>
      </c>
      <c r="B651" s="14" t="s">
        <v>1497</v>
      </c>
      <c r="C651" s="6">
        <v>650</v>
      </c>
      <c r="D651" s="14">
        <v>262</v>
      </c>
      <c r="E651" s="14" t="s">
        <v>1457</v>
      </c>
      <c r="F651" s="15" t="s">
        <v>1445</v>
      </c>
      <c r="G651" s="14" t="s">
        <v>1458</v>
      </c>
      <c r="H651" s="14" t="s">
        <v>36</v>
      </c>
      <c r="I651" s="14" t="s">
        <v>1409</v>
      </c>
      <c r="J651" s="14" t="s">
        <v>1622</v>
      </c>
      <c r="K651" s="8" t="s">
        <v>1405</v>
      </c>
      <c r="L651" s="16" t="s">
        <v>1405</v>
      </c>
      <c r="M651" s="16" t="s">
        <v>1405</v>
      </c>
      <c r="N651" s="16" t="s">
        <v>1622</v>
      </c>
      <c r="O651" s="16" t="s">
        <v>1623</v>
      </c>
      <c r="P651" s="16" t="s">
        <v>1405</v>
      </c>
      <c r="Q651" s="16" t="s">
        <v>1405</v>
      </c>
      <c r="R651" s="16">
        <v>0</v>
      </c>
      <c r="S651" s="16" t="s">
        <v>1405</v>
      </c>
      <c r="T651" s="16"/>
      <c r="U651" s="16" t="s">
        <v>1405</v>
      </c>
      <c r="V651" s="16">
        <v>0</v>
      </c>
      <c r="W651" s="16" t="b">
        <v>0</v>
      </c>
      <c r="X651" s="16">
        <v>0</v>
      </c>
      <c r="Y651" s="16" t="s">
        <v>1405</v>
      </c>
      <c r="Z651" s="16">
        <v>0</v>
      </c>
      <c r="AA651" s="16">
        <v>0</v>
      </c>
      <c r="AB651" s="16" t="s">
        <v>1405</v>
      </c>
      <c r="AC651" s="16" t="s">
        <v>1405</v>
      </c>
      <c r="AD651" s="16">
        <v>0</v>
      </c>
      <c r="AE651" s="16" t="s">
        <v>1405</v>
      </c>
      <c r="AF651" s="16" t="s">
        <v>1405</v>
      </c>
    </row>
    <row r="652" spans="1:32" x14ac:dyDescent="0.2">
      <c r="A652" s="3" t="s">
        <v>2508</v>
      </c>
      <c r="B652" s="12" t="s">
        <v>1497</v>
      </c>
      <c r="C652" s="6">
        <v>651</v>
      </c>
      <c r="D652" s="12">
        <v>263</v>
      </c>
      <c r="E652" s="12" t="s">
        <v>1444</v>
      </c>
      <c r="F652" s="12" t="s">
        <v>1445</v>
      </c>
      <c r="G652" s="12" t="s">
        <v>1446</v>
      </c>
      <c r="H652" s="12" t="s">
        <v>113</v>
      </c>
      <c r="I652" s="12" t="s">
        <v>1414</v>
      </c>
      <c r="J652" s="12" t="s">
        <v>8</v>
      </c>
      <c r="K652" s="8" t="s">
        <v>1405</v>
      </c>
      <c r="L652" s="13" t="s">
        <v>1405</v>
      </c>
      <c r="M652" s="13" t="s">
        <v>1405</v>
      </c>
      <c r="N652" s="13" t="s">
        <v>1624</v>
      </c>
      <c r="O652" s="13" t="s">
        <v>1623</v>
      </c>
      <c r="P652" s="13" t="s">
        <v>1405</v>
      </c>
      <c r="Q652" s="13" t="s">
        <v>1405</v>
      </c>
      <c r="R652" s="13">
        <v>0</v>
      </c>
      <c r="S652" s="13" t="s">
        <v>1405</v>
      </c>
      <c r="T652" s="13"/>
      <c r="U652" s="13" t="s">
        <v>1405</v>
      </c>
      <c r="V652" s="13">
        <v>0</v>
      </c>
      <c r="W652" s="13" t="b">
        <v>0</v>
      </c>
      <c r="X652" s="13">
        <v>0</v>
      </c>
      <c r="Y652" s="13" t="s">
        <v>1405</v>
      </c>
      <c r="Z652" s="13">
        <v>0</v>
      </c>
      <c r="AA652" s="13">
        <v>0</v>
      </c>
      <c r="AB652" s="13" t="s">
        <v>1405</v>
      </c>
      <c r="AC652" s="13" t="s">
        <v>1405</v>
      </c>
      <c r="AD652" s="13">
        <v>0</v>
      </c>
      <c r="AE652" s="13" t="s">
        <v>1405</v>
      </c>
      <c r="AF652" s="13" t="s">
        <v>1405</v>
      </c>
    </row>
    <row r="653" spans="1:32" x14ac:dyDescent="0.2">
      <c r="A653" s="3" t="s">
        <v>2509</v>
      </c>
      <c r="B653" s="14" t="s">
        <v>1497</v>
      </c>
      <c r="C653" s="6">
        <v>652</v>
      </c>
      <c r="D653" s="14">
        <v>263</v>
      </c>
      <c r="E653" s="14" t="s">
        <v>1457</v>
      </c>
      <c r="F653" s="15" t="s">
        <v>1445</v>
      </c>
      <c r="G653" s="14" t="s">
        <v>1458</v>
      </c>
      <c r="H653" s="14" t="s">
        <v>38</v>
      </c>
      <c r="I653" s="14" t="s">
        <v>1409</v>
      </c>
      <c r="J653" s="14" t="s">
        <v>8</v>
      </c>
      <c r="K653" s="8" t="s">
        <v>1405</v>
      </c>
      <c r="L653" s="16" t="s">
        <v>1405</v>
      </c>
      <c r="M653" s="16" t="s">
        <v>1405</v>
      </c>
      <c r="N653" s="16" t="s">
        <v>1624</v>
      </c>
      <c r="O653" s="16" t="s">
        <v>1623</v>
      </c>
      <c r="P653" s="16" t="s">
        <v>1405</v>
      </c>
      <c r="Q653" s="16" t="s">
        <v>1405</v>
      </c>
      <c r="R653" s="16">
        <v>0</v>
      </c>
      <c r="S653" s="16" t="s">
        <v>1405</v>
      </c>
      <c r="T653" s="16"/>
      <c r="U653" s="16" t="s">
        <v>1405</v>
      </c>
      <c r="V653" s="16">
        <v>0</v>
      </c>
      <c r="W653" s="16" t="b">
        <v>0</v>
      </c>
      <c r="X653" s="16">
        <v>0</v>
      </c>
      <c r="Y653" s="16" t="s">
        <v>1405</v>
      </c>
      <c r="Z653" s="16">
        <v>0</v>
      </c>
      <c r="AA653" s="16">
        <v>0</v>
      </c>
      <c r="AB653" s="16" t="s">
        <v>1405</v>
      </c>
      <c r="AC653" s="16" t="s">
        <v>1405</v>
      </c>
      <c r="AD653" s="16">
        <v>0</v>
      </c>
      <c r="AE653" s="16" t="s">
        <v>1405</v>
      </c>
      <c r="AF653" s="16" t="s">
        <v>1405</v>
      </c>
    </row>
    <row r="654" spans="1:32" x14ac:dyDescent="0.2">
      <c r="A654" s="3" t="s">
        <v>2510</v>
      </c>
      <c r="B654" s="12" t="s">
        <v>1497</v>
      </c>
      <c r="C654" s="6">
        <v>653</v>
      </c>
      <c r="D654" s="12">
        <v>264</v>
      </c>
      <c r="E654" s="12" t="s">
        <v>1444</v>
      </c>
      <c r="F654" s="12" t="s">
        <v>1445</v>
      </c>
      <c r="G654" s="12" t="s">
        <v>1446</v>
      </c>
      <c r="H654" s="12" t="s">
        <v>114</v>
      </c>
      <c r="I654" s="12" t="s">
        <v>1414</v>
      </c>
      <c r="J654" s="12" t="s">
        <v>1625</v>
      </c>
      <c r="K654" s="8" t="s">
        <v>1405</v>
      </c>
      <c r="L654" s="13" t="s">
        <v>1405</v>
      </c>
      <c r="M654" s="13" t="s">
        <v>1405</v>
      </c>
      <c r="N654" s="13" t="s">
        <v>1407</v>
      </c>
      <c r="O654" s="13" t="s">
        <v>1623</v>
      </c>
      <c r="P654" s="13" t="s">
        <v>1405</v>
      </c>
      <c r="Q654" s="13" t="s">
        <v>1405</v>
      </c>
      <c r="R654" s="13">
        <v>0</v>
      </c>
      <c r="S654" s="13" t="s">
        <v>1405</v>
      </c>
      <c r="T654" s="13"/>
      <c r="U654" s="13" t="s">
        <v>1405</v>
      </c>
      <c r="V654" s="13">
        <v>0</v>
      </c>
      <c r="W654" s="13" t="b">
        <v>0</v>
      </c>
      <c r="X654" s="13">
        <v>0</v>
      </c>
      <c r="Y654" s="13" t="s">
        <v>1405</v>
      </c>
      <c r="Z654" s="13">
        <v>0</v>
      </c>
      <c r="AA654" s="13">
        <v>0</v>
      </c>
      <c r="AB654" s="13" t="s">
        <v>1405</v>
      </c>
      <c r="AC654" s="13" t="s">
        <v>1405</v>
      </c>
      <c r="AD654" s="13">
        <v>0</v>
      </c>
      <c r="AE654" s="13" t="s">
        <v>1405</v>
      </c>
      <c r="AF654" s="13" t="s">
        <v>1405</v>
      </c>
    </row>
    <row r="655" spans="1:32" x14ac:dyDescent="0.2">
      <c r="A655" s="3" t="s">
        <v>2511</v>
      </c>
      <c r="B655" s="14" t="s">
        <v>1497</v>
      </c>
      <c r="C655" s="6">
        <v>654</v>
      </c>
      <c r="D655" s="14">
        <v>264</v>
      </c>
      <c r="E655" s="14" t="s">
        <v>1457</v>
      </c>
      <c r="F655" s="15" t="s">
        <v>1445</v>
      </c>
      <c r="G655" s="14" t="s">
        <v>1458</v>
      </c>
      <c r="H655" s="14" t="s">
        <v>60</v>
      </c>
      <c r="I655" s="14" t="s">
        <v>1410</v>
      </c>
      <c r="J655" s="14" t="s">
        <v>1625</v>
      </c>
      <c r="K655" s="8" t="s">
        <v>1405</v>
      </c>
      <c r="L655" s="16" t="s">
        <v>1405</v>
      </c>
      <c r="M655" s="16" t="s">
        <v>1405</v>
      </c>
      <c r="N655" s="16" t="s">
        <v>1407</v>
      </c>
      <c r="O655" s="16" t="s">
        <v>1623</v>
      </c>
      <c r="P655" s="16" t="s">
        <v>1405</v>
      </c>
      <c r="Q655" s="16" t="s">
        <v>1405</v>
      </c>
      <c r="R655" s="16">
        <v>0</v>
      </c>
      <c r="S655" s="16" t="s">
        <v>1405</v>
      </c>
      <c r="T655" s="16"/>
      <c r="U655" s="16" t="s">
        <v>1405</v>
      </c>
      <c r="V655" s="16">
        <v>0</v>
      </c>
      <c r="W655" s="16" t="b">
        <v>0</v>
      </c>
      <c r="X655" s="16">
        <v>0</v>
      </c>
      <c r="Y655" s="16" t="s">
        <v>1405</v>
      </c>
      <c r="Z655" s="16">
        <v>0</v>
      </c>
      <c r="AA655" s="16">
        <v>0</v>
      </c>
      <c r="AB655" s="16" t="s">
        <v>1405</v>
      </c>
      <c r="AC655" s="16" t="s">
        <v>1405</v>
      </c>
      <c r="AD655" s="16">
        <v>0</v>
      </c>
      <c r="AE655" s="16" t="s">
        <v>1405</v>
      </c>
      <c r="AF655" s="16" t="s">
        <v>1405</v>
      </c>
    </row>
    <row r="656" spans="1:32" x14ac:dyDescent="0.2">
      <c r="A656" s="3" t="s">
        <v>2512</v>
      </c>
      <c r="B656" s="12" t="s">
        <v>1497</v>
      </c>
      <c r="C656" s="6">
        <v>655</v>
      </c>
      <c r="D656" s="12">
        <v>265</v>
      </c>
      <c r="E656" s="12" t="s">
        <v>1444</v>
      </c>
      <c r="F656" s="12" t="s">
        <v>1445</v>
      </c>
      <c r="G656" s="12" t="s">
        <v>1446</v>
      </c>
      <c r="H656" s="12" t="s">
        <v>115</v>
      </c>
      <c r="I656" s="12" t="s">
        <v>1414</v>
      </c>
      <c r="J656" s="12" t="s">
        <v>1625</v>
      </c>
      <c r="K656" s="8" t="s">
        <v>1405</v>
      </c>
      <c r="L656" s="13" t="s">
        <v>1405</v>
      </c>
      <c r="M656" s="13" t="s">
        <v>1405</v>
      </c>
      <c r="N656" s="13" t="s">
        <v>1407</v>
      </c>
      <c r="O656" s="13" t="s">
        <v>1623</v>
      </c>
      <c r="P656" s="13" t="s">
        <v>1405</v>
      </c>
      <c r="Q656" s="13" t="s">
        <v>1405</v>
      </c>
      <c r="R656" s="13">
        <v>0</v>
      </c>
      <c r="S656" s="13" t="s">
        <v>1405</v>
      </c>
      <c r="T656" s="13"/>
      <c r="U656" s="13" t="s">
        <v>1405</v>
      </c>
      <c r="V656" s="13">
        <v>0</v>
      </c>
      <c r="W656" s="13" t="b">
        <v>0</v>
      </c>
      <c r="X656" s="13">
        <v>0</v>
      </c>
      <c r="Y656" s="13" t="s">
        <v>1405</v>
      </c>
      <c r="Z656" s="13">
        <v>0</v>
      </c>
      <c r="AA656" s="13">
        <v>0</v>
      </c>
      <c r="AB656" s="13" t="s">
        <v>1405</v>
      </c>
      <c r="AC656" s="13" t="s">
        <v>1405</v>
      </c>
      <c r="AD656" s="13">
        <v>0</v>
      </c>
      <c r="AE656" s="13" t="s">
        <v>1405</v>
      </c>
      <c r="AF656" s="13" t="s">
        <v>1405</v>
      </c>
    </row>
    <row r="657" spans="1:32" x14ac:dyDescent="0.2">
      <c r="A657" s="3" t="s">
        <v>2513</v>
      </c>
      <c r="B657" s="14" t="s">
        <v>1497</v>
      </c>
      <c r="C657" s="6">
        <v>656</v>
      </c>
      <c r="D657" s="14">
        <v>265</v>
      </c>
      <c r="E657" s="14" t="s">
        <v>1457</v>
      </c>
      <c r="F657" s="15" t="s">
        <v>1445</v>
      </c>
      <c r="G657" s="14" t="s">
        <v>1458</v>
      </c>
      <c r="H657" s="14" t="s">
        <v>61</v>
      </c>
      <c r="I657" s="14" t="s">
        <v>1410</v>
      </c>
      <c r="J657" s="14" t="s">
        <v>1625</v>
      </c>
      <c r="K657" s="8" t="s">
        <v>1405</v>
      </c>
      <c r="L657" s="16" t="s">
        <v>1405</v>
      </c>
      <c r="M657" s="16" t="s">
        <v>1405</v>
      </c>
      <c r="N657" s="16" t="s">
        <v>1407</v>
      </c>
      <c r="O657" s="16" t="s">
        <v>1623</v>
      </c>
      <c r="P657" s="16" t="s">
        <v>1405</v>
      </c>
      <c r="Q657" s="16" t="s">
        <v>1405</v>
      </c>
      <c r="R657" s="16">
        <v>0</v>
      </c>
      <c r="S657" s="16" t="s">
        <v>1405</v>
      </c>
      <c r="T657" s="16"/>
      <c r="U657" s="16" t="s">
        <v>1405</v>
      </c>
      <c r="V657" s="16">
        <v>0</v>
      </c>
      <c r="W657" s="16" t="b">
        <v>0</v>
      </c>
      <c r="X657" s="16">
        <v>0</v>
      </c>
      <c r="Y657" s="16" t="s">
        <v>1405</v>
      </c>
      <c r="Z657" s="16">
        <v>0</v>
      </c>
      <c r="AA657" s="16">
        <v>0</v>
      </c>
      <c r="AB657" s="16" t="s">
        <v>1405</v>
      </c>
      <c r="AC657" s="16" t="s">
        <v>1405</v>
      </c>
      <c r="AD657" s="16">
        <v>0</v>
      </c>
      <c r="AE657" s="16" t="s">
        <v>1405</v>
      </c>
      <c r="AF657" s="16" t="s">
        <v>1405</v>
      </c>
    </row>
    <row r="658" spans="1:32" x14ac:dyDescent="0.2">
      <c r="A658" s="3" t="s">
        <v>2514</v>
      </c>
      <c r="B658" s="12" t="s">
        <v>1497</v>
      </c>
      <c r="C658" s="6">
        <v>657</v>
      </c>
      <c r="D658" s="12">
        <v>266</v>
      </c>
      <c r="E658" s="12" t="s">
        <v>1444</v>
      </c>
      <c r="F658" s="12" t="s">
        <v>1445</v>
      </c>
      <c r="G658" s="12" t="s">
        <v>1446</v>
      </c>
      <c r="H658" s="12" t="s">
        <v>116</v>
      </c>
      <c r="I658" s="12" t="s">
        <v>1414</v>
      </c>
      <c r="J658" s="12" t="s">
        <v>1622</v>
      </c>
      <c r="K658" s="8" t="s">
        <v>1405</v>
      </c>
      <c r="L658" s="13" t="s">
        <v>1405</v>
      </c>
      <c r="M658" s="13" t="s">
        <v>1405</v>
      </c>
      <c r="N658" s="13" t="s">
        <v>1622</v>
      </c>
      <c r="O658" s="13" t="s">
        <v>1581</v>
      </c>
      <c r="P658" s="13" t="s">
        <v>1405</v>
      </c>
      <c r="Q658" s="13" t="s">
        <v>1405</v>
      </c>
      <c r="R658" s="13">
        <v>0</v>
      </c>
      <c r="S658" s="13" t="s">
        <v>1405</v>
      </c>
      <c r="T658" s="13"/>
      <c r="U658" s="13" t="s">
        <v>1405</v>
      </c>
      <c r="V658" s="13">
        <v>0</v>
      </c>
      <c r="W658" s="13" t="b">
        <v>0</v>
      </c>
      <c r="X658" s="13">
        <v>0</v>
      </c>
      <c r="Y658" s="13" t="s">
        <v>1405</v>
      </c>
      <c r="Z658" s="13">
        <v>0</v>
      </c>
      <c r="AA658" s="13">
        <v>0</v>
      </c>
      <c r="AB658" s="13" t="s">
        <v>1405</v>
      </c>
      <c r="AC658" s="13" t="s">
        <v>1405</v>
      </c>
      <c r="AD658" s="13">
        <v>0</v>
      </c>
      <c r="AE658" s="13" t="s">
        <v>1405</v>
      </c>
      <c r="AF658" s="13" t="s">
        <v>1405</v>
      </c>
    </row>
    <row r="659" spans="1:32" x14ac:dyDescent="0.2">
      <c r="A659" s="3" t="s">
        <v>2515</v>
      </c>
      <c r="B659" s="14" t="s">
        <v>1497</v>
      </c>
      <c r="C659" s="6">
        <v>658</v>
      </c>
      <c r="D659" s="14">
        <v>266</v>
      </c>
      <c r="E659" s="14" t="s">
        <v>1457</v>
      </c>
      <c r="F659" s="15" t="s">
        <v>1445</v>
      </c>
      <c r="G659" s="14" t="s">
        <v>1458</v>
      </c>
      <c r="H659" s="14" t="s">
        <v>42</v>
      </c>
      <c r="I659" s="14" t="s">
        <v>1409</v>
      </c>
      <c r="J659" s="14" t="s">
        <v>1622</v>
      </c>
      <c r="K659" s="8" t="s">
        <v>1405</v>
      </c>
      <c r="L659" s="16" t="s">
        <v>1405</v>
      </c>
      <c r="M659" s="16" t="s">
        <v>1405</v>
      </c>
      <c r="N659" s="16" t="s">
        <v>1622</v>
      </c>
      <c r="O659" s="16" t="s">
        <v>1532</v>
      </c>
      <c r="P659" s="16" t="s">
        <v>1405</v>
      </c>
      <c r="Q659" s="16" t="s">
        <v>1405</v>
      </c>
      <c r="R659" s="16">
        <v>0</v>
      </c>
      <c r="S659" s="16" t="s">
        <v>1405</v>
      </c>
      <c r="T659" s="16"/>
      <c r="U659" s="16" t="s">
        <v>1405</v>
      </c>
      <c r="V659" s="16">
        <v>0</v>
      </c>
      <c r="W659" s="16" t="b">
        <v>0</v>
      </c>
      <c r="X659" s="16">
        <v>0</v>
      </c>
      <c r="Y659" s="16" t="s">
        <v>1405</v>
      </c>
      <c r="Z659" s="16">
        <v>0</v>
      </c>
      <c r="AA659" s="16">
        <v>0</v>
      </c>
      <c r="AB659" s="16" t="s">
        <v>1405</v>
      </c>
      <c r="AC659" s="16" t="s">
        <v>1405</v>
      </c>
      <c r="AD659" s="16">
        <v>0</v>
      </c>
      <c r="AE659" s="16" t="s">
        <v>1405</v>
      </c>
      <c r="AF659" s="16" t="s">
        <v>1405</v>
      </c>
    </row>
    <row r="660" spans="1:32" x14ac:dyDescent="0.2">
      <c r="A660" s="3" t="s">
        <v>2516</v>
      </c>
      <c r="B660" s="12" t="s">
        <v>1497</v>
      </c>
      <c r="C660" s="6">
        <v>659</v>
      </c>
      <c r="D660" s="12">
        <v>267</v>
      </c>
      <c r="E660" s="12" t="s">
        <v>1444</v>
      </c>
      <c r="F660" s="12" t="s">
        <v>1445</v>
      </c>
      <c r="G660" s="12" t="s">
        <v>1446</v>
      </c>
      <c r="H660" s="12" t="s">
        <v>118</v>
      </c>
      <c r="I660" s="12" t="s">
        <v>1414</v>
      </c>
      <c r="J660" s="12" t="s">
        <v>8</v>
      </c>
      <c r="K660" s="8" t="s">
        <v>1405</v>
      </c>
      <c r="L660" s="13" t="s">
        <v>1405</v>
      </c>
      <c r="M660" s="13" t="s">
        <v>1405</v>
      </c>
      <c r="N660" s="13" t="s">
        <v>1624</v>
      </c>
      <c r="O660" s="13" t="s">
        <v>1581</v>
      </c>
      <c r="P660" s="13" t="s">
        <v>1405</v>
      </c>
      <c r="Q660" s="13" t="s">
        <v>1405</v>
      </c>
      <c r="R660" s="13">
        <v>0</v>
      </c>
      <c r="S660" s="13" t="s">
        <v>1405</v>
      </c>
      <c r="T660" s="13"/>
      <c r="U660" s="13" t="s">
        <v>1405</v>
      </c>
      <c r="V660" s="13">
        <v>0</v>
      </c>
      <c r="W660" s="13" t="b">
        <v>0</v>
      </c>
      <c r="X660" s="13">
        <v>0</v>
      </c>
      <c r="Y660" s="13" t="s">
        <v>1405</v>
      </c>
      <c r="Z660" s="13">
        <v>0</v>
      </c>
      <c r="AA660" s="13">
        <v>0</v>
      </c>
      <c r="AB660" s="13" t="s">
        <v>1405</v>
      </c>
      <c r="AC660" s="13" t="s">
        <v>1405</v>
      </c>
      <c r="AD660" s="13">
        <v>0</v>
      </c>
      <c r="AE660" s="13" t="s">
        <v>1405</v>
      </c>
      <c r="AF660" s="13" t="s">
        <v>1405</v>
      </c>
    </row>
    <row r="661" spans="1:32" x14ac:dyDescent="0.2">
      <c r="A661" s="3" t="s">
        <v>2517</v>
      </c>
      <c r="B661" s="14" t="s">
        <v>1497</v>
      </c>
      <c r="C661" s="6">
        <v>660</v>
      </c>
      <c r="D661" s="14">
        <v>267</v>
      </c>
      <c r="E661" s="14" t="s">
        <v>1457</v>
      </c>
      <c r="F661" s="15" t="s">
        <v>1445</v>
      </c>
      <c r="G661" s="14" t="s">
        <v>1458</v>
      </c>
      <c r="H661" s="14" t="s">
        <v>40</v>
      </c>
      <c r="I661" s="14" t="s">
        <v>1409</v>
      </c>
      <c r="J661" s="14" t="s">
        <v>8</v>
      </c>
      <c r="K661" s="8" t="s">
        <v>1405</v>
      </c>
      <c r="L661" s="16" t="s">
        <v>1405</v>
      </c>
      <c r="M661" s="16" t="s">
        <v>1405</v>
      </c>
      <c r="N661" s="16" t="s">
        <v>1624</v>
      </c>
      <c r="O661" s="16" t="s">
        <v>1581</v>
      </c>
      <c r="P661" s="16" t="s">
        <v>1405</v>
      </c>
      <c r="Q661" s="16" t="s">
        <v>1405</v>
      </c>
      <c r="R661" s="16">
        <v>0</v>
      </c>
      <c r="S661" s="16" t="s">
        <v>1405</v>
      </c>
      <c r="T661" s="16"/>
      <c r="U661" s="16" t="s">
        <v>1405</v>
      </c>
      <c r="V661" s="16">
        <v>0</v>
      </c>
      <c r="W661" s="16" t="b">
        <v>0</v>
      </c>
      <c r="X661" s="16">
        <v>0</v>
      </c>
      <c r="Y661" s="16" t="s">
        <v>1405</v>
      </c>
      <c r="Z661" s="16">
        <v>0</v>
      </c>
      <c r="AA661" s="16">
        <v>0</v>
      </c>
      <c r="AB661" s="16" t="s">
        <v>1405</v>
      </c>
      <c r="AC661" s="16" t="s">
        <v>1405</v>
      </c>
      <c r="AD661" s="16">
        <v>0</v>
      </c>
      <c r="AE661" s="16" t="s">
        <v>1405</v>
      </c>
      <c r="AF661" s="16" t="s">
        <v>1405</v>
      </c>
    </row>
    <row r="662" spans="1:32" x14ac:dyDescent="0.2">
      <c r="A662" s="3" t="s">
        <v>2518</v>
      </c>
      <c r="B662" s="12" t="s">
        <v>1497</v>
      </c>
      <c r="C662" s="6">
        <v>661</v>
      </c>
      <c r="D662" s="12">
        <v>268</v>
      </c>
      <c r="E662" s="12" t="s">
        <v>1444</v>
      </c>
      <c r="F662" s="12" t="s">
        <v>1445</v>
      </c>
      <c r="G662" s="12" t="s">
        <v>1446</v>
      </c>
      <c r="H662" s="12" t="s">
        <v>119</v>
      </c>
      <c r="I662" s="12" t="s">
        <v>1414</v>
      </c>
      <c r="J662" s="12" t="s">
        <v>8</v>
      </c>
      <c r="K662" s="8" t="s">
        <v>1405</v>
      </c>
      <c r="L662" s="13" t="s">
        <v>1405</v>
      </c>
      <c r="M662" s="13" t="s">
        <v>1405</v>
      </c>
      <c r="N662" s="13" t="s">
        <v>1626</v>
      </c>
      <c r="O662" s="13" t="s">
        <v>1581</v>
      </c>
      <c r="P662" s="13" t="s">
        <v>1405</v>
      </c>
      <c r="Q662" s="13" t="s">
        <v>1405</v>
      </c>
      <c r="R662" s="13">
        <v>0</v>
      </c>
      <c r="S662" s="13" t="s">
        <v>1405</v>
      </c>
      <c r="T662" s="13"/>
      <c r="U662" s="13" t="s">
        <v>1405</v>
      </c>
      <c r="V662" s="13">
        <v>0</v>
      </c>
      <c r="W662" s="13" t="b">
        <v>0</v>
      </c>
      <c r="X662" s="13">
        <v>0</v>
      </c>
      <c r="Y662" s="13" t="s">
        <v>1405</v>
      </c>
      <c r="Z662" s="13">
        <v>0</v>
      </c>
      <c r="AA662" s="13">
        <v>0</v>
      </c>
      <c r="AB662" s="13" t="s">
        <v>1405</v>
      </c>
      <c r="AC662" s="13" t="s">
        <v>1405</v>
      </c>
      <c r="AD662" s="13">
        <v>0</v>
      </c>
      <c r="AE662" s="13" t="s">
        <v>1405</v>
      </c>
      <c r="AF662" s="13" t="s">
        <v>1405</v>
      </c>
    </row>
    <row r="663" spans="1:32" x14ac:dyDescent="0.2">
      <c r="A663" s="3" t="s">
        <v>2519</v>
      </c>
      <c r="B663" s="14" t="s">
        <v>1497</v>
      </c>
      <c r="C663" s="6">
        <v>662</v>
      </c>
      <c r="D663" s="14">
        <v>268</v>
      </c>
      <c r="E663" s="14" t="s">
        <v>1457</v>
      </c>
      <c r="F663" s="15" t="s">
        <v>1445</v>
      </c>
      <c r="G663" s="14" t="s">
        <v>1458</v>
      </c>
      <c r="H663" s="14" t="s">
        <v>44</v>
      </c>
      <c r="I663" s="14" t="s">
        <v>1409</v>
      </c>
      <c r="J663" s="14" t="s">
        <v>8</v>
      </c>
      <c r="K663" s="8" t="s">
        <v>1405</v>
      </c>
      <c r="L663" s="16" t="s">
        <v>1405</v>
      </c>
      <c r="M663" s="16" t="s">
        <v>1405</v>
      </c>
      <c r="N663" s="16" t="s">
        <v>1624</v>
      </c>
      <c r="O663" s="16" t="s">
        <v>1532</v>
      </c>
      <c r="P663" s="16" t="s">
        <v>1405</v>
      </c>
      <c r="Q663" s="16" t="s">
        <v>1405</v>
      </c>
      <c r="R663" s="16">
        <v>0</v>
      </c>
      <c r="S663" s="16" t="s">
        <v>1405</v>
      </c>
      <c r="T663" s="16"/>
      <c r="U663" s="16" t="s">
        <v>1405</v>
      </c>
      <c r="V663" s="16">
        <v>0</v>
      </c>
      <c r="W663" s="16" t="b">
        <v>0</v>
      </c>
      <c r="X663" s="16">
        <v>0</v>
      </c>
      <c r="Y663" s="16" t="s">
        <v>1405</v>
      </c>
      <c r="Z663" s="16">
        <v>0</v>
      </c>
      <c r="AA663" s="16">
        <v>0</v>
      </c>
      <c r="AB663" s="16" t="s">
        <v>1405</v>
      </c>
      <c r="AC663" s="16" t="s">
        <v>1405</v>
      </c>
      <c r="AD663" s="16">
        <v>0</v>
      </c>
      <c r="AE663" s="16" t="s">
        <v>1405</v>
      </c>
      <c r="AF663" s="16" t="s">
        <v>1405</v>
      </c>
    </row>
    <row r="664" spans="1:32" x14ac:dyDescent="0.2">
      <c r="A664" s="3" t="s">
        <v>2520</v>
      </c>
      <c r="B664" s="12" t="s">
        <v>1497</v>
      </c>
      <c r="C664" s="6">
        <v>663</v>
      </c>
      <c r="D664" s="12">
        <v>269</v>
      </c>
      <c r="E664" s="12" t="s">
        <v>1444</v>
      </c>
      <c r="F664" s="12" t="s">
        <v>1445</v>
      </c>
      <c r="G664" s="12" t="s">
        <v>1446</v>
      </c>
      <c r="H664" s="12" t="s">
        <v>120</v>
      </c>
      <c r="I664" s="12" t="s">
        <v>1414</v>
      </c>
      <c r="J664" s="12" t="s">
        <v>1625</v>
      </c>
      <c r="K664" s="8" t="s">
        <v>1405</v>
      </c>
      <c r="L664" s="13" t="s">
        <v>1405</v>
      </c>
      <c r="M664" s="13" t="s">
        <v>1405</v>
      </c>
      <c r="N664" s="13" t="s">
        <v>1407</v>
      </c>
      <c r="O664" s="13" t="s">
        <v>1581</v>
      </c>
      <c r="P664" s="13" t="s">
        <v>1405</v>
      </c>
      <c r="Q664" s="13" t="s">
        <v>1405</v>
      </c>
      <c r="R664" s="13">
        <v>0</v>
      </c>
      <c r="S664" s="13" t="s">
        <v>1405</v>
      </c>
      <c r="T664" s="13"/>
      <c r="U664" s="13" t="s">
        <v>1405</v>
      </c>
      <c r="V664" s="13">
        <v>0</v>
      </c>
      <c r="W664" s="13" t="b">
        <v>0</v>
      </c>
      <c r="X664" s="13">
        <v>0</v>
      </c>
      <c r="Y664" s="13" t="s">
        <v>1405</v>
      </c>
      <c r="Z664" s="13">
        <v>0</v>
      </c>
      <c r="AA664" s="13">
        <v>0</v>
      </c>
      <c r="AB664" s="13" t="s">
        <v>1405</v>
      </c>
      <c r="AC664" s="13" t="s">
        <v>1405</v>
      </c>
      <c r="AD664" s="13">
        <v>0</v>
      </c>
      <c r="AE664" s="13" t="s">
        <v>1405</v>
      </c>
      <c r="AF664" s="13" t="s">
        <v>1405</v>
      </c>
    </row>
    <row r="665" spans="1:32" x14ac:dyDescent="0.2">
      <c r="A665" s="3" t="s">
        <v>2521</v>
      </c>
      <c r="B665" s="14" t="s">
        <v>1497</v>
      </c>
      <c r="C665" s="6">
        <v>664</v>
      </c>
      <c r="D665" s="14">
        <v>269</v>
      </c>
      <c r="E665" s="14" t="s">
        <v>1457</v>
      </c>
      <c r="F665" s="15" t="s">
        <v>1445</v>
      </c>
      <c r="G665" s="14" t="s">
        <v>1458</v>
      </c>
      <c r="H665" s="14" t="s">
        <v>64</v>
      </c>
      <c r="I665" s="14" t="s">
        <v>1410</v>
      </c>
      <c r="J665" s="14" t="s">
        <v>1625</v>
      </c>
      <c r="K665" s="8" t="s">
        <v>1405</v>
      </c>
      <c r="L665" s="16" t="s">
        <v>1405</v>
      </c>
      <c r="M665" s="16" t="s">
        <v>1405</v>
      </c>
      <c r="N665" s="16" t="s">
        <v>1407</v>
      </c>
      <c r="O665" s="16" t="s">
        <v>1581</v>
      </c>
      <c r="P665" s="16" t="s">
        <v>1405</v>
      </c>
      <c r="Q665" s="16" t="s">
        <v>1405</v>
      </c>
      <c r="R665" s="16">
        <v>0</v>
      </c>
      <c r="S665" s="16" t="s">
        <v>1405</v>
      </c>
      <c r="T665" s="16"/>
      <c r="U665" s="16" t="s">
        <v>1405</v>
      </c>
      <c r="V665" s="16">
        <v>0</v>
      </c>
      <c r="W665" s="16" t="b">
        <v>0</v>
      </c>
      <c r="X665" s="16">
        <v>0</v>
      </c>
      <c r="Y665" s="16" t="s">
        <v>1405</v>
      </c>
      <c r="Z665" s="16">
        <v>0</v>
      </c>
      <c r="AA665" s="16">
        <v>0</v>
      </c>
      <c r="AB665" s="16" t="s">
        <v>1405</v>
      </c>
      <c r="AC665" s="16" t="s">
        <v>1405</v>
      </c>
      <c r="AD665" s="16">
        <v>0</v>
      </c>
      <c r="AE665" s="16" t="s">
        <v>1405</v>
      </c>
      <c r="AF665" s="16" t="s">
        <v>1405</v>
      </c>
    </row>
    <row r="666" spans="1:32" x14ac:dyDescent="0.2">
      <c r="A666" s="3" t="s">
        <v>2522</v>
      </c>
      <c r="B666" s="12" t="s">
        <v>1497</v>
      </c>
      <c r="C666" s="6">
        <v>665</v>
      </c>
      <c r="D666" s="12">
        <v>270</v>
      </c>
      <c r="E666" s="12" t="s">
        <v>1444</v>
      </c>
      <c r="F666" s="12" t="s">
        <v>1445</v>
      </c>
      <c r="G666" s="12" t="s">
        <v>1446</v>
      </c>
      <c r="H666" s="12" t="s">
        <v>121</v>
      </c>
      <c r="I666" s="12" t="s">
        <v>1414</v>
      </c>
      <c r="J666" s="12" t="s">
        <v>1625</v>
      </c>
      <c r="K666" s="8" t="s">
        <v>1405</v>
      </c>
      <c r="L666" s="13" t="s">
        <v>1405</v>
      </c>
      <c r="M666" s="13" t="s">
        <v>1405</v>
      </c>
      <c r="N666" s="13" t="s">
        <v>1407</v>
      </c>
      <c r="O666" s="13" t="s">
        <v>1581</v>
      </c>
      <c r="P666" s="13" t="s">
        <v>1405</v>
      </c>
      <c r="Q666" s="13" t="s">
        <v>1405</v>
      </c>
      <c r="R666" s="13">
        <v>0</v>
      </c>
      <c r="S666" s="13" t="s">
        <v>1405</v>
      </c>
      <c r="T666" s="13"/>
      <c r="U666" s="13" t="s">
        <v>1405</v>
      </c>
      <c r="V666" s="13">
        <v>0</v>
      </c>
      <c r="W666" s="13" t="b">
        <v>0</v>
      </c>
      <c r="X666" s="13">
        <v>0</v>
      </c>
      <c r="Y666" s="13" t="s">
        <v>1405</v>
      </c>
      <c r="Z666" s="13">
        <v>0</v>
      </c>
      <c r="AA666" s="13">
        <v>0</v>
      </c>
      <c r="AB666" s="13" t="s">
        <v>1405</v>
      </c>
      <c r="AC666" s="13" t="s">
        <v>1405</v>
      </c>
      <c r="AD666" s="13">
        <v>0</v>
      </c>
      <c r="AE666" s="13" t="s">
        <v>1405</v>
      </c>
      <c r="AF666" s="13" t="s">
        <v>1405</v>
      </c>
    </row>
    <row r="667" spans="1:32" x14ac:dyDescent="0.2">
      <c r="A667" s="3" t="s">
        <v>2523</v>
      </c>
      <c r="B667" s="14" t="s">
        <v>1497</v>
      </c>
      <c r="C667" s="6">
        <v>666</v>
      </c>
      <c r="D667" s="14">
        <v>270</v>
      </c>
      <c r="E667" s="14" t="s">
        <v>1457</v>
      </c>
      <c r="F667" s="15" t="s">
        <v>1445</v>
      </c>
      <c r="G667" s="14" t="s">
        <v>1458</v>
      </c>
      <c r="H667" s="14" t="s">
        <v>66</v>
      </c>
      <c r="I667" s="14" t="s">
        <v>1410</v>
      </c>
      <c r="J667" s="14" t="s">
        <v>1625</v>
      </c>
      <c r="K667" s="8" t="s">
        <v>1405</v>
      </c>
      <c r="L667" s="16" t="s">
        <v>1405</v>
      </c>
      <c r="M667" s="16" t="s">
        <v>1405</v>
      </c>
      <c r="N667" s="16" t="s">
        <v>1407</v>
      </c>
      <c r="O667" s="16" t="s">
        <v>1581</v>
      </c>
      <c r="P667" s="16" t="s">
        <v>1405</v>
      </c>
      <c r="Q667" s="16" t="s">
        <v>1405</v>
      </c>
      <c r="R667" s="16">
        <v>0</v>
      </c>
      <c r="S667" s="16" t="s">
        <v>1405</v>
      </c>
      <c r="T667" s="16"/>
      <c r="U667" s="16" t="s">
        <v>1405</v>
      </c>
      <c r="V667" s="16">
        <v>0</v>
      </c>
      <c r="W667" s="16" t="b">
        <v>0</v>
      </c>
      <c r="X667" s="16">
        <v>0</v>
      </c>
      <c r="Y667" s="16" t="s">
        <v>1405</v>
      </c>
      <c r="Z667" s="16">
        <v>0</v>
      </c>
      <c r="AA667" s="16">
        <v>0</v>
      </c>
      <c r="AB667" s="16" t="s">
        <v>1405</v>
      </c>
      <c r="AC667" s="16" t="s">
        <v>1405</v>
      </c>
      <c r="AD667" s="16">
        <v>0</v>
      </c>
      <c r="AE667" s="16" t="s">
        <v>1405</v>
      </c>
      <c r="AF667" s="16" t="s">
        <v>1405</v>
      </c>
    </row>
    <row r="668" spans="1:32" x14ac:dyDescent="0.2">
      <c r="A668" s="3" t="s">
        <v>2524</v>
      </c>
      <c r="B668" s="12" t="s">
        <v>1497</v>
      </c>
      <c r="C668" s="6">
        <v>667</v>
      </c>
      <c r="D668" s="12">
        <v>271</v>
      </c>
      <c r="E668" s="12" t="s">
        <v>1444</v>
      </c>
      <c r="F668" s="12" t="s">
        <v>1445</v>
      </c>
      <c r="G668" s="12" t="s">
        <v>1446</v>
      </c>
      <c r="H668" s="12" t="s">
        <v>122</v>
      </c>
      <c r="I668" s="12" t="s">
        <v>1414</v>
      </c>
      <c r="J668" s="12" t="s">
        <v>1622</v>
      </c>
      <c r="K668" s="8" t="s">
        <v>1405</v>
      </c>
      <c r="L668" s="13" t="s">
        <v>1405</v>
      </c>
      <c r="M668" s="13" t="s">
        <v>1405</v>
      </c>
      <c r="N668" s="13" t="s">
        <v>1622</v>
      </c>
      <c r="O668" s="13" t="s">
        <v>1532</v>
      </c>
      <c r="P668" s="13" t="s">
        <v>1405</v>
      </c>
      <c r="Q668" s="13" t="s">
        <v>1405</v>
      </c>
      <c r="R668" s="13">
        <v>0</v>
      </c>
      <c r="S668" s="13" t="s">
        <v>1405</v>
      </c>
      <c r="T668" s="13"/>
      <c r="U668" s="13" t="s">
        <v>1405</v>
      </c>
      <c r="V668" s="13">
        <v>0</v>
      </c>
      <c r="W668" s="13" t="b">
        <v>0</v>
      </c>
      <c r="X668" s="13">
        <v>0</v>
      </c>
      <c r="Y668" s="13" t="s">
        <v>1405</v>
      </c>
      <c r="Z668" s="13">
        <v>0</v>
      </c>
      <c r="AA668" s="13">
        <v>0</v>
      </c>
      <c r="AB668" s="13" t="s">
        <v>1405</v>
      </c>
      <c r="AC668" s="13" t="s">
        <v>1405</v>
      </c>
      <c r="AD668" s="13">
        <v>0</v>
      </c>
      <c r="AE668" s="13" t="s">
        <v>1405</v>
      </c>
      <c r="AF668" s="13" t="s">
        <v>1405</v>
      </c>
    </row>
    <row r="669" spans="1:32" x14ac:dyDescent="0.2">
      <c r="A669" s="3" t="s">
        <v>2525</v>
      </c>
      <c r="B669" s="14" t="s">
        <v>1497</v>
      </c>
      <c r="C669" s="6">
        <v>668</v>
      </c>
      <c r="D669" s="14">
        <v>271</v>
      </c>
      <c r="E669" s="14" t="s">
        <v>1457</v>
      </c>
      <c r="F669" s="15" t="s">
        <v>1445</v>
      </c>
      <c r="G669" s="14" t="s">
        <v>1458</v>
      </c>
      <c r="H669" s="14" t="s">
        <v>46</v>
      </c>
      <c r="I669" s="14" t="s">
        <v>1409</v>
      </c>
      <c r="J669" s="14" t="s">
        <v>1622</v>
      </c>
      <c r="K669" s="8" t="s">
        <v>1405</v>
      </c>
      <c r="L669" s="16" t="s">
        <v>1405</v>
      </c>
      <c r="M669" s="16" t="s">
        <v>1405</v>
      </c>
      <c r="N669" s="16" t="s">
        <v>1622</v>
      </c>
      <c r="O669" s="16" t="s">
        <v>1501</v>
      </c>
      <c r="P669" s="16" t="s">
        <v>1405</v>
      </c>
      <c r="Q669" s="16" t="s">
        <v>1405</v>
      </c>
      <c r="R669" s="16">
        <v>0</v>
      </c>
      <c r="S669" s="16" t="s">
        <v>1405</v>
      </c>
      <c r="T669" s="16"/>
      <c r="U669" s="16" t="s">
        <v>1405</v>
      </c>
      <c r="V669" s="16">
        <v>0</v>
      </c>
      <c r="W669" s="16" t="b">
        <v>0</v>
      </c>
      <c r="X669" s="16">
        <v>0</v>
      </c>
      <c r="Y669" s="16" t="s">
        <v>1405</v>
      </c>
      <c r="Z669" s="16">
        <v>0</v>
      </c>
      <c r="AA669" s="16">
        <v>0</v>
      </c>
      <c r="AB669" s="16" t="s">
        <v>1405</v>
      </c>
      <c r="AC669" s="16" t="s">
        <v>1405</v>
      </c>
      <c r="AD669" s="16">
        <v>0</v>
      </c>
      <c r="AE669" s="16" t="s">
        <v>1405</v>
      </c>
      <c r="AF669" s="16" t="s">
        <v>1405</v>
      </c>
    </row>
    <row r="670" spans="1:32" x14ac:dyDescent="0.2">
      <c r="A670" s="3" t="s">
        <v>2526</v>
      </c>
      <c r="B670" s="12" t="s">
        <v>1497</v>
      </c>
      <c r="C670" s="6">
        <v>669</v>
      </c>
      <c r="D670" s="12">
        <v>272</v>
      </c>
      <c r="E670" s="12" t="s">
        <v>1444</v>
      </c>
      <c r="F670" s="12" t="s">
        <v>1445</v>
      </c>
      <c r="G670" s="12" t="s">
        <v>1446</v>
      </c>
      <c r="H670" s="12" t="s">
        <v>123</v>
      </c>
      <c r="I670" s="12" t="s">
        <v>1414</v>
      </c>
      <c r="J670" s="12" t="s">
        <v>8</v>
      </c>
      <c r="K670" s="8" t="s">
        <v>1405</v>
      </c>
      <c r="L670" s="13" t="s">
        <v>1405</v>
      </c>
      <c r="M670" s="13" t="s">
        <v>1405</v>
      </c>
      <c r="N670" s="13" t="s">
        <v>1624</v>
      </c>
      <c r="O670" s="13" t="s">
        <v>1532</v>
      </c>
      <c r="P670" s="13" t="s">
        <v>1405</v>
      </c>
      <c r="Q670" s="13" t="s">
        <v>1405</v>
      </c>
      <c r="R670" s="13">
        <v>0</v>
      </c>
      <c r="S670" s="13" t="s">
        <v>1405</v>
      </c>
      <c r="T670" s="13"/>
      <c r="U670" s="13" t="s">
        <v>1405</v>
      </c>
      <c r="V670" s="13">
        <v>0</v>
      </c>
      <c r="W670" s="13" t="b">
        <v>0</v>
      </c>
      <c r="X670" s="13">
        <v>0</v>
      </c>
      <c r="Y670" s="13" t="s">
        <v>1405</v>
      </c>
      <c r="Z670" s="13">
        <v>0</v>
      </c>
      <c r="AA670" s="13">
        <v>0</v>
      </c>
      <c r="AB670" s="13" t="s">
        <v>1405</v>
      </c>
      <c r="AC670" s="13" t="s">
        <v>1405</v>
      </c>
      <c r="AD670" s="13">
        <v>0</v>
      </c>
      <c r="AE670" s="13" t="s">
        <v>1405</v>
      </c>
      <c r="AF670" s="13" t="s">
        <v>1405</v>
      </c>
    </row>
    <row r="671" spans="1:32" x14ac:dyDescent="0.2">
      <c r="A671" s="3" t="s">
        <v>2527</v>
      </c>
      <c r="B671" s="14" t="s">
        <v>1497</v>
      </c>
      <c r="C671" s="6">
        <v>670</v>
      </c>
      <c r="D671" s="14">
        <v>272</v>
      </c>
      <c r="E671" s="14" t="s">
        <v>1457</v>
      </c>
      <c r="F671" s="15" t="s">
        <v>1445</v>
      </c>
      <c r="G671" s="14" t="s">
        <v>1458</v>
      </c>
      <c r="H671" s="14" t="s">
        <v>48</v>
      </c>
      <c r="I671" s="14" t="s">
        <v>1409</v>
      </c>
      <c r="J671" s="14" t="s">
        <v>8</v>
      </c>
      <c r="K671" s="8" t="s">
        <v>1405</v>
      </c>
      <c r="L671" s="16" t="s">
        <v>1405</v>
      </c>
      <c r="M671" s="16" t="s">
        <v>1405</v>
      </c>
      <c r="N671" s="16" t="s">
        <v>1624</v>
      </c>
      <c r="O671" s="16" t="s">
        <v>1501</v>
      </c>
      <c r="P671" s="16" t="s">
        <v>1405</v>
      </c>
      <c r="Q671" s="16" t="s">
        <v>1405</v>
      </c>
      <c r="R671" s="16">
        <v>0</v>
      </c>
      <c r="S671" s="16" t="s">
        <v>1405</v>
      </c>
      <c r="T671" s="16"/>
      <c r="U671" s="16" t="s">
        <v>1405</v>
      </c>
      <c r="V671" s="16">
        <v>0</v>
      </c>
      <c r="W671" s="16" t="b">
        <v>0</v>
      </c>
      <c r="X671" s="16">
        <v>0</v>
      </c>
      <c r="Y671" s="16" t="s">
        <v>1405</v>
      </c>
      <c r="Z671" s="16">
        <v>0</v>
      </c>
      <c r="AA671" s="16">
        <v>0</v>
      </c>
      <c r="AB671" s="16" t="s">
        <v>1405</v>
      </c>
      <c r="AC671" s="16" t="s">
        <v>1405</v>
      </c>
      <c r="AD671" s="16">
        <v>0</v>
      </c>
      <c r="AE671" s="16" t="s">
        <v>1405</v>
      </c>
      <c r="AF671" s="16" t="s">
        <v>1405</v>
      </c>
    </row>
    <row r="672" spans="1:32" x14ac:dyDescent="0.2">
      <c r="A672" s="3" t="s">
        <v>2528</v>
      </c>
      <c r="B672" s="12" t="s">
        <v>1497</v>
      </c>
      <c r="C672" s="6">
        <v>671</v>
      </c>
      <c r="D672" s="12">
        <v>273</v>
      </c>
      <c r="E672" s="12" t="s">
        <v>1444</v>
      </c>
      <c r="F672" s="12" t="s">
        <v>1445</v>
      </c>
      <c r="G672" s="12" t="s">
        <v>1446</v>
      </c>
      <c r="H672" s="12" t="s">
        <v>124</v>
      </c>
      <c r="I672" s="12" t="s">
        <v>1414</v>
      </c>
      <c r="J672" s="12" t="s">
        <v>1625</v>
      </c>
      <c r="K672" s="8" t="s">
        <v>1405</v>
      </c>
      <c r="L672" s="13" t="s">
        <v>1405</v>
      </c>
      <c r="M672" s="13" t="s">
        <v>1405</v>
      </c>
      <c r="N672" s="13" t="s">
        <v>1407</v>
      </c>
      <c r="O672" s="13" t="s">
        <v>1532</v>
      </c>
      <c r="P672" s="13" t="s">
        <v>1405</v>
      </c>
      <c r="Q672" s="13" t="s">
        <v>1405</v>
      </c>
      <c r="R672" s="13">
        <v>0</v>
      </c>
      <c r="S672" s="13" t="s">
        <v>1405</v>
      </c>
      <c r="T672" s="13"/>
      <c r="U672" s="13" t="s">
        <v>1405</v>
      </c>
      <c r="V672" s="13">
        <v>0</v>
      </c>
      <c r="W672" s="13" t="b">
        <v>0</v>
      </c>
      <c r="X672" s="13">
        <v>0</v>
      </c>
      <c r="Y672" s="13" t="s">
        <v>1405</v>
      </c>
      <c r="Z672" s="13">
        <v>0</v>
      </c>
      <c r="AA672" s="13">
        <v>0</v>
      </c>
      <c r="AB672" s="13" t="s">
        <v>1405</v>
      </c>
      <c r="AC672" s="13" t="s">
        <v>1405</v>
      </c>
      <c r="AD672" s="13">
        <v>0</v>
      </c>
      <c r="AE672" s="13" t="s">
        <v>1405</v>
      </c>
      <c r="AF672" s="13" t="s">
        <v>1405</v>
      </c>
    </row>
    <row r="673" spans="1:32" x14ac:dyDescent="0.2">
      <c r="A673" s="3" t="s">
        <v>2529</v>
      </c>
      <c r="B673" s="14" t="s">
        <v>1497</v>
      </c>
      <c r="C673" s="6">
        <v>672</v>
      </c>
      <c r="D673" s="14">
        <v>273</v>
      </c>
      <c r="E673" s="14" t="s">
        <v>1457</v>
      </c>
      <c r="F673" s="15" t="s">
        <v>1445</v>
      </c>
      <c r="G673" s="14" t="s">
        <v>1458</v>
      </c>
      <c r="H673" s="14" t="s">
        <v>67</v>
      </c>
      <c r="I673" s="14" t="s">
        <v>1410</v>
      </c>
      <c r="J673" s="14" t="s">
        <v>1625</v>
      </c>
      <c r="K673" s="8" t="s">
        <v>1405</v>
      </c>
      <c r="L673" s="16" t="s">
        <v>1405</v>
      </c>
      <c r="M673" s="16" t="s">
        <v>1405</v>
      </c>
      <c r="N673" s="16" t="s">
        <v>1407</v>
      </c>
      <c r="O673" s="16" t="s">
        <v>1532</v>
      </c>
      <c r="P673" s="16" t="s">
        <v>1405</v>
      </c>
      <c r="Q673" s="16" t="s">
        <v>1405</v>
      </c>
      <c r="R673" s="16">
        <v>0</v>
      </c>
      <c r="S673" s="16" t="s">
        <v>1405</v>
      </c>
      <c r="T673" s="16"/>
      <c r="U673" s="16" t="s">
        <v>1405</v>
      </c>
      <c r="V673" s="16">
        <v>0</v>
      </c>
      <c r="W673" s="16" t="b">
        <v>0</v>
      </c>
      <c r="X673" s="16">
        <v>0</v>
      </c>
      <c r="Y673" s="16" t="s">
        <v>1405</v>
      </c>
      <c r="Z673" s="16">
        <v>0</v>
      </c>
      <c r="AA673" s="16">
        <v>0</v>
      </c>
      <c r="AB673" s="16" t="s">
        <v>1405</v>
      </c>
      <c r="AC673" s="16" t="s">
        <v>1405</v>
      </c>
      <c r="AD673" s="16">
        <v>0</v>
      </c>
      <c r="AE673" s="16" t="s">
        <v>1405</v>
      </c>
      <c r="AF673" s="16" t="s">
        <v>1405</v>
      </c>
    </row>
    <row r="674" spans="1:32" x14ac:dyDescent="0.2">
      <c r="A674" s="3" t="s">
        <v>2530</v>
      </c>
      <c r="B674" s="12" t="s">
        <v>1497</v>
      </c>
      <c r="C674" s="6">
        <v>673</v>
      </c>
      <c r="D674" s="12">
        <v>274</v>
      </c>
      <c r="E674" s="12" t="s">
        <v>1444</v>
      </c>
      <c r="F674" s="12" t="s">
        <v>1445</v>
      </c>
      <c r="G674" s="12" t="s">
        <v>1446</v>
      </c>
      <c r="H674" s="12" t="s">
        <v>125</v>
      </c>
      <c r="I674" s="12" t="s">
        <v>1414</v>
      </c>
      <c r="J674" s="12" t="s">
        <v>1625</v>
      </c>
      <c r="K674" s="8" t="s">
        <v>1405</v>
      </c>
      <c r="L674" s="13" t="s">
        <v>1405</v>
      </c>
      <c r="M674" s="13" t="s">
        <v>1405</v>
      </c>
      <c r="N674" s="13" t="s">
        <v>1407</v>
      </c>
      <c r="O674" s="13" t="s">
        <v>1532</v>
      </c>
      <c r="P674" s="13" t="s">
        <v>1405</v>
      </c>
      <c r="Q674" s="13" t="s">
        <v>1405</v>
      </c>
      <c r="R674" s="13">
        <v>0</v>
      </c>
      <c r="S674" s="13" t="s">
        <v>1405</v>
      </c>
      <c r="T674" s="13"/>
      <c r="U674" s="13" t="s">
        <v>1405</v>
      </c>
      <c r="V674" s="13">
        <v>0</v>
      </c>
      <c r="W674" s="13" t="b">
        <v>0</v>
      </c>
      <c r="X674" s="13">
        <v>0</v>
      </c>
      <c r="Y674" s="13" t="s">
        <v>1405</v>
      </c>
      <c r="Z674" s="13">
        <v>0</v>
      </c>
      <c r="AA674" s="13">
        <v>0</v>
      </c>
      <c r="AB674" s="13" t="s">
        <v>1405</v>
      </c>
      <c r="AC674" s="13" t="s">
        <v>1405</v>
      </c>
      <c r="AD674" s="13">
        <v>0</v>
      </c>
      <c r="AE674" s="13" t="s">
        <v>1405</v>
      </c>
      <c r="AF674" s="13" t="s">
        <v>1405</v>
      </c>
    </row>
    <row r="675" spans="1:32" x14ac:dyDescent="0.2">
      <c r="A675" s="3" t="s">
        <v>2531</v>
      </c>
      <c r="B675" s="14" t="s">
        <v>1497</v>
      </c>
      <c r="C675" s="6">
        <v>674</v>
      </c>
      <c r="D675" s="14">
        <v>274</v>
      </c>
      <c r="E675" s="14" t="s">
        <v>1457</v>
      </c>
      <c r="F675" s="15" t="s">
        <v>1445</v>
      </c>
      <c r="G675" s="14" t="s">
        <v>1458</v>
      </c>
      <c r="H675" s="14" t="s">
        <v>68</v>
      </c>
      <c r="I675" s="14" t="s">
        <v>1410</v>
      </c>
      <c r="J675" s="14" t="s">
        <v>1625</v>
      </c>
      <c r="K675" s="8" t="s">
        <v>1405</v>
      </c>
      <c r="L675" s="16" t="s">
        <v>1405</v>
      </c>
      <c r="M675" s="16" t="s">
        <v>1405</v>
      </c>
      <c r="N675" s="16" t="s">
        <v>1407</v>
      </c>
      <c r="O675" s="16" t="s">
        <v>1532</v>
      </c>
      <c r="P675" s="16" t="s">
        <v>1405</v>
      </c>
      <c r="Q675" s="16" t="s">
        <v>1405</v>
      </c>
      <c r="R675" s="16">
        <v>0</v>
      </c>
      <c r="S675" s="16" t="s">
        <v>1405</v>
      </c>
      <c r="T675" s="16"/>
      <c r="U675" s="16" t="s">
        <v>1405</v>
      </c>
      <c r="V675" s="16">
        <v>0</v>
      </c>
      <c r="W675" s="16" t="b">
        <v>0</v>
      </c>
      <c r="X675" s="16">
        <v>0</v>
      </c>
      <c r="Y675" s="16" t="s">
        <v>1405</v>
      </c>
      <c r="Z675" s="16">
        <v>0</v>
      </c>
      <c r="AA675" s="16">
        <v>0</v>
      </c>
      <c r="AB675" s="16" t="s">
        <v>1405</v>
      </c>
      <c r="AC675" s="16" t="s">
        <v>1405</v>
      </c>
      <c r="AD675" s="16">
        <v>0</v>
      </c>
      <c r="AE675" s="16" t="s">
        <v>1405</v>
      </c>
      <c r="AF675" s="16" t="s">
        <v>1405</v>
      </c>
    </row>
    <row r="676" spans="1:32" x14ac:dyDescent="0.2">
      <c r="A676" s="3" t="s">
        <v>2532</v>
      </c>
      <c r="B676" s="12" t="s">
        <v>1497</v>
      </c>
      <c r="C676" s="6">
        <v>675</v>
      </c>
      <c r="D676" s="12">
        <v>275</v>
      </c>
      <c r="E676" s="12" t="s">
        <v>1444</v>
      </c>
      <c r="F676" s="12" t="s">
        <v>1445</v>
      </c>
      <c r="G676" s="12" t="s">
        <v>1446</v>
      </c>
      <c r="H676" s="12" t="s">
        <v>126</v>
      </c>
      <c r="I676" s="12" t="s">
        <v>1414</v>
      </c>
      <c r="J676" s="12" t="s">
        <v>1622</v>
      </c>
      <c r="K676" s="8" t="s">
        <v>1405</v>
      </c>
      <c r="L676" s="13" t="s">
        <v>1405</v>
      </c>
      <c r="M676" s="13" t="s">
        <v>1405</v>
      </c>
      <c r="N676" s="13" t="s">
        <v>1622</v>
      </c>
      <c r="O676" s="13" t="s">
        <v>1501</v>
      </c>
      <c r="P676" s="13" t="s">
        <v>1405</v>
      </c>
      <c r="Q676" s="13" t="s">
        <v>1405</v>
      </c>
      <c r="R676" s="13">
        <v>0</v>
      </c>
      <c r="S676" s="13" t="s">
        <v>1405</v>
      </c>
      <c r="T676" s="13"/>
      <c r="U676" s="13" t="s">
        <v>1405</v>
      </c>
      <c r="V676" s="13">
        <v>0</v>
      </c>
      <c r="W676" s="13" t="b">
        <v>0</v>
      </c>
      <c r="X676" s="13">
        <v>0</v>
      </c>
      <c r="Y676" s="13" t="s">
        <v>1405</v>
      </c>
      <c r="Z676" s="13">
        <v>0</v>
      </c>
      <c r="AA676" s="13">
        <v>0</v>
      </c>
      <c r="AB676" s="13" t="s">
        <v>1405</v>
      </c>
      <c r="AC676" s="13" t="s">
        <v>1405</v>
      </c>
      <c r="AD676" s="13">
        <v>0</v>
      </c>
      <c r="AE676" s="13" t="s">
        <v>1405</v>
      </c>
      <c r="AF676" s="13" t="s">
        <v>1405</v>
      </c>
    </row>
    <row r="677" spans="1:32" x14ac:dyDescent="0.2">
      <c r="A677" s="3" t="s">
        <v>2533</v>
      </c>
      <c r="B677" s="14" t="s">
        <v>1497</v>
      </c>
      <c r="C677" s="6">
        <v>676</v>
      </c>
      <c r="D677" s="14">
        <v>275</v>
      </c>
      <c r="E677" s="14" t="s">
        <v>1457</v>
      </c>
      <c r="F677" s="15" t="s">
        <v>1445</v>
      </c>
      <c r="G677" s="14" t="s">
        <v>1458</v>
      </c>
      <c r="H677" s="14" t="s">
        <v>62</v>
      </c>
      <c r="I677" s="14" t="s">
        <v>1410</v>
      </c>
      <c r="J677" s="14" t="s">
        <v>1622</v>
      </c>
      <c r="K677" s="8" t="s">
        <v>1405</v>
      </c>
      <c r="L677" s="16" t="s">
        <v>1405</v>
      </c>
      <c r="M677" s="16" t="s">
        <v>1405</v>
      </c>
      <c r="N677" s="16" t="s">
        <v>1622</v>
      </c>
      <c r="O677" s="16" t="s">
        <v>1581</v>
      </c>
      <c r="P677" s="16" t="s">
        <v>1405</v>
      </c>
      <c r="Q677" s="16" t="s">
        <v>1405</v>
      </c>
      <c r="R677" s="16">
        <v>0</v>
      </c>
      <c r="S677" s="16" t="s">
        <v>1405</v>
      </c>
      <c r="T677" s="16"/>
      <c r="U677" s="16" t="s">
        <v>1405</v>
      </c>
      <c r="V677" s="16">
        <v>0</v>
      </c>
      <c r="W677" s="16" t="b">
        <v>0</v>
      </c>
      <c r="X677" s="16">
        <v>0</v>
      </c>
      <c r="Y677" s="16" t="s">
        <v>1405</v>
      </c>
      <c r="Z677" s="16">
        <v>0</v>
      </c>
      <c r="AA677" s="16">
        <v>0</v>
      </c>
      <c r="AB677" s="16" t="s">
        <v>1405</v>
      </c>
      <c r="AC677" s="16" t="s">
        <v>1405</v>
      </c>
      <c r="AD677" s="16">
        <v>0</v>
      </c>
      <c r="AE677" s="16" t="s">
        <v>1405</v>
      </c>
      <c r="AF677" s="16" t="s">
        <v>1405</v>
      </c>
    </row>
    <row r="678" spans="1:32" x14ac:dyDescent="0.2">
      <c r="A678" s="3" t="s">
        <v>2534</v>
      </c>
      <c r="B678" s="12" t="s">
        <v>1497</v>
      </c>
      <c r="C678" s="6">
        <v>677</v>
      </c>
      <c r="D678" s="12">
        <v>276</v>
      </c>
      <c r="E678" s="12" t="s">
        <v>1444</v>
      </c>
      <c r="F678" s="12" t="s">
        <v>1445</v>
      </c>
      <c r="G678" s="12" t="s">
        <v>1446</v>
      </c>
      <c r="H678" s="12" t="s">
        <v>127</v>
      </c>
      <c r="I678" s="12" t="s">
        <v>1414</v>
      </c>
      <c r="J678" s="12" t="s">
        <v>8</v>
      </c>
      <c r="K678" s="8" t="s">
        <v>1405</v>
      </c>
      <c r="L678" s="13" t="s">
        <v>1405</v>
      </c>
      <c r="M678" s="13" t="s">
        <v>1405</v>
      </c>
      <c r="N678" s="13" t="s">
        <v>1624</v>
      </c>
      <c r="O678" s="13" t="s">
        <v>1501</v>
      </c>
      <c r="P678" s="13" t="s">
        <v>1405</v>
      </c>
      <c r="Q678" s="13" t="s">
        <v>1405</v>
      </c>
      <c r="R678" s="13">
        <v>0</v>
      </c>
      <c r="S678" s="13" t="s">
        <v>1405</v>
      </c>
      <c r="T678" s="13"/>
      <c r="U678" s="13" t="s">
        <v>1405</v>
      </c>
      <c r="V678" s="13">
        <v>0</v>
      </c>
      <c r="W678" s="13" t="b">
        <v>0</v>
      </c>
      <c r="X678" s="13">
        <v>0</v>
      </c>
      <c r="Y678" s="13" t="s">
        <v>1405</v>
      </c>
      <c r="Z678" s="13">
        <v>0</v>
      </c>
      <c r="AA678" s="13">
        <v>0</v>
      </c>
      <c r="AB678" s="13" t="s">
        <v>1405</v>
      </c>
      <c r="AC678" s="13" t="s">
        <v>1405</v>
      </c>
      <c r="AD678" s="13">
        <v>0</v>
      </c>
      <c r="AE678" s="13" t="s">
        <v>1405</v>
      </c>
      <c r="AF678" s="13" t="s">
        <v>1405</v>
      </c>
    </row>
    <row r="679" spans="1:32" x14ac:dyDescent="0.2">
      <c r="A679" s="3" t="s">
        <v>2535</v>
      </c>
      <c r="B679" s="14" t="s">
        <v>1497</v>
      </c>
      <c r="C679" s="6">
        <v>678</v>
      </c>
      <c r="D679" s="14">
        <v>276</v>
      </c>
      <c r="E679" s="14" t="s">
        <v>1457</v>
      </c>
      <c r="F679" s="15" t="s">
        <v>1445</v>
      </c>
      <c r="G679" s="14" t="s">
        <v>1458</v>
      </c>
      <c r="H679" s="14" t="s">
        <v>63</v>
      </c>
      <c r="I679" s="14" t="s">
        <v>1410</v>
      </c>
      <c r="J679" s="14" t="s">
        <v>8</v>
      </c>
      <c r="K679" s="8" t="s">
        <v>1405</v>
      </c>
      <c r="L679" s="16" t="s">
        <v>1405</v>
      </c>
      <c r="M679" s="16" t="s">
        <v>1405</v>
      </c>
      <c r="N679" s="16" t="s">
        <v>1626</v>
      </c>
      <c r="O679" s="16" t="s">
        <v>1581</v>
      </c>
      <c r="P679" s="16" t="s">
        <v>1405</v>
      </c>
      <c r="Q679" s="16" t="s">
        <v>1405</v>
      </c>
      <c r="R679" s="16">
        <v>0</v>
      </c>
      <c r="S679" s="16" t="s">
        <v>1405</v>
      </c>
      <c r="T679" s="16"/>
      <c r="U679" s="16" t="s">
        <v>1405</v>
      </c>
      <c r="V679" s="16">
        <v>0</v>
      </c>
      <c r="W679" s="16" t="b">
        <v>0</v>
      </c>
      <c r="X679" s="16">
        <v>0</v>
      </c>
      <c r="Y679" s="16" t="s">
        <v>1405</v>
      </c>
      <c r="Z679" s="16">
        <v>0</v>
      </c>
      <c r="AA679" s="16">
        <v>0</v>
      </c>
      <c r="AB679" s="16" t="s">
        <v>1405</v>
      </c>
      <c r="AC679" s="16" t="s">
        <v>1405</v>
      </c>
      <c r="AD679" s="16">
        <v>0</v>
      </c>
      <c r="AE679" s="16" t="s">
        <v>1405</v>
      </c>
      <c r="AF679" s="16" t="s">
        <v>1405</v>
      </c>
    </row>
    <row r="680" spans="1:32" x14ac:dyDescent="0.2">
      <c r="A680" s="3" t="s">
        <v>2536</v>
      </c>
      <c r="B680" s="12" t="s">
        <v>1497</v>
      </c>
      <c r="C680" s="6">
        <v>679</v>
      </c>
      <c r="D680" s="12">
        <v>277</v>
      </c>
      <c r="E680" s="12" t="s">
        <v>1444</v>
      </c>
      <c r="F680" s="12" t="s">
        <v>1445</v>
      </c>
      <c r="G680" s="12" t="s">
        <v>1446</v>
      </c>
      <c r="H680" s="12" t="s">
        <v>128</v>
      </c>
      <c r="I680" s="12" t="s">
        <v>1414</v>
      </c>
      <c r="J680" s="12" t="s">
        <v>8</v>
      </c>
      <c r="K680" s="8" t="s">
        <v>1405</v>
      </c>
      <c r="L680" s="13" t="s">
        <v>1405</v>
      </c>
      <c r="M680" s="13" t="s">
        <v>1405</v>
      </c>
      <c r="N680" s="13" t="s">
        <v>1626</v>
      </c>
      <c r="O680" s="13" t="s">
        <v>1501</v>
      </c>
      <c r="P680" s="13" t="s">
        <v>1405</v>
      </c>
      <c r="Q680" s="13" t="s">
        <v>1405</v>
      </c>
      <c r="R680" s="13">
        <v>0</v>
      </c>
      <c r="S680" s="13" t="s">
        <v>1405</v>
      </c>
      <c r="T680" s="13"/>
      <c r="U680" s="13" t="s">
        <v>1405</v>
      </c>
      <c r="V680" s="13">
        <v>0</v>
      </c>
      <c r="W680" s="13" t="b">
        <v>0</v>
      </c>
      <c r="X680" s="13">
        <v>0</v>
      </c>
      <c r="Y680" s="13" t="s">
        <v>1405</v>
      </c>
      <c r="Z680" s="13">
        <v>0</v>
      </c>
      <c r="AA680" s="13">
        <v>0</v>
      </c>
      <c r="AB680" s="13" t="s">
        <v>1405</v>
      </c>
      <c r="AC680" s="13" t="s">
        <v>1405</v>
      </c>
      <c r="AD680" s="13">
        <v>0</v>
      </c>
      <c r="AE680" s="13" t="s">
        <v>1405</v>
      </c>
      <c r="AF680" s="13" t="s">
        <v>1405</v>
      </c>
    </row>
    <row r="681" spans="1:32" x14ac:dyDescent="0.2">
      <c r="A681" s="3" t="s">
        <v>2537</v>
      </c>
      <c r="B681" s="14" t="s">
        <v>1497</v>
      </c>
      <c r="C681" s="6">
        <v>680</v>
      </c>
      <c r="D681" s="14">
        <v>277</v>
      </c>
      <c r="E681" s="14" t="s">
        <v>1457</v>
      </c>
      <c r="F681" s="15" t="s">
        <v>1445</v>
      </c>
      <c r="G681" s="14" t="s">
        <v>1458</v>
      </c>
      <c r="H681" s="14" t="s">
        <v>69</v>
      </c>
      <c r="I681" s="14" t="s">
        <v>1410</v>
      </c>
      <c r="J681" s="14" t="s">
        <v>8</v>
      </c>
      <c r="K681" s="8" t="s">
        <v>1405</v>
      </c>
      <c r="L681" s="16" t="s">
        <v>1405</v>
      </c>
      <c r="M681" s="16" t="s">
        <v>1405</v>
      </c>
      <c r="N681" s="16" t="s">
        <v>1626</v>
      </c>
      <c r="O681" s="16" t="s">
        <v>1501</v>
      </c>
      <c r="P681" s="16" t="s">
        <v>1405</v>
      </c>
      <c r="Q681" s="16" t="s">
        <v>1405</v>
      </c>
      <c r="R681" s="16">
        <v>0</v>
      </c>
      <c r="S681" s="16" t="s">
        <v>1405</v>
      </c>
      <c r="T681" s="16"/>
      <c r="U681" s="16" t="s">
        <v>1405</v>
      </c>
      <c r="V681" s="16">
        <v>0</v>
      </c>
      <c r="W681" s="16" t="b">
        <v>0</v>
      </c>
      <c r="X681" s="16">
        <v>0</v>
      </c>
      <c r="Y681" s="16" t="s">
        <v>1405</v>
      </c>
      <c r="Z681" s="16">
        <v>0</v>
      </c>
      <c r="AA681" s="16">
        <v>0</v>
      </c>
      <c r="AB681" s="16" t="s">
        <v>1405</v>
      </c>
      <c r="AC681" s="16" t="s">
        <v>1405</v>
      </c>
      <c r="AD681" s="16">
        <v>0</v>
      </c>
      <c r="AE681" s="16" t="s">
        <v>1405</v>
      </c>
      <c r="AF681" s="16" t="s">
        <v>1405</v>
      </c>
    </row>
    <row r="682" spans="1:32" x14ac:dyDescent="0.2">
      <c r="A682" s="3" t="s">
        <v>2538</v>
      </c>
      <c r="B682" s="12" t="s">
        <v>1497</v>
      </c>
      <c r="C682" s="6">
        <v>681</v>
      </c>
      <c r="D682" s="12">
        <v>278</v>
      </c>
      <c r="E682" s="12" t="s">
        <v>1444</v>
      </c>
      <c r="F682" s="12" t="s">
        <v>1445</v>
      </c>
      <c r="G682" s="12" t="s">
        <v>1446</v>
      </c>
      <c r="H682" s="12" t="s">
        <v>129</v>
      </c>
      <c r="I682" s="12" t="s">
        <v>1414</v>
      </c>
      <c r="J682" s="12" t="s">
        <v>1625</v>
      </c>
      <c r="K682" s="8" t="s">
        <v>1405</v>
      </c>
      <c r="L682" s="13" t="s">
        <v>1405</v>
      </c>
      <c r="M682" s="13" t="s">
        <v>1405</v>
      </c>
      <c r="N682" s="13" t="s">
        <v>1407</v>
      </c>
      <c r="O682" s="13" t="s">
        <v>1501</v>
      </c>
      <c r="P682" s="13" t="s">
        <v>1405</v>
      </c>
      <c r="Q682" s="13" t="s">
        <v>1405</v>
      </c>
      <c r="R682" s="13">
        <v>0</v>
      </c>
      <c r="S682" s="13" t="s">
        <v>1405</v>
      </c>
      <c r="T682" s="13"/>
      <c r="U682" s="13" t="s">
        <v>1405</v>
      </c>
      <c r="V682" s="13">
        <v>0</v>
      </c>
      <c r="W682" s="13" t="b">
        <v>0</v>
      </c>
      <c r="X682" s="13">
        <v>0</v>
      </c>
      <c r="Y682" s="13" t="s">
        <v>1405</v>
      </c>
      <c r="Z682" s="13">
        <v>0</v>
      </c>
      <c r="AA682" s="13">
        <v>0</v>
      </c>
      <c r="AB682" s="13" t="s">
        <v>1405</v>
      </c>
      <c r="AC682" s="13" t="s">
        <v>1405</v>
      </c>
      <c r="AD682" s="13">
        <v>0</v>
      </c>
      <c r="AE682" s="13" t="s">
        <v>1405</v>
      </c>
      <c r="AF682" s="13" t="s">
        <v>1405</v>
      </c>
    </row>
    <row r="683" spans="1:32" x14ac:dyDescent="0.2">
      <c r="A683" s="3" t="s">
        <v>2539</v>
      </c>
      <c r="B683" s="14" t="s">
        <v>1497</v>
      </c>
      <c r="C683" s="6">
        <v>682</v>
      </c>
      <c r="D683" s="14">
        <v>278</v>
      </c>
      <c r="E683" s="14" t="s">
        <v>1457</v>
      </c>
      <c r="F683" s="15" t="s">
        <v>1445</v>
      </c>
      <c r="G683" s="14" t="s">
        <v>1458</v>
      </c>
      <c r="H683" s="14" t="s">
        <v>70</v>
      </c>
      <c r="I683" s="14" t="s">
        <v>1410</v>
      </c>
      <c r="J683" s="14" t="s">
        <v>1625</v>
      </c>
      <c r="K683" s="8" t="s">
        <v>1405</v>
      </c>
      <c r="L683" s="16" t="s">
        <v>1405</v>
      </c>
      <c r="M683" s="16" t="s">
        <v>1405</v>
      </c>
      <c r="N683" s="16" t="s">
        <v>1407</v>
      </c>
      <c r="O683" s="16" t="s">
        <v>1501</v>
      </c>
      <c r="P683" s="16" t="s">
        <v>1405</v>
      </c>
      <c r="Q683" s="16" t="s">
        <v>1405</v>
      </c>
      <c r="R683" s="16">
        <v>0</v>
      </c>
      <c r="S683" s="16" t="s">
        <v>1405</v>
      </c>
      <c r="T683" s="16"/>
      <c r="U683" s="16" t="s">
        <v>1405</v>
      </c>
      <c r="V683" s="16">
        <v>0</v>
      </c>
      <c r="W683" s="16" t="b">
        <v>0</v>
      </c>
      <c r="X683" s="16">
        <v>0</v>
      </c>
      <c r="Y683" s="16" t="s">
        <v>1405</v>
      </c>
      <c r="Z683" s="16">
        <v>0</v>
      </c>
      <c r="AA683" s="16">
        <v>0</v>
      </c>
      <c r="AB683" s="16" t="s">
        <v>1405</v>
      </c>
      <c r="AC683" s="16" t="s">
        <v>1405</v>
      </c>
      <c r="AD683" s="16">
        <v>0</v>
      </c>
      <c r="AE683" s="16" t="s">
        <v>1405</v>
      </c>
      <c r="AF683" s="16" t="s">
        <v>1405</v>
      </c>
    </row>
    <row r="684" spans="1:32" x14ac:dyDescent="0.2">
      <c r="A684" s="3" t="s">
        <v>2540</v>
      </c>
      <c r="B684" s="12" t="s">
        <v>1497</v>
      </c>
      <c r="C684" s="6">
        <v>683</v>
      </c>
      <c r="D684" s="12">
        <v>279</v>
      </c>
      <c r="E684" s="12" t="s">
        <v>1444</v>
      </c>
      <c r="F684" s="12" t="s">
        <v>1445</v>
      </c>
      <c r="G684" s="12" t="s">
        <v>1446</v>
      </c>
      <c r="H684" s="12" t="s">
        <v>131</v>
      </c>
      <c r="I684" s="12" t="s">
        <v>1414</v>
      </c>
      <c r="J684" s="12" t="s">
        <v>1625</v>
      </c>
      <c r="K684" s="8" t="s">
        <v>1405</v>
      </c>
      <c r="L684" s="13" t="s">
        <v>1405</v>
      </c>
      <c r="M684" s="13" t="s">
        <v>1405</v>
      </c>
      <c r="N684" s="13" t="s">
        <v>1407</v>
      </c>
      <c r="O684" s="13" t="s">
        <v>1501</v>
      </c>
      <c r="P684" s="13" t="s">
        <v>1405</v>
      </c>
      <c r="Q684" s="13" t="s">
        <v>1405</v>
      </c>
      <c r="R684" s="13">
        <v>0</v>
      </c>
      <c r="S684" s="13" t="s">
        <v>1405</v>
      </c>
      <c r="T684" s="13"/>
      <c r="U684" s="13" t="s">
        <v>1405</v>
      </c>
      <c r="V684" s="13">
        <v>0</v>
      </c>
      <c r="W684" s="13" t="b">
        <v>0</v>
      </c>
      <c r="X684" s="13">
        <v>0</v>
      </c>
      <c r="Y684" s="13" t="s">
        <v>1405</v>
      </c>
      <c r="Z684" s="13">
        <v>0</v>
      </c>
      <c r="AA684" s="13">
        <v>0</v>
      </c>
      <c r="AB684" s="13" t="s">
        <v>1405</v>
      </c>
      <c r="AC684" s="13" t="s">
        <v>1405</v>
      </c>
      <c r="AD684" s="13">
        <v>0</v>
      </c>
      <c r="AE684" s="13" t="s">
        <v>1405</v>
      </c>
      <c r="AF684" s="13" t="s">
        <v>1405</v>
      </c>
    </row>
    <row r="685" spans="1:32" x14ac:dyDescent="0.2">
      <c r="A685" s="3" t="s">
        <v>2541</v>
      </c>
      <c r="B685" s="14" t="s">
        <v>1497</v>
      </c>
      <c r="C685" s="6">
        <v>684</v>
      </c>
      <c r="D685" s="14">
        <v>279</v>
      </c>
      <c r="E685" s="14" t="s">
        <v>1457</v>
      </c>
      <c r="F685" s="15" t="s">
        <v>1445</v>
      </c>
      <c r="G685" s="14" t="s">
        <v>1458</v>
      </c>
      <c r="H685" s="14" t="s">
        <v>71</v>
      </c>
      <c r="I685" s="14" t="s">
        <v>1410</v>
      </c>
      <c r="J685" s="14" t="s">
        <v>1625</v>
      </c>
      <c r="K685" s="8" t="s">
        <v>1405</v>
      </c>
      <c r="L685" s="16" t="s">
        <v>1405</v>
      </c>
      <c r="M685" s="16" t="s">
        <v>1405</v>
      </c>
      <c r="N685" s="16" t="s">
        <v>1407</v>
      </c>
      <c r="O685" s="16" t="s">
        <v>1501</v>
      </c>
      <c r="P685" s="16" t="s">
        <v>1405</v>
      </c>
      <c r="Q685" s="16" t="s">
        <v>1405</v>
      </c>
      <c r="R685" s="16">
        <v>0</v>
      </c>
      <c r="S685" s="16" t="s">
        <v>1405</v>
      </c>
      <c r="T685" s="16"/>
      <c r="U685" s="16" t="s">
        <v>1405</v>
      </c>
      <c r="V685" s="16">
        <v>0</v>
      </c>
      <c r="W685" s="16" t="b">
        <v>0</v>
      </c>
      <c r="X685" s="16">
        <v>0</v>
      </c>
      <c r="Y685" s="16" t="s">
        <v>1405</v>
      </c>
      <c r="Z685" s="16">
        <v>0</v>
      </c>
      <c r="AA685" s="16">
        <v>0</v>
      </c>
      <c r="AB685" s="16" t="s">
        <v>1405</v>
      </c>
      <c r="AC685" s="16" t="s">
        <v>1405</v>
      </c>
      <c r="AD685" s="16">
        <v>0</v>
      </c>
      <c r="AE685" s="16" t="s">
        <v>1405</v>
      </c>
      <c r="AF685" s="16" t="s">
        <v>1405</v>
      </c>
    </row>
    <row r="686" spans="1:32" x14ac:dyDescent="0.2">
      <c r="A686" s="3" t="s">
        <v>2542</v>
      </c>
      <c r="B686" s="12" t="s">
        <v>1497</v>
      </c>
      <c r="C686" s="6">
        <v>685</v>
      </c>
      <c r="D686" s="12">
        <v>280</v>
      </c>
      <c r="E686" s="12" t="s">
        <v>1444</v>
      </c>
      <c r="F686" s="12" t="s">
        <v>1445</v>
      </c>
      <c r="G686" s="12" t="s">
        <v>1446</v>
      </c>
      <c r="H686" s="12" t="s">
        <v>1495</v>
      </c>
      <c r="I686" s="12" t="s">
        <v>1414</v>
      </c>
      <c r="J686" s="12" t="s">
        <v>1407</v>
      </c>
      <c r="K686" s="8" t="s">
        <v>1530</v>
      </c>
      <c r="L686" s="13" t="s">
        <v>1499</v>
      </c>
      <c r="M686" s="13" t="s">
        <v>1531</v>
      </c>
      <c r="N686" s="13" t="s">
        <v>1407</v>
      </c>
      <c r="O686" s="13" t="s">
        <v>1532</v>
      </c>
      <c r="P686" s="13" t="s">
        <v>1451</v>
      </c>
      <c r="Q686" s="13" t="s">
        <v>1396</v>
      </c>
      <c r="R686" s="13">
        <v>1</v>
      </c>
      <c r="S686" s="13" t="s">
        <v>1453</v>
      </c>
      <c r="T686" s="13" t="s">
        <v>1454</v>
      </c>
      <c r="U686" s="13" t="s">
        <v>1406</v>
      </c>
      <c r="V686" s="13">
        <v>13</v>
      </c>
      <c r="W686" s="13" t="b">
        <v>1</v>
      </c>
      <c r="X686" s="13">
        <v>240806</v>
      </c>
      <c r="Y686" s="13" t="s">
        <v>1405</v>
      </c>
      <c r="Z686" s="13">
        <v>0</v>
      </c>
      <c r="AA686" s="13">
        <v>0</v>
      </c>
      <c r="AB686" s="13" t="s">
        <v>1405</v>
      </c>
      <c r="AC686" s="13" t="s">
        <v>1405</v>
      </c>
      <c r="AD686" s="13">
        <v>0</v>
      </c>
      <c r="AE686" s="13" t="s">
        <v>1405</v>
      </c>
      <c r="AF686" s="13" t="s">
        <v>1405</v>
      </c>
    </row>
    <row r="687" spans="1:32" x14ac:dyDescent="0.2">
      <c r="A687" s="3" t="s">
        <v>2543</v>
      </c>
      <c r="B687" s="14" t="s">
        <v>1497</v>
      </c>
      <c r="C687" s="6">
        <v>686</v>
      </c>
      <c r="D687" s="14">
        <v>280.5</v>
      </c>
      <c r="E687" s="14" t="s">
        <v>1457</v>
      </c>
      <c r="F687" s="15" t="s">
        <v>1445</v>
      </c>
      <c r="G687" s="14" t="s">
        <v>1458</v>
      </c>
      <c r="H687" s="14" t="s">
        <v>136</v>
      </c>
      <c r="I687" s="14" t="s">
        <v>1409</v>
      </c>
      <c r="J687" s="14" t="s">
        <v>1407</v>
      </c>
      <c r="K687" s="8" t="s">
        <v>1565</v>
      </c>
      <c r="L687" s="16" t="s">
        <v>1521</v>
      </c>
      <c r="M687" s="16" t="s">
        <v>1564</v>
      </c>
      <c r="N687" s="16" t="s">
        <v>1407</v>
      </c>
      <c r="O687" s="16" t="s">
        <v>1532</v>
      </c>
      <c r="P687" s="16" t="s">
        <v>1451</v>
      </c>
      <c r="Q687" s="16" t="s">
        <v>1396</v>
      </c>
      <c r="R687" s="16">
        <v>6</v>
      </c>
      <c r="S687" s="16" t="s">
        <v>1453</v>
      </c>
      <c r="T687" s="16" t="s">
        <v>1454</v>
      </c>
      <c r="U687" s="16" t="s">
        <v>1406</v>
      </c>
      <c r="V687" s="16">
        <v>13</v>
      </c>
      <c r="W687" s="16" t="b">
        <v>1</v>
      </c>
      <c r="X687" s="16">
        <v>240806</v>
      </c>
      <c r="Y687" s="16" t="s">
        <v>1405</v>
      </c>
      <c r="Z687" s="16">
        <v>0</v>
      </c>
      <c r="AA687" s="16">
        <v>0</v>
      </c>
      <c r="AB687" s="16" t="s">
        <v>1405</v>
      </c>
      <c r="AC687" s="16" t="s">
        <v>1405</v>
      </c>
      <c r="AD687" s="16">
        <v>0</v>
      </c>
      <c r="AE687" s="16" t="s">
        <v>1405</v>
      </c>
      <c r="AF687" s="16" t="s">
        <v>1405</v>
      </c>
    </row>
    <row r="688" spans="1:32" x14ac:dyDescent="0.2">
      <c r="A688" s="3" t="s">
        <v>2544</v>
      </c>
      <c r="B688" s="12" t="s">
        <v>1497</v>
      </c>
      <c r="C688" s="6">
        <v>687</v>
      </c>
      <c r="D688" s="12">
        <v>281</v>
      </c>
      <c r="E688" s="12" t="s">
        <v>1444</v>
      </c>
      <c r="F688" s="12" t="s">
        <v>1445</v>
      </c>
      <c r="G688" s="12" t="s">
        <v>1446</v>
      </c>
      <c r="H688" s="12" t="s">
        <v>1496</v>
      </c>
      <c r="I688" s="12" t="s">
        <v>1414</v>
      </c>
      <c r="J688" s="12" t="s">
        <v>1407</v>
      </c>
      <c r="K688" s="8" t="s">
        <v>1530</v>
      </c>
      <c r="L688" s="13" t="s">
        <v>1499</v>
      </c>
      <c r="M688" s="13" t="s">
        <v>1531</v>
      </c>
      <c r="N688" s="13" t="s">
        <v>1407</v>
      </c>
      <c r="O688" s="13" t="s">
        <v>1532</v>
      </c>
      <c r="P688" s="13" t="s">
        <v>1451</v>
      </c>
      <c r="Q688" s="13" t="s">
        <v>1396</v>
      </c>
      <c r="R688" s="13">
        <v>1</v>
      </c>
      <c r="S688" s="13" t="s">
        <v>1453</v>
      </c>
      <c r="T688" s="13" t="s">
        <v>1454</v>
      </c>
      <c r="U688" s="13" t="s">
        <v>1406</v>
      </c>
      <c r="V688" s="13">
        <v>13</v>
      </c>
      <c r="W688" s="13" t="b">
        <v>1</v>
      </c>
      <c r="X688" s="13">
        <v>240806</v>
      </c>
      <c r="Y688" s="13" t="s">
        <v>1405</v>
      </c>
      <c r="Z688" s="13">
        <v>0</v>
      </c>
      <c r="AA688" s="13">
        <v>0</v>
      </c>
      <c r="AB688" s="13" t="s">
        <v>1405</v>
      </c>
      <c r="AC688" s="13" t="s">
        <v>1405</v>
      </c>
      <c r="AD688" s="13">
        <v>0</v>
      </c>
      <c r="AE688" s="13" t="s">
        <v>1405</v>
      </c>
      <c r="AF688" s="13" t="s">
        <v>1405</v>
      </c>
    </row>
  </sheetData>
  <sortState xmlns:xlrd2="http://schemas.microsoft.com/office/spreadsheetml/2017/richdata2" ref="A2:Y1153">
    <sortCondition ref="A1:A1153"/>
  </sortState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32CF0-7403-4745-97C2-74D21B4532ED}">
  <dimension ref="A1:P295"/>
  <sheetViews>
    <sheetView workbookViewId="0">
      <pane xSplit="3" ySplit="1" topLeftCell="D2" activePane="bottomRight" state="frozen"/>
      <selection pane="topRight" activeCell="C1" sqref="C1"/>
      <selection pane="bottomLeft" activeCell="A2" sqref="A2"/>
      <selection pane="bottomRight" activeCell="A21" sqref="A21"/>
    </sheetView>
  </sheetViews>
  <sheetFormatPr baseColWidth="10" defaultRowHeight="16" x14ac:dyDescent="0.2"/>
  <cols>
    <col min="1" max="1" width="72.5" style="21" bestFit="1" customWidth="1"/>
    <col min="2" max="2" width="27.5" style="21" bestFit="1" customWidth="1"/>
    <col min="3" max="3" width="8.5" style="21" bestFit="1" customWidth="1"/>
    <col min="4" max="4" width="4.83203125" style="21" bestFit="1" customWidth="1"/>
    <col min="5" max="5" width="15.83203125" style="21" bestFit="1" customWidth="1"/>
    <col min="6" max="6" width="12" style="21" bestFit="1" customWidth="1"/>
    <col min="7" max="7" width="13.1640625" style="21" bestFit="1" customWidth="1"/>
    <col min="8" max="8" width="6.33203125" style="21" bestFit="1" customWidth="1"/>
    <col min="9" max="9" width="5.5" style="21" bestFit="1" customWidth="1"/>
    <col min="10" max="10" width="7.33203125" style="21" bestFit="1" customWidth="1"/>
    <col min="11" max="16384" width="10.83203125" style="21"/>
  </cols>
  <sheetData>
    <row r="1" spans="1:16" s="18" customFormat="1" x14ac:dyDescent="0.2">
      <c r="A1" s="18" t="s">
        <v>173</v>
      </c>
      <c r="B1" s="18" t="s">
        <v>2700</v>
      </c>
      <c r="C1" s="18" t="s">
        <v>1326</v>
      </c>
      <c r="D1" s="18" t="s">
        <v>2545</v>
      </c>
      <c r="E1" s="18" t="s">
        <v>1421</v>
      </c>
      <c r="F1" s="19" t="s">
        <v>5</v>
      </c>
      <c r="G1" s="19" t="s">
        <v>2547</v>
      </c>
      <c r="H1" s="19" t="s">
        <v>3</v>
      </c>
      <c r="I1" s="19" t="s">
        <v>4</v>
      </c>
      <c r="J1" s="19" t="s">
        <v>2548</v>
      </c>
      <c r="K1" s="20"/>
      <c r="L1" s="20"/>
      <c r="M1" s="20"/>
      <c r="N1" s="20"/>
      <c r="O1" s="20"/>
      <c r="P1" s="20"/>
    </row>
    <row r="2" spans="1:16" x14ac:dyDescent="0.2">
      <c r="A2" s="21" t="s">
        <v>1775</v>
      </c>
      <c r="B2" s="22" t="s">
        <v>2641</v>
      </c>
      <c r="C2" s="21" t="s">
        <v>1446</v>
      </c>
      <c r="D2" s="21" t="s">
        <v>2546</v>
      </c>
      <c r="E2" s="21" t="s">
        <v>2701</v>
      </c>
      <c r="F2" s="22" t="s">
        <v>2549</v>
      </c>
      <c r="G2" s="22">
        <v>385</v>
      </c>
      <c r="H2" s="22">
        <v>5</v>
      </c>
      <c r="I2" s="22" t="s">
        <v>22</v>
      </c>
      <c r="J2" s="22" t="s">
        <v>2552</v>
      </c>
    </row>
    <row r="3" spans="1:16" x14ac:dyDescent="0.2">
      <c r="A3" s="21" t="s">
        <v>1776</v>
      </c>
      <c r="B3" s="22" t="s">
        <v>2642</v>
      </c>
      <c r="C3" s="21" t="s">
        <v>1446</v>
      </c>
      <c r="D3" s="21" t="s">
        <v>2546</v>
      </c>
      <c r="E3" s="21" t="s">
        <v>2701</v>
      </c>
      <c r="F3" s="22" t="s">
        <v>2549</v>
      </c>
      <c r="G3" s="22">
        <v>386</v>
      </c>
      <c r="H3" s="22">
        <v>5</v>
      </c>
      <c r="I3" s="22" t="s">
        <v>30</v>
      </c>
      <c r="J3" s="22" t="s">
        <v>2552</v>
      </c>
    </row>
    <row r="4" spans="1:16" x14ac:dyDescent="0.2">
      <c r="A4" s="21" t="s">
        <v>1777</v>
      </c>
      <c r="B4" s="22" t="s">
        <v>2643</v>
      </c>
      <c r="C4" s="21" t="s">
        <v>1446</v>
      </c>
      <c r="D4" s="21" t="s">
        <v>2546</v>
      </c>
      <c r="E4" s="21" t="s">
        <v>2701</v>
      </c>
      <c r="F4" s="22" t="s">
        <v>2549</v>
      </c>
      <c r="G4" s="22">
        <v>387</v>
      </c>
      <c r="H4" s="22">
        <v>5</v>
      </c>
      <c r="I4" s="22" t="s">
        <v>32</v>
      </c>
      <c r="J4" s="22" t="s">
        <v>2552</v>
      </c>
    </row>
    <row r="5" spans="1:16" x14ac:dyDescent="0.2">
      <c r="A5" s="21" t="s">
        <v>1778</v>
      </c>
      <c r="B5" s="22" t="s">
        <v>2644</v>
      </c>
      <c r="C5" s="21" t="s">
        <v>1446</v>
      </c>
      <c r="D5" s="21" t="s">
        <v>2546</v>
      </c>
      <c r="E5" s="21" t="s">
        <v>2701</v>
      </c>
      <c r="F5" s="22" t="s">
        <v>2549</v>
      </c>
      <c r="G5" s="22">
        <v>388</v>
      </c>
      <c r="H5" s="22">
        <v>5</v>
      </c>
      <c r="I5" s="22" t="s">
        <v>34</v>
      </c>
      <c r="J5" s="22" t="s">
        <v>2552</v>
      </c>
    </row>
    <row r="6" spans="1:16" x14ac:dyDescent="0.2">
      <c r="A6" s="21" t="s">
        <v>1779</v>
      </c>
      <c r="B6" s="22" t="s">
        <v>2645</v>
      </c>
      <c r="C6" s="21" t="s">
        <v>1446</v>
      </c>
      <c r="D6" s="21" t="s">
        <v>2546</v>
      </c>
      <c r="E6" s="21" t="s">
        <v>2701</v>
      </c>
      <c r="F6" s="22" t="s">
        <v>2549</v>
      </c>
      <c r="G6" s="22">
        <v>389</v>
      </c>
      <c r="H6" s="22">
        <v>5</v>
      </c>
      <c r="I6" s="22" t="s">
        <v>36</v>
      </c>
      <c r="J6" s="22" t="s">
        <v>2552</v>
      </c>
    </row>
    <row r="7" spans="1:16" x14ac:dyDescent="0.2">
      <c r="A7" s="21" t="s">
        <v>1780</v>
      </c>
      <c r="B7" s="22" t="s">
        <v>2646</v>
      </c>
      <c r="C7" s="21" t="s">
        <v>1446</v>
      </c>
      <c r="D7" s="21" t="s">
        <v>2546</v>
      </c>
      <c r="E7" s="21" t="s">
        <v>2701</v>
      </c>
      <c r="F7" s="22" t="s">
        <v>2549</v>
      </c>
      <c r="G7" s="22">
        <v>390</v>
      </c>
      <c r="H7" s="22">
        <v>5</v>
      </c>
      <c r="I7" s="22" t="s">
        <v>38</v>
      </c>
      <c r="J7" s="22" t="s">
        <v>2552</v>
      </c>
    </row>
    <row r="8" spans="1:16" x14ac:dyDescent="0.2">
      <c r="A8" s="21" t="s">
        <v>1781</v>
      </c>
      <c r="B8" s="22" t="s">
        <v>2647</v>
      </c>
      <c r="C8" s="21" t="s">
        <v>1446</v>
      </c>
      <c r="D8" s="21" t="s">
        <v>2546</v>
      </c>
      <c r="E8" s="21" t="s">
        <v>2701</v>
      </c>
      <c r="F8" s="22" t="s">
        <v>2549</v>
      </c>
      <c r="G8" s="22">
        <v>391</v>
      </c>
      <c r="H8" s="22">
        <v>5</v>
      </c>
      <c r="I8" s="22" t="s">
        <v>40</v>
      </c>
      <c r="J8" s="22" t="s">
        <v>2552</v>
      </c>
    </row>
    <row r="9" spans="1:16" x14ac:dyDescent="0.2">
      <c r="A9" s="21" t="s">
        <v>1782</v>
      </c>
      <c r="B9" s="22" t="s">
        <v>2648</v>
      </c>
      <c r="C9" s="21" t="s">
        <v>1446</v>
      </c>
      <c r="D9" s="21" t="s">
        <v>2546</v>
      </c>
      <c r="E9" s="21" t="s">
        <v>2701</v>
      </c>
      <c r="F9" s="22" t="s">
        <v>2549</v>
      </c>
      <c r="G9" s="22">
        <v>392</v>
      </c>
      <c r="H9" s="22">
        <v>5</v>
      </c>
      <c r="I9" s="22" t="s">
        <v>42</v>
      </c>
      <c r="J9" s="22" t="s">
        <v>2552</v>
      </c>
    </row>
    <row r="10" spans="1:16" x14ac:dyDescent="0.2">
      <c r="A10" s="21" t="s">
        <v>1783</v>
      </c>
      <c r="B10" s="22" t="s">
        <v>2562</v>
      </c>
      <c r="C10" s="21" t="s">
        <v>1446</v>
      </c>
      <c r="D10" s="21" t="s">
        <v>2546</v>
      </c>
      <c r="E10" s="21" t="s">
        <v>2701</v>
      </c>
      <c r="F10" s="22" t="s">
        <v>2549</v>
      </c>
      <c r="G10" s="22">
        <v>393</v>
      </c>
      <c r="H10" s="22">
        <v>5</v>
      </c>
      <c r="I10" s="22" t="s">
        <v>44</v>
      </c>
      <c r="J10" s="22" t="s">
        <v>2552</v>
      </c>
    </row>
    <row r="11" spans="1:16" x14ac:dyDescent="0.2">
      <c r="A11" s="21" t="s">
        <v>1784</v>
      </c>
      <c r="B11" s="22" t="s">
        <v>2564</v>
      </c>
      <c r="C11" s="21" t="s">
        <v>1446</v>
      </c>
      <c r="D11" s="21" t="s">
        <v>2546</v>
      </c>
      <c r="E11" s="21" t="s">
        <v>2701</v>
      </c>
      <c r="F11" s="22" t="s">
        <v>2549</v>
      </c>
      <c r="G11" s="22">
        <v>394</v>
      </c>
      <c r="H11" s="22">
        <v>5</v>
      </c>
      <c r="I11" s="22" t="s">
        <v>46</v>
      </c>
      <c r="J11" s="22" t="s">
        <v>2552</v>
      </c>
    </row>
    <row r="12" spans="1:16" x14ac:dyDescent="0.2">
      <c r="A12" s="21" t="s">
        <v>1785</v>
      </c>
      <c r="B12" s="22" t="s">
        <v>2649</v>
      </c>
      <c r="C12" s="21" t="s">
        <v>1446</v>
      </c>
      <c r="D12" s="21" t="s">
        <v>2546</v>
      </c>
      <c r="E12" s="21" t="s">
        <v>2701</v>
      </c>
      <c r="F12" s="22" t="s">
        <v>2549</v>
      </c>
      <c r="G12" s="22">
        <v>395</v>
      </c>
      <c r="H12" s="22">
        <v>5</v>
      </c>
      <c r="I12" s="22" t="s">
        <v>48</v>
      </c>
      <c r="J12" s="22" t="s">
        <v>2552</v>
      </c>
    </row>
    <row r="13" spans="1:16" x14ac:dyDescent="0.2">
      <c r="A13" s="21" t="s">
        <v>1786</v>
      </c>
      <c r="B13" s="22" t="s">
        <v>2650</v>
      </c>
      <c r="C13" s="21" t="s">
        <v>1446</v>
      </c>
      <c r="D13" s="21" t="s">
        <v>2546</v>
      </c>
      <c r="E13" s="21" t="s">
        <v>2701</v>
      </c>
      <c r="F13" s="22" t="s">
        <v>2549</v>
      </c>
      <c r="G13" s="22">
        <v>396</v>
      </c>
      <c r="H13" s="22">
        <v>5</v>
      </c>
      <c r="I13" s="22" t="s">
        <v>50</v>
      </c>
      <c r="J13" s="22" t="s">
        <v>2552</v>
      </c>
    </row>
    <row r="14" spans="1:16" x14ac:dyDescent="0.2">
      <c r="A14" s="21" t="s">
        <v>1787</v>
      </c>
      <c r="B14" s="22" t="s">
        <v>2651</v>
      </c>
      <c r="C14" s="21" t="s">
        <v>1446</v>
      </c>
      <c r="D14" s="21" t="s">
        <v>2546</v>
      </c>
      <c r="E14" s="21" t="s">
        <v>2701</v>
      </c>
      <c r="F14" s="22" t="s">
        <v>2549</v>
      </c>
      <c r="G14" s="22">
        <v>397</v>
      </c>
      <c r="H14" s="22">
        <v>5</v>
      </c>
      <c r="I14" s="22" t="s">
        <v>51</v>
      </c>
      <c r="J14" s="22" t="s">
        <v>2552</v>
      </c>
    </row>
    <row r="15" spans="1:16" x14ac:dyDescent="0.2">
      <c r="A15" s="21" t="s">
        <v>1788</v>
      </c>
      <c r="B15" s="22" t="s">
        <v>2652</v>
      </c>
      <c r="C15" s="21" t="s">
        <v>1446</v>
      </c>
      <c r="D15" s="21" t="s">
        <v>2546</v>
      </c>
      <c r="E15" s="21" t="s">
        <v>2701</v>
      </c>
      <c r="F15" s="22" t="s">
        <v>2549</v>
      </c>
      <c r="G15" s="22">
        <v>398</v>
      </c>
      <c r="H15" s="22">
        <v>5</v>
      </c>
      <c r="I15" s="22" t="s">
        <v>53</v>
      </c>
      <c r="J15" s="22" t="s">
        <v>2552</v>
      </c>
    </row>
    <row r="16" spans="1:16" x14ac:dyDescent="0.2">
      <c r="A16" s="21" t="s">
        <v>1789</v>
      </c>
      <c r="B16" s="22" t="s">
        <v>2653</v>
      </c>
      <c r="C16" s="21" t="s">
        <v>1446</v>
      </c>
      <c r="D16" s="21" t="s">
        <v>2546</v>
      </c>
      <c r="E16" s="21" t="s">
        <v>2701</v>
      </c>
      <c r="F16" s="22" t="s">
        <v>2549</v>
      </c>
      <c r="G16" s="22">
        <v>399</v>
      </c>
      <c r="H16" s="22">
        <v>5</v>
      </c>
      <c r="I16" s="22" t="s">
        <v>54</v>
      </c>
      <c r="J16" s="22" t="s">
        <v>2552</v>
      </c>
    </row>
    <row r="17" spans="1:10" x14ac:dyDescent="0.2">
      <c r="A17" s="21" t="s">
        <v>1790</v>
      </c>
      <c r="B17" s="22" t="s">
        <v>2654</v>
      </c>
      <c r="C17" s="21" t="s">
        <v>1446</v>
      </c>
      <c r="D17" s="21" t="s">
        <v>2546</v>
      </c>
      <c r="E17" s="21" t="s">
        <v>2701</v>
      </c>
      <c r="F17" s="22" t="s">
        <v>2549</v>
      </c>
      <c r="G17" s="22">
        <v>400</v>
      </c>
      <c r="H17" s="22">
        <v>5</v>
      </c>
      <c r="I17" s="22" t="s">
        <v>55</v>
      </c>
      <c r="J17" s="22" t="s">
        <v>2552</v>
      </c>
    </row>
    <row r="18" spans="1:10" x14ac:dyDescent="0.2">
      <c r="A18" s="21" t="s">
        <v>1791</v>
      </c>
      <c r="B18" s="22" t="s">
        <v>2655</v>
      </c>
      <c r="C18" s="21" t="s">
        <v>1446</v>
      </c>
      <c r="D18" s="21" t="s">
        <v>2546</v>
      </c>
      <c r="E18" s="21" t="s">
        <v>2701</v>
      </c>
      <c r="F18" s="22" t="s">
        <v>2549</v>
      </c>
      <c r="G18" s="22">
        <v>401</v>
      </c>
      <c r="H18" s="22">
        <v>5</v>
      </c>
      <c r="I18" s="22" t="s">
        <v>56</v>
      </c>
      <c r="J18" s="22" t="s">
        <v>2552</v>
      </c>
    </row>
    <row r="19" spans="1:10" x14ac:dyDescent="0.2">
      <c r="A19" s="21" t="s">
        <v>1792</v>
      </c>
      <c r="B19" s="22" t="s">
        <v>2656</v>
      </c>
      <c r="C19" s="21" t="s">
        <v>1446</v>
      </c>
      <c r="D19" s="21" t="s">
        <v>2546</v>
      </c>
      <c r="E19" s="21" t="s">
        <v>2701</v>
      </c>
      <c r="F19" s="22" t="s">
        <v>2549</v>
      </c>
      <c r="G19" s="22">
        <v>402</v>
      </c>
      <c r="H19" s="22">
        <v>5</v>
      </c>
      <c r="I19" s="22" t="s">
        <v>57</v>
      </c>
      <c r="J19" s="22" t="s">
        <v>2552</v>
      </c>
    </row>
    <row r="20" spans="1:10" x14ac:dyDescent="0.2">
      <c r="A20" s="21" t="s">
        <v>1793</v>
      </c>
      <c r="B20" s="22" t="s">
        <v>2574</v>
      </c>
      <c r="C20" s="21" t="s">
        <v>1446</v>
      </c>
      <c r="D20" s="21" t="s">
        <v>2546</v>
      </c>
      <c r="E20" s="21" t="s">
        <v>2701</v>
      </c>
      <c r="F20" s="22" t="s">
        <v>2549</v>
      </c>
      <c r="G20" s="22">
        <v>403</v>
      </c>
      <c r="H20" s="22">
        <v>5</v>
      </c>
      <c r="I20" s="22" t="s">
        <v>58</v>
      </c>
      <c r="J20" s="22" t="s">
        <v>2552</v>
      </c>
    </row>
    <row r="21" spans="1:10" x14ac:dyDescent="0.2">
      <c r="A21" s="21" t="s">
        <v>1794</v>
      </c>
      <c r="B21" s="22" t="s">
        <v>2576</v>
      </c>
      <c r="C21" s="21" t="s">
        <v>1446</v>
      </c>
      <c r="D21" s="21" t="s">
        <v>2546</v>
      </c>
      <c r="E21" s="21" t="s">
        <v>2701</v>
      </c>
      <c r="F21" s="22" t="s">
        <v>2549</v>
      </c>
      <c r="G21" s="22">
        <v>404</v>
      </c>
      <c r="H21" s="22">
        <v>5</v>
      </c>
      <c r="I21" s="22" t="s">
        <v>59</v>
      </c>
      <c r="J21" s="22" t="s">
        <v>2552</v>
      </c>
    </row>
    <row r="22" spans="1:10" x14ac:dyDescent="0.2">
      <c r="A22" s="21" t="s">
        <v>1795</v>
      </c>
      <c r="B22" s="22" t="s">
        <v>2657</v>
      </c>
      <c r="C22" s="21" t="s">
        <v>1446</v>
      </c>
      <c r="D22" s="21" t="s">
        <v>2546</v>
      </c>
      <c r="E22" s="21" t="s">
        <v>2701</v>
      </c>
      <c r="F22" s="22" t="s">
        <v>2549</v>
      </c>
      <c r="G22" s="22">
        <v>421</v>
      </c>
      <c r="H22" s="22">
        <v>5</v>
      </c>
      <c r="I22" s="22" t="s">
        <v>77</v>
      </c>
      <c r="J22" s="22" t="s">
        <v>2550</v>
      </c>
    </row>
    <row r="23" spans="1:10" x14ac:dyDescent="0.2">
      <c r="A23" s="21" t="s">
        <v>1796</v>
      </c>
      <c r="B23" s="22" t="s">
        <v>2658</v>
      </c>
      <c r="C23" s="21" t="s">
        <v>1446</v>
      </c>
      <c r="D23" s="21" t="s">
        <v>2546</v>
      </c>
      <c r="E23" s="21" t="s">
        <v>2701</v>
      </c>
      <c r="F23" s="22" t="s">
        <v>2549</v>
      </c>
      <c r="G23" s="22">
        <v>422</v>
      </c>
      <c r="H23" s="22">
        <v>5</v>
      </c>
      <c r="I23" s="22" t="s">
        <v>79</v>
      </c>
      <c r="J23" s="22" t="s">
        <v>2550</v>
      </c>
    </row>
    <row r="24" spans="1:10" x14ac:dyDescent="0.2">
      <c r="A24" s="21" t="s">
        <v>1797</v>
      </c>
      <c r="B24" s="22" t="s">
        <v>2659</v>
      </c>
      <c r="C24" s="21" t="s">
        <v>1446</v>
      </c>
      <c r="D24" s="21" t="s">
        <v>2546</v>
      </c>
      <c r="E24" s="21" t="s">
        <v>2701</v>
      </c>
      <c r="F24" s="22" t="s">
        <v>2549</v>
      </c>
      <c r="G24" s="22">
        <v>423</v>
      </c>
      <c r="H24" s="22">
        <v>5</v>
      </c>
      <c r="I24" s="22" t="s">
        <v>80</v>
      </c>
      <c r="J24" s="22" t="s">
        <v>2550</v>
      </c>
    </row>
    <row r="25" spans="1:10" x14ac:dyDescent="0.2">
      <c r="A25" s="21" t="s">
        <v>1798</v>
      </c>
      <c r="B25" s="22" t="s">
        <v>2660</v>
      </c>
      <c r="C25" s="21" t="s">
        <v>1446</v>
      </c>
      <c r="D25" s="21" t="s">
        <v>2546</v>
      </c>
      <c r="E25" s="21" t="s">
        <v>2701</v>
      </c>
      <c r="F25" s="22" t="s">
        <v>2549</v>
      </c>
      <c r="G25" s="22">
        <v>424</v>
      </c>
      <c r="H25" s="22">
        <v>5</v>
      </c>
      <c r="I25" s="22" t="s">
        <v>81</v>
      </c>
      <c r="J25" s="22" t="s">
        <v>2550</v>
      </c>
    </row>
    <row r="26" spans="1:10" x14ac:dyDescent="0.2">
      <c r="A26" s="21" t="s">
        <v>1799</v>
      </c>
      <c r="B26" s="22" t="s">
        <v>2661</v>
      </c>
      <c r="C26" s="21" t="s">
        <v>1446</v>
      </c>
      <c r="D26" s="21" t="s">
        <v>2546</v>
      </c>
      <c r="E26" s="21" t="s">
        <v>2701</v>
      </c>
      <c r="F26" s="22" t="s">
        <v>2549</v>
      </c>
      <c r="G26" s="22">
        <v>425</v>
      </c>
      <c r="H26" s="22">
        <v>5</v>
      </c>
      <c r="I26" s="22" t="s">
        <v>82</v>
      </c>
      <c r="J26" s="22" t="s">
        <v>2550</v>
      </c>
    </row>
    <row r="27" spans="1:10" x14ac:dyDescent="0.2">
      <c r="A27" s="21" t="s">
        <v>1800</v>
      </c>
      <c r="B27" s="22" t="s">
        <v>2662</v>
      </c>
      <c r="C27" s="21" t="s">
        <v>1446</v>
      </c>
      <c r="D27" s="21" t="s">
        <v>2546</v>
      </c>
      <c r="E27" s="21" t="s">
        <v>2701</v>
      </c>
      <c r="F27" s="22" t="s">
        <v>2549</v>
      </c>
      <c r="G27" s="22">
        <v>426</v>
      </c>
      <c r="H27" s="22">
        <v>5</v>
      </c>
      <c r="I27" s="22" t="s">
        <v>83</v>
      </c>
      <c r="J27" s="22" t="s">
        <v>2550</v>
      </c>
    </row>
    <row r="28" spans="1:10" x14ac:dyDescent="0.2">
      <c r="A28" s="21" t="s">
        <v>1801</v>
      </c>
      <c r="B28" s="22" t="s">
        <v>2663</v>
      </c>
      <c r="C28" s="21" t="s">
        <v>1446</v>
      </c>
      <c r="D28" s="21" t="s">
        <v>2546</v>
      </c>
      <c r="E28" s="21" t="s">
        <v>2701</v>
      </c>
      <c r="F28" s="22" t="s">
        <v>2549</v>
      </c>
      <c r="G28" s="22">
        <v>427</v>
      </c>
      <c r="H28" s="22">
        <v>5</v>
      </c>
      <c r="I28" s="22" t="s">
        <v>1495</v>
      </c>
      <c r="J28" s="22" t="s">
        <v>2550</v>
      </c>
    </row>
    <row r="29" spans="1:10" x14ac:dyDescent="0.2">
      <c r="A29" s="21" t="s">
        <v>1802</v>
      </c>
      <c r="B29" s="22" t="s">
        <v>2664</v>
      </c>
      <c r="C29" s="21" t="s">
        <v>1446</v>
      </c>
      <c r="D29" s="21" t="s">
        <v>2546</v>
      </c>
      <c r="E29" s="21" t="s">
        <v>2701</v>
      </c>
      <c r="F29" s="22" t="s">
        <v>2549</v>
      </c>
      <c r="G29" s="22">
        <v>428</v>
      </c>
      <c r="H29" s="22">
        <v>5</v>
      </c>
      <c r="I29" s="22" t="s">
        <v>85</v>
      </c>
      <c r="J29" s="22" t="s">
        <v>2550</v>
      </c>
    </row>
    <row r="30" spans="1:10" x14ac:dyDescent="0.2">
      <c r="A30" s="21" t="s">
        <v>1803</v>
      </c>
      <c r="B30" s="22" t="s">
        <v>2665</v>
      </c>
      <c r="C30" s="21" t="s">
        <v>1446</v>
      </c>
      <c r="D30" s="21" t="s">
        <v>2546</v>
      </c>
      <c r="E30" s="21" t="s">
        <v>2701</v>
      </c>
      <c r="F30" s="22" t="s">
        <v>2549</v>
      </c>
      <c r="G30" s="22">
        <v>429</v>
      </c>
      <c r="H30" s="22">
        <v>5</v>
      </c>
      <c r="I30" s="22" t="s">
        <v>86</v>
      </c>
      <c r="J30" s="22" t="s">
        <v>2550</v>
      </c>
    </row>
    <row r="31" spans="1:10" x14ac:dyDescent="0.2">
      <c r="A31" s="21" t="s">
        <v>1804</v>
      </c>
      <c r="B31" s="22" t="s">
        <v>2666</v>
      </c>
      <c r="C31" s="21" t="s">
        <v>1446</v>
      </c>
      <c r="D31" s="21" t="s">
        <v>2546</v>
      </c>
      <c r="E31" s="21" t="s">
        <v>2701</v>
      </c>
      <c r="F31" s="22" t="s">
        <v>2549</v>
      </c>
      <c r="G31" s="22">
        <v>430</v>
      </c>
      <c r="H31" s="22">
        <v>5</v>
      </c>
      <c r="I31" s="22" t="s">
        <v>87</v>
      </c>
      <c r="J31" s="22" t="s">
        <v>2550</v>
      </c>
    </row>
    <row r="32" spans="1:10" x14ac:dyDescent="0.2">
      <c r="A32" s="21" t="s">
        <v>1805</v>
      </c>
      <c r="B32" s="22" t="s">
        <v>2667</v>
      </c>
      <c r="C32" s="21" t="s">
        <v>1446</v>
      </c>
      <c r="D32" s="21" t="s">
        <v>2546</v>
      </c>
      <c r="E32" s="21" t="s">
        <v>2701</v>
      </c>
      <c r="F32" s="22" t="s">
        <v>2549</v>
      </c>
      <c r="G32" s="22">
        <v>431</v>
      </c>
      <c r="H32" s="22">
        <v>5</v>
      </c>
      <c r="I32" s="22" t="s">
        <v>88</v>
      </c>
      <c r="J32" s="22" t="s">
        <v>2550</v>
      </c>
    </row>
    <row r="33" spans="1:10" x14ac:dyDescent="0.2">
      <c r="A33" s="21" t="s">
        <v>1806</v>
      </c>
      <c r="B33" s="22" t="s">
        <v>2668</v>
      </c>
      <c r="C33" s="21" t="s">
        <v>1446</v>
      </c>
      <c r="D33" s="21" t="s">
        <v>2546</v>
      </c>
      <c r="E33" s="21" t="s">
        <v>2701</v>
      </c>
      <c r="F33" s="22" t="s">
        <v>2549</v>
      </c>
      <c r="G33" s="22">
        <v>432</v>
      </c>
      <c r="H33" s="22">
        <v>5</v>
      </c>
      <c r="I33" s="22" t="s">
        <v>89</v>
      </c>
      <c r="J33" s="22" t="s">
        <v>2550</v>
      </c>
    </row>
    <row r="34" spans="1:10" x14ac:dyDescent="0.2">
      <c r="A34" s="21" t="s">
        <v>1807</v>
      </c>
      <c r="B34" s="22" t="s">
        <v>2669</v>
      </c>
      <c r="C34" s="21" t="s">
        <v>1446</v>
      </c>
      <c r="D34" s="21" t="s">
        <v>2546</v>
      </c>
      <c r="E34" s="21" t="s">
        <v>2701</v>
      </c>
      <c r="F34" s="22" t="s">
        <v>2549</v>
      </c>
      <c r="G34" s="22">
        <v>445</v>
      </c>
      <c r="H34" s="22">
        <v>5</v>
      </c>
      <c r="I34" s="22" t="s">
        <v>103</v>
      </c>
      <c r="J34" s="22" t="s">
        <v>2617</v>
      </c>
    </row>
    <row r="35" spans="1:10" x14ac:dyDescent="0.2">
      <c r="A35" s="21" t="s">
        <v>1808</v>
      </c>
      <c r="B35" s="22" t="s">
        <v>2670</v>
      </c>
      <c r="C35" s="21" t="s">
        <v>1446</v>
      </c>
      <c r="D35" s="21" t="s">
        <v>2546</v>
      </c>
      <c r="E35" s="21" t="s">
        <v>2701</v>
      </c>
      <c r="F35" s="22" t="s">
        <v>2549</v>
      </c>
      <c r="G35" s="22">
        <v>446</v>
      </c>
      <c r="H35" s="22">
        <v>5</v>
      </c>
      <c r="I35" s="22" t="s">
        <v>105</v>
      </c>
      <c r="J35" s="22" t="s">
        <v>2617</v>
      </c>
    </row>
    <row r="36" spans="1:10" x14ac:dyDescent="0.2">
      <c r="A36" s="21" t="s">
        <v>1809</v>
      </c>
      <c r="B36" s="22" t="s">
        <v>2671</v>
      </c>
      <c r="C36" s="21" t="s">
        <v>1446</v>
      </c>
      <c r="D36" s="21" t="s">
        <v>2546</v>
      </c>
      <c r="E36" s="21" t="s">
        <v>2701</v>
      </c>
      <c r="F36" s="22" t="s">
        <v>2549</v>
      </c>
      <c r="G36" s="22">
        <v>447</v>
      </c>
      <c r="H36" s="22">
        <v>5</v>
      </c>
      <c r="I36" s="22" t="s">
        <v>106</v>
      </c>
      <c r="J36" s="22" t="s">
        <v>2617</v>
      </c>
    </row>
    <row r="37" spans="1:10" x14ac:dyDescent="0.2">
      <c r="A37" s="21" t="s">
        <v>1810</v>
      </c>
      <c r="B37" s="22" t="s">
        <v>2672</v>
      </c>
      <c r="C37" s="21" t="s">
        <v>1446</v>
      </c>
      <c r="D37" s="21" t="s">
        <v>2546</v>
      </c>
      <c r="E37" s="21" t="s">
        <v>2701</v>
      </c>
      <c r="F37" s="22" t="s">
        <v>2549</v>
      </c>
      <c r="G37" s="22">
        <v>448</v>
      </c>
      <c r="H37" s="22">
        <v>5</v>
      </c>
      <c r="I37" s="22" t="s">
        <v>107</v>
      </c>
      <c r="J37" s="22" t="s">
        <v>2617</v>
      </c>
    </row>
    <row r="38" spans="1:10" x14ac:dyDescent="0.2">
      <c r="A38" s="21" t="s">
        <v>1811</v>
      </c>
      <c r="B38" s="22" t="s">
        <v>2673</v>
      </c>
      <c r="C38" s="21" t="s">
        <v>1446</v>
      </c>
      <c r="D38" s="21" t="s">
        <v>2546</v>
      </c>
      <c r="E38" s="21" t="s">
        <v>2701</v>
      </c>
      <c r="F38" s="22" t="s">
        <v>2549</v>
      </c>
      <c r="G38" s="22">
        <v>449</v>
      </c>
      <c r="H38" s="22">
        <v>5</v>
      </c>
      <c r="I38" s="22" t="s">
        <v>108</v>
      </c>
      <c r="J38" s="22" t="s">
        <v>2617</v>
      </c>
    </row>
    <row r="39" spans="1:10" x14ac:dyDescent="0.2">
      <c r="A39" s="21" t="s">
        <v>1812</v>
      </c>
      <c r="B39" s="22" t="s">
        <v>2674</v>
      </c>
      <c r="C39" s="21" t="s">
        <v>1446</v>
      </c>
      <c r="D39" s="21" t="s">
        <v>2546</v>
      </c>
      <c r="E39" s="21" t="s">
        <v>2701</v>
      </c>
      <c r="F39" s="22" t="s">
        <v>2549</v>
      </c>
      <c r="G39" s="22">
        <v>450</v>
      </c>
      <c r="H39" s="22">
        <v>5</v>
      </c>
      <c r="I39" s="22" t="s">
        <v>109</v>
      </c>
      <c r="J39" s="22" t="s">
        <v>2617</v>
      </c>
    </row>
    <row r="40" spans="1:10" x14ac:dyDescent="0.2">
      <c r="A40" s="21" t="s">
        <v>1813</v>
      </c>
      <c r="B40" s="22" t="s">
        <v>2675</v>
      </c>
      <c r="C40" s="21" t="s">
        <v>1446</v>
      </c>
      <c r="D40" s="21" t="s">
        <v>2546</v>
      </c>
      <c r="E40" s="21" t="s">
        <v>2701</v>
      </c>
      <c r="F40" s="22" t="s">
        <v>2549</v>
      </c>
      <c r="G40" s="22">
        <v>451</v>
      </c>
      <c r="H40" s="22">
        <v>5</v>
      </c>
      <c r="I40" s="22" t="s">
        <v>110</v>
      </c>
      <c r="J40" s="22" t="s">
        <v>2617</v>
      </c>
    </row>
    <row r="41" spans="1:10" x14ac:dyDescent="0.2">
      <c r="A41" s="21" t="s">
        <v>1814</v>
      </c>
      <c r="B41" s="22" t="s">
        <v>2676</v>
      </c>
      <c r="C41" s="21" t="s">
        <v>1446</v>
      </c>
      <c r="D41" s="21" t="s">
        <v>2546</v>
      </c>
      <c r="E41" s="21" t="s">
        <v>2701</v>
      </c>
      <c r="F41" s="22" t="s">
        <v>2549</v>
      </c>
      <c r="G41" s="22">
        <v>452</v>
      </c>
      <c r="H41" s="22">
        <v>5</v>
      </c>
      <c r="I41" s="22" t="s">
        <v>111</v>
      </c>
      <c r="J41" s="22" t="s">
        <v>2617</v>
      </c>
    </row>
    <row r="42" spans="1:10" x14ac:dyDescent="0.2">
      <c r="A42" s="21" t="s">
        <v>1815</v>
      </c>
      <c r="B42" s="22" t="s">
        <v>2677</v>
      </c>
      <c r="C42" s="21" t="s">
        <v>1446</v>
      </c>
      <c r="D42" s="21" t="s">
        <v>2546</v>
      </c>
      <c r="E42" s="21" t="s">
        <v>2701</v>
      </c>
      <c r="F42" s="22" t="s">
        <v>2549</v>
      </c>
      <c r="G42" s="22">
        <v>453</v>
      </c>
      <c r="H42" s="22">
        <v>5</v>
      </c>
      <c r="I42" s="22" t="s">
        <v>112</v>
      </c>
      <c r="J42" s="22" t="s">
        <v>2617</v>
      </c>
    </row>
    <row r="43" spans="1:10" x14ac:dyDescent="0.2">
      <c r="A43" s="21" t="s">
        <v>1816</v>
      </c>
      <c r="B43" s="22" t="s">
        <v>2678</v>
      </c>
      <c r="C43" s="21" t="s">
        <v>1446</v>
      </c>
      <c r="D43" s="21" t="s">
        <v>2546</v>
      </c>
      <c r="E43" s="21" t="s">
        <v>2701</v>
      </c>
      <c r="F43" s="22" t="s">
        <v>2549</v>
      </c>
      <c r="G43" s="22">
        <v>454</v>
      </c>
      <c r="H43" s="22">
        <v>5</v>
      </c>
      <c r="I43" s="22" t="s">
        <v>113</v>
      </c>
      <c r="J43" s="22" t="s">
        <v>2617</v>
      </c>
    </row>
    <row r="44" spans="1:10" x14ac:dyDescent="0.2">
      <c r="A44" s="21" t="s">
        <v>1817</v>
      </c>
      <c r="B44" s="22" t="s">
        <v>2679</v>
      </c>
      <c r="C44" s="21" t="s">
        <v>1446</v>
      </c>
      <c r="D44" s="21" t="s">
        <v>2546</v>
      </c>
      <c r="E44" s="21" t="s">
        <v>2701</v>
      </c>
      <c r="F44" s="22" t="s">
        <v>2549</v>
      </c>
      <c r="G44" s="22">
        <v>455</v>
      </c>
      <c r="H44" s="22">
        <v>5</v>
      </c>
      <c r="I44" s="22" t="s">
        <v>114</v>
      </c>
      <c r="J44" s="22" t="s">
        <v>2617</v>
      </c>
    </row>
    <row r="45" spans="1:10" x14ac:dyDescent="0.2">
      <c r="A45" s="21" t="s">
        <v>1818</v>
      </c>
      <c r="B45" s="22" t="s">
        <v>2680</v>
      </c>
      <c r="C45" s="21" t="s">
        <v>1446</v>
      </c>
      <c r="D45" s="21" t="s">
        <v>2546</v>
      </c>
      <c r="E45" s="21" t="s">
        <v>2701</v>
      </c>
      <c r="F45" s="22" t="s">
        <v>2549</v>
      </c>
      <c r="G45" s="22">
        <v>456</v>
      </c>
      <c r="H45" s="22">
        <v>5</v>
      </c>
      <c r="I45" s="22" t="s">
        <v>115</v>
      </c>
      <c r="J45" s="22" t="s">
        <v>2617</v>
      </c>
    </row>
    <row r="46" spans="1:10" x14ac:dyDescent="0.2">
      <c r="A46" s="21" t="s">
        <v>1819</v>
      </c>
      <c r="B46" s="22" t="s">
        <v>2681</v>
      </c>
      <c r="C46" s="21" t="s">
        <v>1446</v>
      </c>
      <c r="D46" s="21" t="s">
        <v>2546</v>
      </c>
      <c r="E46" s="21" t="s">
        <v>2701</v>
      </c>
      <c r="F46" s="22" t="s">
        <v>2549</v>
      </c>
      <c r="G46" s="22">
        <v>457</v>
      </c>
      <c r="H46" s="22">
        <v>5</v>
      </c>
      <c r="I46" s="22" t="s">
        <v>116</v>
      </c>
      <c r="J46" s="22" t="s">
        <v>2617</v>
      </c>
    </row>
    <row r="47" spans="1:10" x14ac:dyDescent="0.2">
      <c r="A47" s="21" t="s">
        <v>1820</v>
      </c>
      <c r="B47" s="22" t="s">
        <v>2682</v>
      </c>
      <c r="C47" s="21" t="s">
        <v>1446</v>
      </c>
      <c r="D47" s="21" t="s">
        <v>2546</v>
      </c>
      <c r="E47" s="21" t="s">
        <v>2701</v>
      </c>
      <c r="F47" s="22" t="s">
        <v>2549</v>
      </c>
      <c r="G47" s="22">
        <v>458</v>
      </c>
      <c r="H47" s="22">
        <v>5</v>
      </c>
      <c r="I47" s="22" t="s">
        <v>118</v>
      </c>
      <c r="J47" s="22" t="s">
        <v>2617</v>
      </c>
    </row>
    <row r="48" spans="1:10" x14ac:dyDescent="0.2">
      <c r="A48" s="21" t="s">
        <v>1821</v>
      </c>
      <c r="B48" s="22" t="s">
        <v>2683</v>
      </c>
      <c r="C48" s="21" t="s">
        <v>1446</v>
      </c>
      <c r="D48" s="21" t="s">
        <v>2546</v>
      </c>
      <c r="E48" s="21" t="s">
        <v>2701</v>
      </c>
      <c r="F48" s="22" t="s">
        <v>2549</v>
      </c>
      <c r="G48" s="22">
        <v>459</v>
      </c>
      <c r="H48" s="22">
        <v>5</v>
      </c>
      <c r="I48" s="22" t="s">
        <v>119</v>
      </c>
      <c r="J48" s="22" t="s">
        <v>2617</v>
      </c>
    </row>
    <row r="49" spans="1:10" x14ac:dyDescent="0.2">
      <c r="A49" s="21" t="s">
        <v>1822</v>
      </c>
      <c r="B49" s="22" t="s">
        <v>2684</v>
      </c>
      <c r="C49" s="21" t="s">
        <v>1446</v>
      </c>
      <c r="D49" s="21" t="s">
        <v>2546</v>
      </c>
      <c r="E49" s="21" t="s">
        <v>2701</v>
      </c>
      <c r="F49" s="22" t="s">
        <v>2549</v>
      </c>
      <c r="G49" s="22">
        <v>460</v>
      </c>
      <c r="H49" s="22">
        <v>5</v>
      </c>
      <c r="I49" s="22" t="s">
        <v>120</v>
      </c>
      <c r="J49" s="22" t="s">
        <v>2617</v>
      </c>
    </row>
    <row r="50" spans="1:10" x14ac:dyDescent="0.2">
      <c r="A50" s="21" t="s">
        <v>1823</v>
      </c>
      <c r="B50" s="22" t="s">
        <v>2685</v>
      </c>
      <c r="C50" s="21" t="s">
        <v>1446</v>
      </c>
      <c r="D50" s="21" t="s">
        <v>2546</v>
      </c>
      <c r="E50" s="21" t="s">
        <v>2701</v>
      </c>
      <c r="F50" s="22" t="s">
        <v>2549</v>
      </c>
      <c r="G50" s="22">
        <v>461</v>
      </c>
      <c r="H50" s="22">
        <v>5</v>
      </c>
      <c r="I50" s="22" t="s">
        <v>121</v>
      </c>
      <c r="J50" s="22" t="s">
        <v>2617</v>
      </c>
    </row>
    <row r="51" spans="1:10" x14ac:dyDescent="0.2">
      <c r="A51" s="21" t="s">
        <v>1824</v>
      </c>
      <c r="B51" s="22" t="s">
        <v>2686</v>
      </c>
      <c r="C51" s="21" t="s">
        <v>1446</v>
      </c>
      <c r="D51" s="21" t="s">
        <v>2546</v>
      </c>
      <c r="E51" s="21" t="s">
        <v>2701</v>
      </c>
      <c r="F51" s="22" t="s">
        <v>2549</v>
      </c>
      <c r="G51" s="22">
        <v>462</v>
      </c>
      <c r="H51" s="22">
        <v>5</v>
      </c>
      <c r="I51" s="22" t="s">
        <v>122</v>
      </c>
      <c r="J51" s="22" t="s">
        <v>2617</v>
      </c>
    </row>
    <row r="52" spans="1:10" x14ac:dyDescent="0.2">
      <c r="A52" s="21" t="s">
        <v>1825</v>
      </c>
      <c r="B52" s="22" t="s">
        <v>2687</v>
      </c>
      <c r="C52" s="21" t="s">
        <v>1446</v>
      </c>
      <c r="D52" s="21" t="s">
        <v>2546</v>
      </c>
      <c r="E52" s="21" t="s">
        <v>2701</v>
      </c>
      <c r="F52" s="22" t="s">
        <v>2549</v>
      </c>
      <c r="G52" s="22">
        <v>463</v>
      </c>
      <c r="H52" s="22">
        <v>5</v>
      </c>
      <c r="I52" s="22" t="s">
        <v>123</v>
      </c>
      <c r="J52" s="22" t="s">
        <v>2617</v>
      </c>
    </row>
    <row r="53" spans="1:10" x14ac:dyDescent="0.2">
      <c r="A53" s="21" t="s">
        <v>1826</v>
      </c>
      <c r="B53" s="22" t="s">
        <v>2688</v>
      </c>
      <c r="C53" s="21" t="s">
        <v>1446</v>
      </c>
      <c r="D53" s="21" t="s">
        <v>2546</v>
      </c>
      <c r="E53" s="21" t="s">
        <v>2701</v>
      </c>
      <c r="F53" s="22" t="s">
        <v>2549</v>
      </c>
      <c r="G53" s="22">
        <v>463</v>
      </c>
      <c r="H53" s="22">
        <v>5</v>
      </c>
      <c r="I53" s="22" t="s">
        <v>123</v>
      </c>
      <c r="J53" s="22" t="s">
        <v>2617</v>
      </c>
    </row>
    <row r="54" spans="1:10" x14ac:dyDescent="0.2">
      <c r="A54" s="21" t="s">
        <v>1827</v>
      </c>
      <c r="B54" s="22" t="s">
        <v>2689</v>
      </c>
      <c r="C54" s="21" t="s">
        <v>1446</v>
      </c>
      <c r="D54" s="21" t="s">
        <v>2546</v>
      </c>
      <c r="E54" s="21" t="s">
        <v>2701</v>
      </c>
      <c r="F54" s="22" t="s">
        <v>2549</v>
      </c>
      <c r="G54" s="22">
        <v>465</v>
      </c>
      <c r="H54" s="22">
        <v>5</v>
      </c>
      <c r="I54" s="22" t="s">
        <v>125</v>
      </c>
      <c r="J54" s="22" t="s">
        <v>2617</v>
      </c>
    </row>
    <row r="55" spans="1:10" x14ac:dyDescent="0.2">
      <c r="A55" s="21" t="s">
        <v>1828</v>
      </c>
      <c r="B55" s="22" t="s">
        <v>2690</v>
      </c>
      <c r="C55" s="21" t="s">
        <v>1446</v>
      </c>
      <c r="D55" s="21" t="s">
        <v>2546</v>
      </c>
      <c r="E55" s="21" t="s">
        <v>2701</v>
      </c>
      <c r="F55" s="22" t="s">
        <v>2549</v>
      </c>
      <c r="G55" s="22">
        <v>466</v>
      </c>
      <c r="H55" s="22">
        <v>5</v>
      </c>
      <c r="I55" s="22" t="s">
        <v>126</v>
      </c>
      <c r="J55" s="22" t="s">
        <v>2617</v>
      </c>
    </row>
    <row r="56" spans="1:10" x14ac:dyDescent="0.2">
      <c r="A56" s="21" t="s">
        <v>1829</v>
      </c>
      <c r="B56" s="22" t="s">
        <v>2691</v>
      </c>
      <c r="C56" s="21" t="s">
        <v>1446</v>
      </c>
      <c r="D56" s="21" t="s">
        <v>2546</v>
      </c>
      <c r="E56" s="21" t="s">
        <v>2701</v>
      </c>
      <c r="F56" s="22" t="s">
        <v>2549</v>
      </c>
      <c r="G56" s="22">
        <v>467</v>
      </c>
      <c r="H56" s="22">
        <v>5</v>
      </c>
      <c r="I56" s="22" t="s">
        <v>127</v>
      </c>
      <c r="J56" s="22" t="s">
        <v>2617</v>
      </c>
    </row>
    <row r="57" spans="1:10" x14ac:dyDescent="0.2">
      <c r="A57" s="21" t="s">
        <v>1830</v>
      </c>
      <c r="B57" s="22" t="s">
        <v>2692</v>
      </c>
      <c r="C57" s="21" t="s">
        <v>1446</v>
      </c>
      <c r="D57" s="21" t="s">
        <v>2546</v>
      </c>
      <c r="E57" s="21" t="s">
        <v>2701</v>
      </c>
      <c r="F57" s="22" t="s">
        <v>2549</v>
      </c>
      <c r="G57" s="22">
        <v>468</v>
      </c>
      <c r="H57" s="22">
        <v>5</v>
      </c>
      <c r="I57" s="22" t="s">
        <v>128</v>
      </c>
      <c r="J57" s="22" t="s">
        <v>2617</v>
      </c>
    </row>
    <row r="58" spans="1:10" x14ac:dyDescent="0.2">
      <c r="A58" s="21" t="s">
        <v>1831</v>
      </c>
      <c r="B58" s="22" t="s">
        <v>2693</v>
      </c>
      <c r="C58" s="21" t="s">
        <v>1446</v>
      </c>
      <c r="D58" s="21" t="s">
        <v>2546</v>
      </c>
      <c r="E58" s="21" t="s">
        <v>2701</v>
      </c>
      <c r="F58" s="22" t="s">
        <v>2549</v>
      </c>
      <c r="G58" s="22">
        <v>469</v>
      </c>
      <c r="H58" s="22">
        <v>5</v>
      </c>
      <c r="I58" s="22" t="s">
        <v>129</v>
      </c>
      <c r="J58" s="22" t="s">
        <v>2617</v>
      </c>
    </row>
    <row r="59" spans="1:10" x14ac:dyDescent="0.2">
      <c r="A59" s="21" t="s">
        <v>1832</v>
      </c>
      <c r="B59" s="22" t="s">
        <v>2694</v>
      </c>
      <c r="C59" s="21" t="s">
        <v>1446</v>
      </c>
      <c r="D59" s="21" t="s">
        <v>2546</v>
      </c>
      <c r="E59" s="21" t="s">
        <v>2701</v>
      </c>
      <c r="F59" s="22" t="s">
        <v>2549</v>
      </c>
      <c r="G59" s="22">
        <v>470</v>
      </c>
      <c r="H59" s="22">
        <v>5</v>
      </c>
      <c r="I59" s="22" t="s">
        <v>131</v>
      </c>
      <c r="J59" s="22" t="s">
        <v>2617</v>
      </c>
    </row>
    <row r="60" spans="1:10" x14ac:dyDescent="0.2">
      <c r="A60" s="21" t="s">
        <v>1833</v>
      </c>
      <c r="B60" s="22" t="s">
        <v>2695</v>
      </c>
      <c r="C60" s="21" t="s">
        <v>1446</v>
      </c>
      <c r="D60" s="21" t="s">
        <v>2546</v>
      </c>
      <c r="E60" s="21" t="s">
        <v>2701</v>
      </c>
      <c r="F60" s="22" t="s">
        <v>2549</v>
      </c>
      <c r="G60" s="22">
        <v>471</v>
      </c>
      <c r="H60" s="22">
        <v>5</v>
      </c>
      <c r="I60" s="22" t="s">
        <v>132</v>
      </c>
      <c r="J60" s="22" t="s">
        <v>2617</v>
      </c>
    </row>
    <row r="61" spans="1:10" x14ac:dyDescent="0.2">
      <c r="A61" s="21" t="s">
        <v>1834</v>
      </c>
      <c r="B61" s="22" t="s">
        <v>2696</v>
      </c>
      <c r="C61" s="21" t="s">
        <v>1446</v>
      </c>
      <c r="D61" s="21" t="s">
        <v>2546</v>
      </c>
      <c r="E61" s="21" t="s">
        <v>2701</v>
      </c>
      <c r="F61" s="22" t="s">
        <v>2549</v>
      </c>
      <c r="G61" s="22">
        <v>472</v>
      </c>
      <c r="H61" s="22">
        <v>5</v>
      </c>
      <c r="I61" s="22" t="s">
        <v>133</v>
      </c>
      <c r="J61" s="22" t="s">
        <v>2617</v>
      </c>
    </row>
    <row r="62" spans="1:10" x14ac:dyDescent="0.2">
      <c r="A62" s="21" t="s">
        <v>1835</v>
      </c>
      <c r="B62" s="22" t="s">
        <v>2697</v>
      </c>
      <c r="C62" s="21" t="s">
        <v>1446</v>
      </c>
      <c r="D62" s="21" t="s">
        <v>2546</v>
      </c>
      <c r="E62" s="21" t="s">
        <v>2701</v>
      </c>
      <c r="F62" s="22" t="s">
        <v>2549</v>
      </c>
      <c r="G62" s="22">
        <v>473</v>
      </c>
      <c r="H62" s="22">
        <v>5</v>
      </c>
      <c r="I62" s="22" t="s">
        <v>134</v>
      </c>
      <c r="J62" s="22" t="s">
        <v>2617</v>
      </c>
    </row>
    <row r="63" spans="1:10" x14ac:dyDescent="0.2">
      <c r="A63" s="21" t="s">
        <v>1836</v>
      </c>
      <c r="B63" s="22" t="s">
        <v>2698</v>
      </c>
      <c r="C63" s="21" t="s">
        <v>1446</v>
      </c>
      <c r="D63" s="21" t="s">
        <v>2546</v>
      </c>
      <c r="E63" s="21" t="s">
        <v>2701</v>
      </c>
      <c r="F63" s="22" t="s">
        <v>2549</v>
      </c>
      <c r="G63" s="22">
        <v>474</v>
      </c>
      <c r="H63" s="22">
        <v>5</v>
      </c>
      <c r="I63" s="22" t="s">
        <v>135</v>
      </c>
      <c r="J63" s="22" t="s">
        <v>2617</v>
      </c>
    </row>
    <row r="64" spans="1:10" x14ac:dyDescent="0.2">
      <c r="A64" s="21" t="s">
        <v>1837</v>
      </c>
      <c r="B64" s="22" t="s">
        <v>2699</v>
      </c>
      <c r="C64" s="21" t="s">
        <v>1446</v>
      </c>
      <c r="D64" s="21" t="s">
        <v>2546</v>
      </c>
      <c r="E64" s="21" t="s">
        <v>2701</v>
      </c>
      <c r="F64" s="22" t="s">
        <v>2549</v>
      </c>
      <c r="G64" s="22">
        <v>475</v>
      </c>
      <c r="H64" s="22">
        <v>5</v>
      </c>
      <c r="I64" s="22" t="s">
        <v>136</v>
      </c>
      <c r="J64" s="22" t="s">
        <v>2617</v>
      </c>
    </row>
    <row r="65" spans="1:10" x14ac:dyDescent="0.2">
      <c r="A65" s="21" t="s">
        <v>1838</v>
      </c>
      <c r="B65" s="22" t="s">
        <v>2554</v>
      </c>
      <c r="C65" s="21" t="s">
        <v>1446</v>
      </c>
      <c r="D65" s="21" t="s">
        <v>2546</v>
      </c>
      <c r="E65" s="21" t="s">
        <v>2701</v>
      </c>
      <c r="F65" s="22" t="s">
        <v>2549</v>
      </c>
      <c r="G65" s="22">
        <v>481</v>
      </c>
      <c r="H65" s="22">
        <v>6</v>
      </c>
      <c r="I65" s="22" t="s">
        <v>22</v>
      </c>
      <c r="J65" s="22" t="s">
        <v>2553</v>
      </c>
    </row>
    <row r="66" spans="1:10" x14ac:dyDescent="0.2">
      <c r="A66" s="21" t="s">
        <v>1839</v>
      </c>
      <c r="B66" s="22" t="s">
        <v>2555</v>
      </c>
      <c r="C66" s="21" t="s">
        <v>1446</v>
      </c>
      <c r="D66" s="21" t="s">
        <v>2546</v>
      </c>
      <c r="E66" s="21" t="s">
        <v>2701</v>
      </c>
      <c r="F66" s="22" t="s">
        <v>2549</v>
      </c>
      <c r="G66" s="22">
        <v>482</v>
      </c>
      <c r="H66" s="22">
        <v>6</v>
      </c>
      <c r="I66" s="22" t="s">
        <v>30</v>
      </c>
      <c r="J66" s="22" t="s">
        <v>2553</v>
      </c>
    </row>
    <row r="67" spans="1:10" x14ac:dyDescent="0.2">
      <c r="A67" s="21" t="s">
        <v>1840</v>
      </c>
      <c r="B67" s="22" t="s">
        <v>2556</v>
      </c>
      <c r="C67" s="21" t="s">
        <v>1446</v>
      </c>
      <c r="D67" s="21" t="s">
        <v>2546</v>
      </c>
      <c r="E67" s="21" t="s">
        <v>2701</v>
      </c>
      <c r="F67" s="22" t="s">
        <v>2549</v>
      </c>
      <c r="G67" s="22">
        <v>483</v>
      </c>
      <c r="H67" s="22">
        <v>6</v>
      </c>
      <c r="I67" s="22" t="s">
        <v>32</v>
      </c>
      <c r="J67" s="22" t="s">
        <v>2553</v>
      </c>
    </row>
    <row r="68" spans="1:10" x14ac:dyDescent="0.2">
      <c r="A68" s="21" t="s">
        <v>1841</v>
      </c>
      <c r="B68" s="22" t="s">
        <v>2557</v>
      </c>
      <c r="C68" s="21" t="s">
        <v>1446</v>
      </c>
      <c r="D68" s="21" t="s">
        <v>2546</v>
      </c>
      <c r="E68" s="21" t="s">
        <v>2701</v>
      </c>
      <c r="F68" s="22" t="s">
        <v>2549</v>
      </c>
      <c r="G68" s="22">
        <v>484</v>
      </c>
      <c r="H68" s="22">
        <v>6</v>
      </c>
      <c r="I68" s="22" t="s">
        <v>34</v>
      </c>
      <c r="J68" s="22" t="s">
        <v>2553</v>
      </c>
    </row>
    <row r="69" spans="1:10" x14ac:dyDescent="0.2">
      <c r="A69" s="21" t="s">
        <v>1842</v>
      </c>
      <c r="B69" s="22" t="s">
        <v>2558</v>
      </c>
      <c r="C69" s="21" t="s">
        <v>1446</v>
      </c>
      <c r="D69" s="21" t="s">
        <v>2546</v>
      </c>
      <c r="E69" s="21" t="s">
        <v>2701</v>
      </c>
      <c r="F69" s="22" t="s">
        <v>2549</v>
      </c>
      <c r="G69" s="22">
        <v>485</v>
      </c>
      <c r="H69" s="22">
        <v>6</v>
      </c>
      <c r="I69" s="22" t="s">
        <v>36</v>
      </c>
      <c r="J69" s="22" t="s">
        <v>2553</v>
      </c>
    </row>
    <row r="70" spans="1:10" x14ac:dyDescent="0.2">
      <c r="A70" s="21" t="s">
        <v>1843</v>
      </c>
      <c r="B70" s="22" t="s">
        <v>2559</v>
      </c>
      <c r="C70" s="21" t="s">
        <v>1446</v>
      </c>
      <c r="D70" s="21" t="s">
        <v>2546</v>
      </c>
      <c r="E70" s="21" t="s">
        <v>2701</v>
      </c>
      <c r="F70" s="22" t="s">
        <v>2549</v>
      </c>
      <c r="G70" s="22">
        <v>486</v>
      </c>
      <c r="H70" s="22">
        <v>6</v>
      </c>
      <c r="I70" s="22" t="s">
        <v>38</v>
      </c>
      <c r="J70" s="22" t="s">
        <v>2553</v>
      </c>
    </row>
    <row r="71" spans="1:10" x14ac:dyDescent="0.2">
      <c r="A71" s="21" t="s">
        <v>1844</v>
      </c>
      <c r="B71" s="22" t="s">
        <v>2560</v>
      </c>
      <c r="C71" s="21" t="s">
        <v>1446</v>
      </c>
      <c r="D71" s="21" t="s">
        <v>2546</v>
      </c>
      <c r="E71" s="21" t="s">
        <v>2701</v>
      </c>
      <c r="F71" s="22" t="s">
        <v>2549</v>
      </c>
      <c r="G71" s="22">
        <v>487</v>
      </c>
      <c r="H71" s="22">
        <v>6</v>
      </c>
      <c r="I71" s="22" t="s">
        <v>40</v>
      </c>
      <c r="J71" s="22" t="s">
        <v>2553</v>
      </c>
    </row>
    <row r="72" spans="1:10" x14ac:dyDescent="0.2">
      <c r="A72" s="21" t="s">
        <v>1845</v>
      </c>
      <c r="B72" s="22" t="s">
        <v>2561</v>
      </c>
      <c r="C72" s="21" t="s">
        <v>1446</v>
      </c>
      <c r="D72" s="21" t="s">
        <v>2546</v>
      </c>
      <c r="E72" s="21" t="s">
        <v>2701</v>
      </c>
      <c r="F72" s="22" t="s">
        <v>2549</v>
      </c>
      <c r="G72" s="22">
        <v>488</v>
      </c>
      <c r="H72" s="22">
        <v>6</v>
      </c>
      <c r="I72" s="22" t="s">
        <v>42</v>
      </c>
      <c r="J72" s="22" t="s">
        <v>2553</v>
      </c>
    </row>
    <row r="73" spans="1:10" x14ac:dyDescent="0.2">
      <c r="A73" s="21" t="s">
        <v>1846</v>
      </c>
      <c r="B73" s="22" t="s">
        <v>2563</v>
      </c>
      <c r="C73" s="21" t="s">
        <v>1446</v>
      </c>
      <c r="D73" s="21" t="s">
        <v>2546</v>
      </c>
      <c r="E73" s="21" t="s">
        <v>2701</v>
      </c>
      <c r="F73" s="22" t="s">
        <v>2549</v>
      </c>
      <c r="G73" s="22">
        <v>489</v>
      </c>
      <c r="H73" s="22">
        <v>6</v>
      </c>
      <c r="I73" s="22" t="s">
        <v>44</v>
      </c>
      <c r="J73" s="22" t="s">
        <v>2553</v>
      </c>
    </row>
    <row r="74" spans="1:10" x14ac:dyDescent="0.2">
      <c r="A74" s="21" t="s">
        <v>1847</v>
      </c>
      <c r="B74" s="22" t="s">
        <v>2565</v>
      </c>
      <c r="C74" s="21" t="s">
        <v>1446</v>
      </c>
      <c r="D74" s="21" t="s">
        <v>2546</v>
      </c>
      <c r="E74" s="21" t="s">
        <v>2701</v>
      </c>
      <c r="F74" s="22" t="s">
        <v>2549</v>
      </c>
      <c r="G74" s="22">
        <v>490</v>
      </c>
      <c r="H74" s="22">
        <v>6</v>
      </c>
      <c r="I74" s="22" t="s">
        <v>46</v>
      </c>
      <c r="J74" s="22" t="s">
        <v>2553</v>
      </c>
    </row>
    <row r="75" spans="1:10" x14ac:dyDescent="0.2">
      <c r="A75" s="21" t="s">
        <v>1848</v>
      </c>
      <c r="B75" s="22" t="s">
        <v>2566</v>
      </c>
      <c r="C75" s="21" t="s">
        <v>1446</v>
      </c>
      <c r="D75" s="21" t="s">
        <v>2546</v>
      </c>
      <c r="E75" s="21" t="s">
        <v>2701</v>
      </c>
      <c r="F75" s="22" t="s">
        <v>2549</v>
      </c>
      <c r="G75" s="22">
        <v>491</v>
      </c>
      <c r="H75" s="22">
        <v>6</v>
      </c>
      <c r="I75" s="22" t="s">
        <v>48</v>
      </c>
      <c r="J75" s="22" t="s">
        <v>2553</v>
      </c>
    </row>
    <row r="76" spans="1:10" x14ac:dyDescent="0.2">
      <c r="A76" s="21" t="s">
        <v>1849</v>
      </c>
      <c r="B76" s="22" t="s">
        <v>2567</v>
      </c>
      <c r="C76" s="21" t="s">
        <v>1446</v>
      </c>
      <c r="D76" s="21" t="s">
        <v>2546</v>
      </c>
      <c r="E76" s="21" t="s">
        <v>2701</v>
      </c>
      <c r="F76" s="22" t="s">
        <v>2549</v>
      </c>
      <c r="G76" s="22">
        <v>492</v>
      </c>
      <c r="H76" s="22">
        <v>6</v>
      </c>
      <c r="I76" s="22" t="s">
        <v>50</v>
      </c>
      <c r="J76" s="22" t="s">
        <v>2553</v>
      </c>
    </row>
    <row r="77" spans="1:10" x14ac:dyDescent="0.2">
      <c r="A77" s="21" t="s">
        <v>1850</v>
      </c>
      <c r="B77" s="22" t="s">
        <v>2568</v>
      </c>
      <c r="C77" s="21" t="s">
        <v>1446</v>
      </c>
      <c r="D77" s="21" t="s">
        <v>2546</v>
      </c>
      <c r="E77" s="21" t="s">
        <v>2701</v>
      </c>
      <c r="F77" s="22" t="s">
        <v>2549</v>
      </c>
      <c r="G77" s="22">
        <v>493</v>
      </c>
      <c r="H77" s="22">
        <v>6</v>
      </c>
      <c r="I77" s="22" t="s">
        <v>51</v>
      </c>
      <c r="J77" s="22" t="s">
        <v>2553</v>
      </c>
    </row>
    <row r="78" spans="1:10" x14ac:dyDescent="0.2">
      <c r="A78" s="21" t="s">
        <v>1851</v>
      </c>
      <c r="B78" s="22" t="s">
        <v>2569</v>
      </c>
      <c r="C78" s="21" t="s">
        <v>1446</v>
      </c>
      <c r="D78" s="21" t="s">
        <v>2546</v>
      </c>
      <c r="E78" s="21" t="s">
        <v>2701</v>
      </c>
      <c r="F78" s="22" t="s">
        <v>2549</v>
      </c>
      <c r="G78" s="22">
        <v>494</v>
      </c>
      <c r="H78" s="22">
        <v>6</v>
      </c>
      <c r="I78" s="22" t="s">
        <v>53</v>
      </c>
      <c r="J78" s="22" t="s">
        <v>2552</v>
      </c>
    </row>
    <row r="79" spans="1:10" x14ac:dyDescent="0.2">
      <c r="A79" s="21" t="s">
        <v>1852</v>
      </c>
      <c r="B79" s="22" t="s">
        <v>2570</v>
      </c>
      <c r="C79" s="21" t="s">
        <v>1446</v>
      </c>
      <c r="D79" s="21" t="s">
        <v>2546</v>
      </c>
      <c r="E79" s="21" t="s">
        <v>2701</v>
      </c>
      <c r="F79" s="22" t="s">
        <v>2549</v>
      </c>
      <c r="G79" s="22">
        <v>495</v>
      </c>
      <c r="H79" s="22">
        <v>6</v>
      </c>
      <c r="I79" s="22" t="s">
        <v>54</v>
      </c>
      <c r="J79" s="22" t="s">
        <v>2552</v>
      </c>
    </row>
    <row r="80" spans="1:10" x14ac:dyDescent="0.2">
      <c r="A80" s="21" t="s">
        <v>1853</v>
      </c>
      <c r="B80" s="22" t="s">
        <v>2571</v>
      </c>
      <c r="C80" s="21" t="s">
        <v>1446</v>
      </c>
      <c r="D80" s="21" t="s">
        <v>2546</v>
      </c>
      <c r="E80" s="21" t="s">
        <v>2701</v>
      </c>
      <c r="F80" s="22" t="s">
        <v>2549</v>
      </c>
      <c r="G80" s="22">
        <v>496</v>
      </c>
      <c r="H80" s="22">
        <v>6</v>
      </c>
      <c r="I80" s="22" t="s">
        <v>55</v>
      </c>
      <c r="J80" s="22" t="s">
        <v>2552</v>
      </c>
    </row>
    <row r="81" spans="1:10" x14ac:dyDescent="0.2">
      <c r="A81" s="21" t="s">
        <v>1854</v>
      </c>
      <c r="B81" s="22" t="s">
        <v>2572</v>
      </c>
      <c r="C81" s="21" t="s">
        <v>1446</v>
      </c>
      <c r="D81" s="21" t="s">
        <v>2546</v>
      </c>
      <c r="E81" s="21" t="s">
        <v>2701</v>
      </c>
      <c r="F81" s="22" t="s">
        <v>2549</v>
      </c>
      <c r="G81" s="22">
        <v>497</v>
      </c>
      <c r="H81" s="22">
        <v>6</v>
      </c>
      <c r="I81" s="22" t="s">
        <v>56</v>
      </c>
      <c r="J81" s="22" t="s">
        <v>2552</v>
      </c>
    </row>
    <row r="82" spans="1:10" x14ac:dyDescent="0.2">
      <c r="A82" s="21" t="s">
        <v>1855</v>
      </c>
      <c r="B82" s="22" t="s">
        <v>2573</v>
      </c>
      <c r="C82" s="21" t="s">
        <v>1446</v>
      </c>
      <c r="D82" s="21" t="s">
        <v>2546</v>
      </c>
      <c r="E82" s="21" t="s">
        <v>2701</v>
      </c>
      <c r="F82" s="22" t="s">
        <v>2549</v>
      </c>
      <c r="G82" s="22">
        <v>498</v>
      </c>
      <c r="H82" s="22">
        <v>6</v>
      </c>
      <c r="I82" s="22" t="s">
        <v>57</v>
      </c>
      <c r="J82" s="22" t="s">
        <v>2552</v>
      </c>
    </row>
    <row r="83" spans="1:10" x14ac:dyDescent="0.2">
      <c r="A83" s="21" t="s">
        <v>1856</v>
      </c>
      <c r="B83" s="22" t="s">
        <v>2575</v>
      </c>
      <c r="C83" s="21" t="s">
        <v>1446</v>
      </c>
      <c r="D83" s="21" t="s">
        <v>2546</v>
      </c>
      <c r="E83" s="21" t="s">
        <v>2701</v>
      </c>
      <c r="F83" s="22" t="s">
        <v>2549</v>
      </c>
      <c r="G83" s="22">
        <v>499</v>
      </c>
      <c r="H83" s="22">
        <v>6</v>
      </c>
      <c r="I83" s="22" t="s">
        <v>58</v>
      </c>
      <c r="J83" s="22" t="s">
        <v>2552</v>
      </c>
    </row>
    <row r="84" spans="1:10" x14ac:dyDescent="0.2">
      <c r="A84" s="21" t="s">
        <v>1857</v>
      </c>
      <c r="B84" s="22" t="s">
        <v>2577</v>
      </c>
      <c r="C84" s="21" t="s">
        <v>1446</v>
      </c>
      <c r="D84" s="21" t="s">
        <v>2546</v>
      </c>
      <c r="E84" s="21" t="s">
        <v>2701</v>
      </c>
      <c r="F84" s="22" t="s">
        <v>2549</v>
      </c>
      <c r="G84" s="22">
        <v>500</v>
      </c>
      <c r="H84" s="22">
        <v>6</v>
      </c>
      <c r="I84" s="22" t="s">
        <v>59</v>
      </c>
      <c r="J84" s="22" t="s">
        <v>2552</v>
      </c>
    </row>
    <row r="85" spans="1:10" x14ac:dyDescent="0.2">
      <c r="A85" s="21" t="s">
        <v>1858</v>
      </c>
      <c r="B85" s="22" t="s">
        <v>2578</v>
      </c>
      <c r="C85" s="21" t="s">
        <v>1446</v>
      </c>
      <c r="D85" s="21" t="s">
        <v>2546</v>
      </c>
      <c r="E85" s="21" t="s">
        <v>2701</v>
      </c>
      <c r="F85" s="22" t="s">
        <v>2549</v>
      </c>
      <c r="G85" s="22">
        <v>501</v>
      </c>
      <c r="H85" s="22">
        <v>6</v>
      </c>
      <c r="I85" s="22" t="s">
        <v>60</v>
      </c>
      <c r="J85" s="22" t="s">
        <v>2552</v>
      </c>
    </row>
    <row r="86" spans="1:10" x14ac:dyDescent="0.2">
      <c r="A86" s="21" t="s">
        <v>1859</v>
      </c>
      <c r="B86" s="22" t="s">
        <v>2579</v>
      </c>
      <c r="C86" s="21" t="s">
        <v>1446</v>
      </c>
      <c r="D86" s="21" t="s">
        <v>2546</v>
      </c>
      <c r="E86" s="21" t="s">
        <v>2701</v>
      </c>
      <c r="F86" s="22" t="s">
        <v>2549</v>
      </c>
      <c r="G86" s="22">
        <v>502</v>
      </c>
      <c r="H86" s="22">
        <v>6</v>
      </c>
      <c r="I86" s="22" t="s">
        <v>61</v>
      </c>
      <c r="J86" s="22" t="s">
        <v>2552</v>
      </c>
    </row>
    <row r="87" spans="1:10" x14ac:dyDescent="0.2">
      <c r="A87" s="21" t="s">
        <v>1860</v>
      </c>
      <c r="B87" s="22" t="s">
        <v>2580</v>
      </c>
      <c r="C87" s="21" t="s">
        <v>1446</v>
      </c>
      <c r="D87" s="21" t="s">
        <v>2546</v>
      </c>
      <c r="E87" s="21" t="s">
        <v>2701</v>
      </c>
      <c r="F87" s="22" t="s">
        <v>2549</v>
      </c>
      <c r="G87" s="22">
        <v>503</v>
      </c>
      <c r="H87" s="22">
        <v>6</v>
      </c>
      <c r="I87" s="22" t="s">
        <v>62</v>
      </c>
      <c r="J87" s="22" t="s">
        <v>2552</v>
      </c>
    </row>
    <row r="88" spans="1:10" x14ac:dyDescent="0.2">
      <c r="A88" s="21" t="s">
        <v>1861</v>
      </c>
      <c r="B88" s="22" t="s">
        <v>2581</v>
      </c>
      <c r="C88" s="21" t="s">
        <v>1446</v>
      </c>
      <c r="D88" s="21" t="s">
        <v>2546</v>
      </c>
      <c r="E88" s="21" t="s">
        <v>2701</v>
      </c>
      <c r="F88" s="22" t="s">
        <v>2549</v>
      </c>
      <c r="G88" s="22">
        <v>504</v>
      </c>
      <c r="H88" s="22">
        <v>6</v>
      </c>
      <c r="I88" s="22" t="s">
        <v>63</v>
      </c>
      <c r="J88" s="22" t="s">
        <v>2552</v>
      </c>
    </row>
    <row r="89" spans="1:10" x14ac:dyDescent="0.2">
      <c r="A89" s="21" t="s">
        <v>1862</v>
      </c>
      <c r="B89" s="22" t="s">
        <v>2582</v>
      </c>
      <c r="C89" s="21" t="s">
        <v>1446</v>
      </c>
      <c r="D89" s="21" t="s">
        <v>2546</v>
      </c>
      <c r="E89" s="21" t="s">
        <v>2701</v>
      </c>
      <c r="F89" s="22" t="s">
        <v>2549</v>
      </c>
      <c r="G89" s="22">
        <v>505</v>
      </c>
      <c r="H89" s="22">
        <v>6</v>
      </c>
      <c r="I89" s="22" t="s">
        <v>64</v>
      </c>
      <c r="J89" s="22" t="s">
        <v>2552</v>
      </c>
    </row>
    <row r="90" spans="1:10" x14ac:dyDescent="0.2">
      <c r="A90" s="21" t="s">
        <v>1863</v>
      </c>
      <c r="B90" s="22" t="s">
        <v>2583</v>
      </c>
      <c r="C90" s="21" t="s">
        <v>1446</v>
      </c>
      <c r="D90" s="21" t="s">
        <v>2546</v>
      </c>
      <c r="E90" s="21" t="s">
        <v>2701</v>
      </c>
      <c r="F90" s="22" t="s">
        <v>2549</v>
      </c>
      <c r="G90" s="22">
        <v>506</v>
      </c>
      <c r="H90" s="22">
        <v>6</v>
      </c>
      <c r="I90" s="22" t="s">
        <v>66</v>
      </c>
      <c r="J90" s="22" t="s">
        <v>2552</v>
      </c>
    </row>
    <row r="91" spans="1:10" x14ac:dyDescent="0.2">
      <c r="A91" s="21" t="s">
        <v>1864</v>
      </c>
      <c r="B91" s="22" t="s">
        <v>2584</v>
      </c>
      <c r="C91" s="21" t="s">
        <v>1446</v>
      </c>
      <c r="D91" s="21" t="s">
        <v>2546</v>
      </c>
      <c r="E91" s="21" t="s">
        <v>2701</v>
      </c>
      <c r="F91" s="22" t="s">
        <v>2549</v>
      </c>
      <c r="G91" s="22">
        <v>507</v>
      </c>
      <c r="H91" s="22">
        <v>6</v>
      </c>
      <c r="I91" s="22" t="s">
        <v>67</v>
      </c>
      <c r="J91" s="22" t="s">
        <v>2552</v>
      </c>
    </row>
    <row r="92" spans="1:10" x14ac:dyDescent="0.2">
      <c r="A92" s="21" t="s">
        <v>1865</v>
      </c>
      <c r="B92" s="22" t="s">
        <v>2585</v>
      </c>
      <c r="C92" s="21" t="s">
        <v>1446</v>
      </c>
      <c r="D92" s="21" t="s">
        <v>2546</v>
      </c>
      <c r="E92" s="21" t="s">
        <v>2701</v>
      </c>
      <c r="F92" s="22" t="s">
        <v>2549</v>
      </c>
      <c r="G92" s="22">
        <v>508</v>
      </c>
      <c r="H92" s="22">
        <v>6</v>
      </c>
      <c r="I92" s="22" t="s">
        <v>68</v>
      </c>
      <c r="J92" s="22" t="s">
        <v>2552</v>
      </c>
    </row>
    <row r="93" spans="1:10" x14ac:dyDescent="0.2">
      <c r="A93" s="21" t="s">
        <v>1866</v>
      </c>
      <c r="B93" s="22" t="s">
        <v>2586</v>
      </c>
      <c r="C93" s="21" t="s">
        <v>1446</v>
      </c>
      <c r="D93" s="21" t="s">
        <v>2546</v>
      </c>
      <c r="E93" s="21" t="s">
        <v>2701</v>
      </c>
      <c r="F93" s="22" t="s">
        <v>2549</v>
      </c>
      <c r="G93" s="22">
        <v>509</v>
      </c>
      <c r="H93" s="22">
        <v>6</v>
      </c>
      <c r="I93" s="22" t="s">
        <v>69</v>
      </c>
      <c r="J93" s="22" t="s">
        <v>2552</v>
      </c>
    </row>
    <row r="94" spans="1:10" x14ac:dyDescent="0.2">
      <c r="A94" s="21" t="s">
        <v>1867</v>
      </c>
      <c r="B94" s="22" t="s">
        <v>2587</v>
      </c>
      <c r="C94" s="21" t="s">
        <v>1446</v>
      </c>
      <c r="D94" s="21" t="s">
        <v>2546</v>
      </c>
      <c r="E94" s="21" t="s">
        <v>2701</v>
      </c>
      <c r="F94" s="22" t="s">
        <v>2549</v>
      </c>
      <c r="G94" s="22">
        <v>510</v>
      </c>
      <c r="H94" s="22">
        <v>6</v>
      </c>
      <c r="I94" s="22" t="s">
        <v>70</v>
      </c>
      <c r="J94" s="22" t="s">
        <v>2552</v>
      </c>
    </row>
    <row r="95" spans="1:10" x14ac:dyDescent="0.2">
      <c r="A95" s="21" t="s">
        <v>1868</v>
      </c>
      <c r="B95" s="22" t="s">
        <v>2588</v>
      </c>
      <c r="C95" s="21" t="s">
        <v>1446</v>
      </c>
      <c r="D95" s="21" t="s">
        <v>2546</v>
      </c>
      <c r="E95" s="21" t="s">
        <v>2701</v>
      </c>
      <c r="F95" s="22" t="s">
        <v>2549</v>
      </c>
      <c r="G95" s="22">
        <v>511</v>
      </c>
      <c r="H95" s="22">
        <v>6</v>
      </c>
      <c r="I95" s="22" t="s">
        <v>71</v>
      </c>
      <c r="J95" s="22" t="s">
        <v>2552</v>
      </c>
    </row>
    <row r="96" spans="1:10" x14ac:dyDescent="0.2">
      <c r="A96" s="21" t="s">
        <v>1869</v>
      </c>
      <c r="B96" s="22" t="s">
        <v>2589</v>
      </c>
      <c r="C96" s="21" t="s">
        <v>1446</v>
      </c>
      <c r="D96" s="21" t="s">
        <v>2546</v>
      </c>
      <c r="E96" s="21" t="s">
        <v>2701</v>
      </c>
      <c r="F96" s="22" t="s">
        <v>2549</v>
      </c>
      <c r="G96" s="22">
        <v>512</v>
      </c>
      <c r="H96" s="22">
        <v>6</v>
      </c>
      <c r="I96" s="22" t="s">
        <v>72</v>
      </c>
      <c r="J96" s="22" t="s">
        <v>2552</v>
      </c>
    </row>
    <row r="97" spans="1:10" x14ac:dyDescent="0.2">
      <c r="A97" s="21" t="s">
        <v>1870</v>
      </c>
      <c r="B97" s="22" t="s">
        <v>2590</v>
      </c>
      <c r="C97" s="21" t="s">
        <v>1446</v>
      </c>
      <c r="D97" s="21" t="s">
        <v>2546</v>
      </c>
      <c r="E97" s="21" t="s">
        <v>2701</v>
      </c>
      <c r="F97" s="22" t="s">
        <v>2549</v>
      </c>
      <c r="G97" s="22">
        <v>513</v>
      </c>
      <c r="H97" s="22">
        <v>6</v>
      </c>
      <c r="I97" s="22" t="s">
        <v>73</v>
      </c>
      <c r="J97" s="22" t="s">
        <v>2550</v>
      </c>
    </row>
    <row r="98" spans="1:10" x14ac:dyDescent="0.2">
      <c r="A98" s="21" t="s">
        <v>1871</v>
      </c>
      <c r="B98" s="22" t="s">
        <v>2591</v>
      </c>
      <c r="C98" s="21" t="s">
        <v>1446</v>
      </c>
      <c r="D98" s="21" t="s">
        <v>2546</v>
      </c>
      <c r="E98" s="21" t="s">
        <v>2701</v>
      </c>
      <c r="F98" s="22" t="s">
        <v>2549</v>
      </c>
      <c r="G98" s="22">
        <v>514</v>
      </c>
      <c r="H98" s="22">
        <v>6</v>
      </c>
      <c r="I98" s="22" t="s">
        <v>74</v>
      </c>
      <c r="J98" s="22" t="s">
        <v>2550</v>
      </c>
    </row>
    <row r="99" spans="1:10" x14ac:dyDescent="0.2">
      <c r="A99" s="21" t="s">
        <v>1872</v>
      </c>
      <c r="B99" s="22" t="s">
        <v>2592</v>
      </c>
      <c r="C99" s="21" t="s">
        <v>1446</v>
      </c>
      <c r="D99" s="21" t="s">
        <v>2546</v>
      </c>
      <c r="E99" s="21" t="s">
        <v>2701</v>
      </c>
      <c r="F99" s="22" t="s">
        <v>2549</v>
      </c>
      <c r="G99" s="22">
        <v>515</v>
      </c>
      <c r="H99" s="22">
        <v>6</v>
      </c>
      <c r="I99" s="22" t="s">
        <v>75</v>
      </c>
      <c r="J99" s="22" t="s">
        <v>2550</v>
      </c>
    </row>
    <row r="100" spans="1:10" x14ac:dyDescent="0.2">
      <c r="A100" s="21" t="s">
        <v>1873</v>
      </c>
      <c r="B100" s="22" t="s">
        <v>2593</v>
      </c>
      <c r="C100" s="21" t="s">
        <v>1446</v>
      </c>
      <c r="D100" s="21" t="s">
        <v>2546</v>
      </c>
      <c r="E100" s="21" t="s">
        <v>2701</v>
      </c>
      <c r="F100" s="22" t="s">
        <v>2549</v>
      </c>
      <c r="G100" s="22">
        <v>516</v>
      </c>
      <c r="H100" s="22">
        <v>6</v>
      </c>
      <c r="I100" s="22" t="s">
        <v>76</v>
      </c>
      <c r="J100" s="22" t="s">
        <v>2550</v>
      </c>
    </row>
    <row r="101" spans="1:10" x14ac:dyDescent="0.2">
      <c r="A101" s="21" t="s">
        <v>1874</v>
      </c>
      <c r="B101" s="22" t="s">
        <v>2594</v>
      </c>
      <c r="C101" s="21" t="s">
        <v>1446</v>
      </c>
      <c r="D101" s="21" t="s">
        <v>2546</v>
      </c>
      <c r="E101" s="21" t="s">
        <v>2701</v>
      </c>
      <c r="F101" s="22" t="s">
        <v>2549</v>
      </c>
      <c r="G101" s="22">
        <v>517</v>
      </c>
      <c r="H101" s="22">
        <v>6</v>
      </c>
      <c r="I101" s="22" t="s">
        <v>77</v>
      </c>
      <c r="J101" s="22" t="s">
        <v>2550</v>
      </c>
    </row>
    <row r="102" spans="1:10" x14ac:dyDescent="0.2">
      <c r="A102" s="21" t="s">
        <v>1875</v>
      </c>
      <c r="B102" s="22" t="s">
        <v>2595</v>
      </c>
      <c r="C102" s="21" t="s">
        <v>1446</v>
      </c>
      <c r="D102" s="21" t="s">
        <v>2546</v>
      </c>
      <c r="E102" s="21" t="s">
        <v>2701</v>
      </c>
      <c r="F102" s="22" t="s">
        <v>2549</v>
      </c>
      <c r="G102" s="22">
        <v>518</v>
      </c>
      <c r="H102" s="22">
        <v>6</v>
      </c>
      <c r="I102" s="22" t="s">
        <v>79</v>
      </c>
      <c r="J102" s="22" t="s">
        <v>2550</v>
      </c>
    </row>
    <row r="103" spans="1:10" x14ac:dyDescent="0.2">
      <c r="A103" s="21" t="s">
        <v>1876</v>
      </c>
      <c r="B103" s="22" t="s">
        <v>2596</v>
      </c>
      <c r="C103" s="21" t="s">
        <v>1446</v>
      </c>
      <c r="D103" s="21" t="s">
        <v>2546</v>
      </c>
      <c r="E103" s="21" t="s">
        <v>2701</v>
      </c>
      <c r="F103" s="22" t="s">
        <v>2549</v>
      </c>
      <c r="G103" s="22">
        <v>519</v>
      </c>
      <c r="H103" s="22">
        <v>6</v>
      </c>
      <c r="I103" s="22" t="s">
        <v>80</v>
      </c>
      <c r="J103" s="22" t="s">
        <v>2550</v>
      </c>
    </row>
    <row r="104" spans="1:10" x14ac:dyDescent="0.2">
      <c r="A104" s="21" t="s">
        <v>1877</v>
      </c>
      <c r="B104" s="22" t="s">
        <v>2597</v>
      </c>
      <c r="C104" s="21" t="s">
        <v>1446</v>
      </c>
      <c r="D104" s="21" t="s">
        <v>2546</v>
      </c>
      <c r="E104" s="21" t="s">
        <v>2701</v>
      </c>
      <c r="F104" s="22" t="s">
        <v>2549</v>
      </c>
      <c r="G104" s="22">
        <v>520</v>
      </c>
      <c r="H104" s="22">
        <v>6</v>
      </c>
      <c r="I104" s="22" t="s">
        <v>81</v>
      </c>
      <c r="J104" s="22" t="s">
        <v>2550</v>
      </c>
    </row>
    <row r="105" spans="1:10" x14ac:dyDescent="0.2">
      <c r="A105" s="21" t="s">
        <v>1878</v>
      </c>
      <c r="B105" s="22" t="s">
        <v>2598</v>
      </c>
      <c r="C105" s="21" t="s">
        <v>1446</v>
      </c>
      <c r="D105" s="21" t="s">
        <v>2546</v>
      </c>
      <c r="E105" s="21" t="s">
        <v>2701</v>
      </c>
      <c r="F105" s="22" t="s">
        <v>2549</v>
      </c>
      <c r="G105" s="22">
        <v>521</v>
      </c>
      <c r="H105" s="22">
        <v>6</v>
      </c>
      <c r="I105" s="22" t="s">
        <v>82</v>
      </c>
      <c r="J105" s="22" t="s">
        <v>2550</v>
      </c>
    </row>
    <row r="106" spans="1:10" x14ac:dyDescent="0.2">
      <c r="A106" s="21" t="s">
        <v>1879</v>
      </c>
      <c r="B106" s="22" t="s">
        <v>2599</v>
      </c>
      <c r="C106" s="21" t="s">
        <v>1446</v>
      </c>
      <c r="D106" s="21" t="s">
        <v>2546</v>
      </c>
      <c r="E106" s="21" t="s">
        <v>2701</v>
      </c>
      <c r="F106" s="22" t="s">
        <v>2549</v>
      </c>
      <c r="G106" s="22">
        <v>522</v>
      </c>
      <c r="H106" s="22">
        <v>6</v>
      </c>
      <c r="I106" s="22" t="s">
        <v>83</v>
      </c>
      <c r="J106" s="22" t="s">
        <v>2550</v>
      </c>
    </row>
    <row r="107" spans="1:10" x14ac:dyDescent="0.2">
      <c r="A107" s="21" t="s">
        <v>1880</v>
      </c>
      <c r="B107" s="22" t="s">
        <v>2551</v>
      </c>
      <c r="C107" s="21" t="s">
        <v>1446</v>
      </c>
      <c r="D107" s="21" t="s">
        <v>2546</v>
      </c>
      <c r="E107" s="21" t="s">
        <v>2701</v>
      </c>
      <c r="F107" s="22" t="s">
        <v>2549</v>
      </c>
      <c r="G107" s="22">
        <v>523</v>
      </c>
      <c r="H107" s="22">
        <v>6</v>
      </c>
      <c r="I107" s="22" t="s">
        <v>1495</v>
      </c>
      <c r="J107" s="22" t="s">
        <v>2550</v>
      </c>
    </row>
    <row r="108" spans="1:10" x14ac:dyDescent="0.2">
      <c r="A108" s="21" t="s">
        <v>1881</v>
      </c>
      <c r="B108" s="22" t="s">
        <v>2600</v>
      </c>
      <c r="C108" s="21" t="s">
        <v>1446</v>
      </c>
      <c r="D108" s="21" t="s">
        <v>2546</v>
      </c>
      <c r="E108" s="21" t="s">
        <v>2701</v>
      </c>
      <c r="F108" s="22" t="s">
        <v>2549</v>
      </c>
      <c r="G108" s="22">
        <v>524</v>
      </c>
      <c r="H108" s="22">
        <v>6</v>
      </c>
      <c r="I108" s="22" t="s">
        <v>85</v>
      </c>
      <c r="J108" s="22" t="s">
        <v>2550</v>
      </c>
    </row>
    <row r="109" spans="1:10" x14ac:dyDescent="0.2">
      <c r="A109" s="21" t="s">
        <v>1882</v>
      </c>
      <c r="B109" s="22" t="s">
        <v>2601</v>
      </c>
      <c r="C109" s="21" t="s">
        <v>1446</v>
      </c>
      <c r="D109" s="21" t="s">
        <v>2546</v>
      </c>
      <c r="E109" s="21" t="s">
        <v>2701</v>
      </c>
      <c r="F109" s="22" t="s">
        <v>2549</v>
      </c>
      <c r="G109" s="22">
        <v>525</v>
      </c>
      <c r="H109" s="22">
        <v>6</v>
      </c>
      <c r="I109" s="22" t="s">
        <v>86</v>
      </c>
      <c r="J109" s="22" t="s">
        <v>2550</v>
      </c>
    </row>
    <row r="110" spans="1:10" x14ac:dyDescent="0.2">
      <c r="A110" s="21" t="s">
        <v>1883</v>
      </c>
      <c r="B110" s="22" t="s">
        <v>2602</v>
      </c>
      <c r="C110" s="21" t="s">
        <v>1446</v>
      </c>
      <c r="D110" s="21" t="s">
        <v>2546</v>
      </c>
      <c r="E110" s="21" t="s">
        <v>2701</v>
      </c>
      <c r="F110" s="22" t="s">
        <v>2549</v>
      </c>
      <c r="G110" s="22">
        <v>526</v>
      </c>
      <c r="H110" s="22">
        <v>6</v>
      </c>
      <c r="I110" s="22" t="s">
        <v>87</v>
      </c>
      <c r="J110" s="22" t="s">
        <v>2550</v>
      </c>
    </row>
    <row r="111" spans="1:10" x14ac:dyDescent="0.2">
      <c r="A111" s="21" t="s">
        <v>1884</v>
      </c>
      <c r="B111" s="22" t="s">
        <v>2603</v>
      </c>
      <c r="C111" s="21" t="s">
        <v>1446</v>
      </c>
      <c r="D111" s="21" t="s">
        <v>2546</v>
      </c>
      <c r="E111" s="21" t="s">
        <v>2701</v>
      </c>
      <c r="F111" s="22" t="s">
        <v>2549</v>
      </c>
      <c r="G111" s="22">
        <v>527</v>
      </c>
      <c r="H111" s="22">
        <v>6</v>
      </c>
      <c r="I111" s="22" t="s">
        <v>88</v>
      </c>
      <c r="J111" s="22" t="s">
        <v>2550</v>
      </c>
    </row>
    <row r="112" spans="1:10" x14ac:dyDescent="0.2">
      <c r="A112" s="21" t="s">
        <v>1885</v>
      </c>
      <c r="B112" s="22" t="s">
        <v>2604</v>
      </c>
      <c r="C112" s="21" t="s">
        <v>1446</v>
      </c>
      <c r="D112" s="21" t="s">
        <v>2546</v>
      </c>
      <c r="E112" s="21" t="s">
        <v>2701</v>
      </c>
      <c r="F112" s="22" t="s">
        <v>2549</v>
      </c>
      <c r="G112" s="22">
        <v>528</v>
      </c>
      <c r="H112" s="22">
        <v>6</v>
      </c>
      <c r="I112" s="22" t="s">
        <v>89</v>
      </c>
      <c r="J112" s="22" t="s">
        <v>2550</v>
      </c>
    </row>
    <row r="113" spans="1:10" x14ac:dyDescent="0.2">
      <c r="A113" s="21" t="s">
        <v>1886</v>
      </c>
      <c r="B113" s="22" t="s">
        <v>2605</v>
      </c>
      <c r="C113" s="21" t="s">
        <v>1446</v>
      </c>
      <c r="D113" s="21" t="s">
        <v>2546</v>
      </c>
      <c r="E113" s="21" t="s">
        <v>2701</v>
      </c>
      <c r="F113" s="22" t="s">
        <v>2549</v>
      </c>
      <c r="G113" s="22">
        <v>529</v>
      </c>
      <c r="H113" s="22">
        <v>6</v>
      </c>
      <c r="I113" s="22" t="s">
        <v>90</v>
      </c>
      <c r="J113" s="22" t="s">
        <v>2550</v>
      </c>
    </row>
    <row r="114" spans="1:10" x14ac:dyDescent="0.2">
      <c r="A114" s="21" t="s">
        <v>1887</v>
      </c>
      <c r="B114" s="22" t="s">
        <v>2606</v>
      </c>
      <c r="C114" s="21" t="s">
        <v>1446</v>
      </c>
      <c r="D114" s="21" t="s">
        <v>2546</v>
      </c>
      <c r="E114" s="21" t="s">
        <v>2701</v>
      </c>
      <c r="F114" s="22" t="s">
        <v>2549</v>
      </c>
      <c r="G114" s="22">
        <v>530</v>
      </c>
      <c r="H114" s="22">
        <v>6</v>
      </c>
      <c r="I114" s="22" t="s">
        <v>92</v>
      </c>
      <c r="J114" s="22" t="s">
        <v>2550</v>
      </c>
    </row>
    <row r="115" spans="1:10" x14ac:dyDescent="0.2">
      <c r="A115" s="21" t="s">
        <v>1888</v>
      </c>
      <c r="B115" s="22" t="s">
        <v>2607</v>
      </c>
      <c r="C115" s="21" t="s">
        <v>1446</v>
      </c>
      <c r="D115" s="21" t="s">
        <v>2546</v>
      </c>
      <c r="E115" s="21" t="s">
        <v>2701</v>
      </c>
      <c r="F115" s="22" t="s">
        <v>2549</v>
      </c>
      <c r="G115" s="22">
        <v>531</v>
      </c>
      <c r="H115" s="22">
        <v>6</v>
      </c>
      <c r="I115" s="22" t="s">
        <v>93</v>
      </c>
      <c r="J115" s="22" t="s">
        <v>2550</v>
      </c>
    </row>
    <row r="116" spans="1:10" x14ac:dyDescent="0.2">
      <c r="A116" s="21" t="s">
        <v>1889</v>
      </c>
      <c r="B116" s="22" t="s">
        <v>2608</v>
      </c>
      <c r="C116" s="21" t="s">
        <v>1446</v>
      </c>
      <c r="D116" s="21" t="s">
        <v>2546</v>
      </c>
      <c r="E116" s="21" t="s">
        <v>2701</v>
      </c>
      <c r="F116" s="22" t="s">
        <v>2549</v>
      </c>
      <c r="G116" s="22">
        <v>532</v>
      </c>
      <c r="H116" s="22">
        <v>6</v>
      </c>
      <c r="I116" s="22" t="s">
        <v>94</v>
      </c>
      <c r="J116" s="22" t="s">
        <v>2550</v>
      </c>
    </row>
    <row r="117" spans="1:10" x14ac:dyDescent="0.2">
      <c r="A117" s="21" t="s">
        <v>1890</v>
      </c>
      <c r="B117" s="22" t="s">
        <v>2609</v>
      </c>
      <c r="C117" s="21" t="s">
        <v>1446</v>
      </c>
      <c r="D117" s="21" t="s">
        <v>2546</v>
      </c>
      <c r="E117" s="21" t="s">
        <v>2701</v>
      </c>
      <c r="F117" s="22" t="s">
        <v>2549</v>
      </c>
      <c r="G117" s="22">
        <v>533</v>
      </c>
      <c r="H117" s="22">
        <v>6</v>
      </c>
      <c r="I117" s="22" t="s">
        <v>95</v>
      </c>
      <c r="J117" s="22" t="s">
        <v>2550</v>
      </c>
    </row>
    <row r="118" spans="1:10" x14ac:dyDescent="0.2">
      <c r="A118" s="21" t="s">
        <v>1891</v>
      </c>
      <c r="B118" s="22" t="s">
        <v>2610</v>
      </c>
      <c r="C118" s="21" t="s">
        <v>1446</v>
      </c>
      <c r="D118" s="21" t="s">
        <v>2546</v>
      </c>
      <c r="E118" s="21" t="s">
        <v>2701</v>
      </c>
      <c r="F118" s="22" t="s">
        <v>2549</v>
      </c>
      <c r="G118" s="22">
        <v>534</v>
      </c>
      <c r="H118" s="22">
        <v>6</v>
      </c>
      <c r="I118" s="22" t="s">
        <v>96</v>
      </c>
      <c r="J118" s="22" t="s">
        <v>2550</v>
      </c>
    </row>
    <row r="119" spans="1:10" x14ac:dyDescent="0.2">
      <c r="A119" s="21" t="s">
        <v>1892</v>
      </c>
      <c r="B119" s="22" t="s">
        <v>2611</v>
      </c>
      <c r="C119" s="21" t="s">
        <v>1446</v>
      </c>
      <c r="D119" s="21" t="s">
        <v>2546</v>
      </c>
      <c r="E119" s="21" t="s">
        <v>2701</v>
      </c>
      <c r="F119" s="22" t="s">
        <v>2549</v>
      </c>
      <c r="G119" s="22">
        <v>535</v>
      </c>
      <c r="H119" s="22">
        <v>6</v>
      </c>
      <c r="I119" s="22" t="s">
        <v>97</v>
      </c>
      <c r="J119" s="22" t="s">
        <v>2553</v>
      </c>
    </row>
    <row r="120" spans="1:10" x14ac:dyDescent="0.2">
      <c r="A120" s="21" t="s">
        <v>1893</v>
      </c>
      <c r="B120" s="22" t="s">
        <v>2612</v>
      </c>
      <c r="C120" s="21" t="s">
        <v>1446</v>
      </c>
      <c r="D120" s="21" t="s">
        <v>2546</v>
      </c>
      <c r="E120" s="21" t="s">
        <v>2701</v>
      </c>
      <c r="F120" s="22" t="s">
        <v>2549</v>
      </c>
      <c r="G120" s="22">
        <v>536</v>
      </c>
      <c r="H120" s="22">
        <v>6</v>
      </c>
      <c r="I120" s="22" t="s">
        <v>98</v>
      </c>
      <c r="J120" s="22" t="s">
        <v>2553</v>
      </c>
    </row>
    <row r="121" spans="1:10" x14ac:dyDescent="0.2">
      <c r="A121" s="21" t="s">
        <v>1894</v>
      </c>
      <c r="B121" s="22" t="s">
        <v>2613</v>
      </c>
      <c r="C121" s="21" t="s">
        <v>1446</v>
      </c>
      <c r="D121" s="21" t="s">
        <v>2546</v>
      </c>
      <c r="E121" s="21" t="s">
        <v>2701</v>
      </c>
      <c r="F121" s="22" t="s">
        <v>2549</v>
      </c>
      <c r="G121" s="22">
        <v>537</v>
      </c>
      <c r="H121" s="22">
        <v>6</v>
      </c>
      <c r="I121" s="22" t="s">
        <v>99</v>
      </c>
      <c r="J121" s="22" t="s">
        <v>2552</v>
      </c>
    </row>
    <row r="122" spans="1:10" x14ac:dyDescent="0.2">
      <c r="A122" s="21" t="s">
        <v>1895</v>
      </c>
      <c r="B122" s="22" t="s">
        <v>2614</v>
      </c>
      <c r="C122" s="21" t="s">
        <v>1446</v>
      </c>
      <c r="D122" s="21" t="s">
        <v>2546</v>
      </c>
      <c r="E122" s="21" t="s">
        <v>2701</v>
      </c>
      <c r="F122" s="22" t="s">
        <v>2549</v>
      </c>
      <c r="G122" s="22">
        <v>538</v>
      </c>
      <c r="H122" s="22">
        <v>6</v>
      </c>
      <c r="I122" s="22" t="s">
        <v>100</v>
      </c>
      <c r="J122" s="22" t="s">
        <v>2552</v>
      </c>
    </row>
    <row r="123" spans="1:10" x14ac:dyDescent="0.2">
      <c r="A123" s="21" t="s">
        <v>1896</v>
      </c>
      <c r="B123" s="22" t="s">
        <v>2615</v>
      </c>
      <c r="C123" s="21" t="s">
        <v>1446</v>
      </c>
      <c r="D123" s="21" t="s">
        <v>2546</v>
      </c>
      <c r="E123" s="21" t="s">
        <v>2701</v>
      </c>
      <c r="F123" s="22" t="s">
        <v>2549</v>
      </c>
      <c r="G123" s="22">
        <v>539</v>
      </c>
      <c r="H123" s="22">
        <v>6</v>
      </c>
      <c r="I123" s="22" t="s">
        <v>101</v>
      </c>
      <c r="J123" s="22" t="s">
        <v>2552</v>
      </c>
    </row>
    <row r="124" spans="1:10" x14ac:dyDescent="0.2">
      <c r="A124" s="21" t="s">
        <v>1897</v>
      </c>
      <c r="B124" s="22" t="s">
        <v>2616</v>
      </c>
      <c r="C124" s="21" t="s">
        <v>1446</v>
      </c>
      <c r="D124" s="21" t="s">
        <v>2546</v>
      </c>
      <c r="E124" s="21" t="s">
        <v>2701</v>
      </c>
      <c r="F124" s="22" t="s">
        <v>2549</v>
      </c>
      <c r="G124" s="22">
        <v>540</v>
      </c>
      <c r="H124" s="22">
        <v>6</v>
      </c>
      <c r="I124" s="22" t="s">
        <v>102</v>
      </c>
      <c r="J124" s="22" t="s">
        <v>2552</v>
      </c>
    </row>
    <row r="125" spans="1:10" x14ac:dyDescent="0.2">
      <c r="A125" s="21" t="s">
        <v>1898</v>
      </c>
      <c r="B125" s="22" t="s">
        <v>2618</v>
      </c>
      <c r="C125" s="21" t="s">
        <v>1446</v>
      </c>
      <c r="D125" s="21" t="s">
        <v>2546</v>
      </c>
      <c r="E125" s="21" t="s">
        <v>2701</v>
      </c>
      <c r="F125" s="22" t="s">
        <v>2549</v>
      </c>
      <c r="G125" s="22">
        <v>541</v>
      </c>
      <c r="H125" s="22">
        <v>6</v>
      </c>
      <c r="I125" s="22" t="s">
        <v>103</v>
      </c>
      <c r="J125" s="22" t="s">
        <v>2550</v>
      </c>
    </row>
    <row r="126" spans="1:10" x14ac:dyDescent="0.2">
      <c r="A126" s="21" t="s">
        <v>1899</v>
      </c>
      <c r="B126" s="22" t="s">
        <v>2619</v>
      </c>
      <c r="C126" s="21" t="s">
        <v>1446</v>
      </c>
      <c r="D126" s="21" t="s">
        <v>2546</v>
      </c>
      <c r="E126" s="21" t="s">
        <v>2701</v>
      </c>
      <c r="F126" s="22" t="s">
        <v>2549</v>
      </c>
      <c r="G126" s="22">
        <v>542</v>
      </c>
      <c r="H126" s="22">
        <v>6</v>
      </c>
      <c r="I126" s="22" t="s">
        <v>105</v>
      </c>
      <c r="J126" s="22" t="s">
        <v>2550</v>
      </c>
    </row>
    <row r="127" spans="1:10" x14ac:dyDescent="0.2">
      <c r="A127" s="21" t="s">
        <v>1900</v>
      </c>
      <c r="B127" s="22" t="s">
        <v>2620</v>
      </c>
      <c r="C127" s="21" t="s">
        <v>1446</v>
      </c>
      <c r="D127" s="21" t="s">
        <v>2546</v>
      </c>
      <c r="E127" s="21" t="s">
        <v>2701</v>
      </c>
      <c r="F127" s="22" t="s">
        <v>2549</v>
      </c>
      <c r="G127" s="22">
        <v>543</v>
      </c>
      <c r="H127" s="22">
        <v>6</v>
      </c>
      <c r="I127" s="22" t="s">
        <v>106</v>
      </c>
      <c r="J127" s="22" t="s">
        <v>2550</v>
      </c>
    </row>
    <row r="128" spans="1:10" x14ac:dyDescent="0.2">
      <c r="A128" s="21" t="s">
        <v>1901</v>
      </c>
      <c r="B128" s="22" t="s">
        <v>2621</v>
      </c>
      <c r="C128" s="21" t="s">
        <v>1446</v>
      </c>
      <c r="D128" s="21" t="s">
        <v>2546</v>
      </c>
      <c r="E128" s="21" t="s">
        <v>2701</v>
      </c>
      <c r="F128" s="22" t="s">
        <v>2549</v>
      </c>
      <c r="G128" s="22">
        <v>544</v>
      </c>
      <c r="H128" s="22">
        <v>6</v>
      </c>
      <c r="I128" s="22" t="s">
        <v>107</v>
      </c>
      <c r="J128" s="22" t="s">
        <v>2550</v>
      </c>
    </row>
    <row r="129" spans="1:10" x14ac:dyDescent="0.2">
      <c r="A129" s="21" t="s">
        <v>1902</v>
      </c>
      <c r="B129" s="22" t="s">
        <v>2622</v>
      </c>
      <c r="C129" s="21" t="s">
        <v>1446</v>
      </c>
      <c r="D129" s="21" t="s">
        <v>2546</v>
      </c>
      <c r="E129" s="21" t="s">
        <v>2701</v>
      </c>
      <c r="F129" s="22" t="s">
        <v>2549</v>
      </c>
      <c r="G129" s="22">
        <v>545</v>
      </c>
      <c r="H129" s="22">
        <v>6</v>
      </c>
      <c r="I129" s="22" t="s">
        <v>108</v>
      </c>
      <c r="J129" s="22" t="s">
        <v>2550</v>
      </c>
    </row>
    <row r="130" spans="1:10" x14ac:dyDescent="0.2">
      <c r="A130" s="21" t="s">
        <v>1903</v>
      </c>
      <c r="B130" s="22" t="s">
        <v>2623</v>
      </c>
      <c r="C130" s="21" t="s">
        <v>1446</v>
      </c>
      <c r="D130" s="21" t="s">
        <v>2546</v>
      </c>
      <c r="E130" s="21" t="s">
        <v>2701</v>
      </c>
      <c r="F130" s="22" t="s">
        <v>2549</v>
      </c>
      <c r="G130" s="22">
        <v>546</v>
      </c>
      <c r="H130" s="22">
        <v>6</v>
      </c>
      <c r="I130" s="22" t="s">
        <v>109</v>
      </c>
      <c r="J130" s="22" t="s">
        <v>2550</v>
      </c>
    </row>
    <row r="131" spans="1:10" x14ac:dyDescent="0.2">
      <c r="A131" s="21" t="s">
        <v>1904</v>
      </c>
      <c r="B131" s="22" t="s">
        <v>2624</v>
      </c>
      <c r="C131" s="21" t="s">
        <v>1446</v>
      </c>
      <c r="D131" s="21" t="s">
        <v>2546</v>
      </c>
      <c r="E131" s="21" t="s">
        <v>2701</v>
      </c>
      <c r="F131" s="22" t="s">
        <v>2549</v>
      </c>
      <c r="G131" s="22">
        <v>547</v>
      </c>
      <c r="H131" s="22">
        <v>6</v>
      </c>
      <c r="I131" s="22" t="s">
        <v>110</v>
      </c>
      <c r="J131" s="22" t="s">
        <v>2550</v>
      </c>
    </row>
    <row r="132" spans="1:10" x14ac:dyDescent="0.2">
      <c r="A132" s="21" t="s">
        <v>1905</v>
      </c>
      <c r="B132" s="22" t="s">
        <v>2625</v>
      </c>
      <c r="C132" s="21" t="s">
        <v>1446</v>
      </c>
      <c r="D132" s="21" t="s">
        <v>2546</v>
      </c>
      <c r="E132" s="21" t="s">
        <v>2701</v>
      </c>
      <c r="F132" s="22" t="s">
        <v>2549</v>
      </c>
      <c r="G132" s="22">
        <v>548</v>
      </c>
      <c r="H132" s="22">
        <v>6</v>
      </c>
      <c r="I132" s="22" t="s">
        <v>111</v>
      </c>
      <c r="J132" s="22" t="s">
        <v>2550</v>
      </c>
    </row>
    <row r="133" spans="1:10" x14ac:dyDescent="0.2">
      <c r="A133" s="21" t="s">
        <v>1906</v>
      </c>
      <c r="B133" s="22" t="s">
        <v>2626</v>
      </c>
      <c r="C133" s="21" t="s">
        <v>1446</v>
      </c>
      <c r="D133" s="21" t="s">
        <v>2546</v>
      </c>
      <c r="E133" s="21" t="s">
        <v>2701</v>
      </c>
      <c r="F133" s="22" t="s">
        <v>2549</v>
      </c>
      <c r="G133" s="22">
        <v>549</v>
      </c>
      <c r="H133" s="22">
        <v>6</v>
      </c>
      <c r="I133" s="22" t="s">
        <v>112</v>
      </c>
      <c r="J133" s="22" t="s">
        <v>2550</v>
      </c>
    </row>
    <row r="134" spans="1:10" x14ac:dyDescent="0.2">
      <c r="A134" s="21" t="s">
        <v>1907</v>
      </c>
      <c r="B134" s="22" t="s">
        <v>2627</v>
      </c>
      <c r="C134" s="21" t="s">
        <v>1446</v>
      </c>
      <c r="D134" s="21" t="s">
        <v>2546</v>
      </c>
      <c r="E134" s="21" t="s">
        <v>2701</v>
      </c>
      <c r="F134" s="22" t="s">
        <v>2549</v>
      </c>
      <c r="G134" s="22">
        <v>550</v>
      </c>
      <c r="H134" s="22">
        <v>6</v>
      </c>
      <c r="I134" s="22" t="s">
        <v>113</v>
      </c>
      <c r="J134" s="22" t="s">
        <v>2550</v>
      </c>
    </row>
    <row r="135" spans="1:10" x14ac:dyDescent="0.2">
      <c r="A135" s="21" t="s">
        <v>1908</v>
      </c>
      <c r="B135" s="22" t="s">
        <v>2628</v>
      </c>
      <c r="C135" s="21" t="s">
        <v>1446</v>
      </c>
      <c r="D135" s="21" t="s">
        <v>2546</v>
      </c>
      <c r="E135" s="21" t="s">
        <v>2701</v>
      </c>
      <c r="F135" s="22" t="s">
        <v>2549</v>
      </c>
      <c r="G135" s="22">
        <v>551</v>
      </c>
      <c r="H135" s="22">
        <v>6</v>
      </c>
      <c r="I135" s="22" t="s">
        <v>114</v>
      </c>
      <c r="J135" s="22" t="s">
        <v>2552</v>
      </c>
    </row>
    <row r="136" spans="1:10" x14ac:dyDescent="0.2">
      <c r="A136" s="21" t="s">
        <v>1909</v>
      </c>
      <c r="B136" s="22" t="s">
        <v>2629</v>
      </c>
      <c r="C136" s="21" t="s">
        <v>1446</v>
      </c>
      <c r="D136" s="21" t="s">
        <v>2546</v>
      </c>
      <c r="E136" s="21" t="s">
        <v>2701</v>
      </c>
      <c r="F136" s="22" t="s">
        <v>2549</v>
      </c>
      <c r="G136" s="22">
        <v>552</v>
      </c>
      <c r="H136" s="22">
        <v>6</v>
      </c>
      <c r="I136" s="22" t="s">
        <v>115</v>
      </c>
      <c r="J136" s="22" t="s">
        <v>2552</v>
      </c>
    </row>
    <row r="137" spans="1:10" x14ac:dyDescent="0.2">
      <c r="A137" s="21" t="s">
        <v>1910</v>
      </c>
      <c r="B137" s="22" t="s">
        <v>2630</v>
      </c>
      <c r="C137" s="21" t="s">
        <v>1446</v>
      </c>
      <c r="D137" s="21" t="s">
        <v>2546</v>
      </c>
      <c r="E137" s="21" t="s">
        <v>2701</v>
      </c>
      <c r="F137" s="22" t="s">
        <v>2549</v>
      </c>
      <c r="G137" s="22">
        <v>553</v>
      </c>
      <c r="H137" s="22">
        <v>6</v>
      </c>
      <c r="I137" s="22" t="s">
        <v>116</v>
      </c>
      <c r="J137" s="22" t="s">
        <v>2552</v>
      </c>
    </row>
    <row r="138" spans="1:10" x14ac:dyDescent="0.2">
      <c r="A138" s="21" t="s">
        <v>1911</v>
      </c>
      <c r="B138" s="22" t="s">
        <v>2631</v>
      </c>
      <c r="C138" s="21" t="s">
        <v>1446</v>
      </c>
      <c r="D138" s="21" t="s">
        <v>2546</v>
      </c>
      <c r="E138" s="21" t="s">
        <v>2701</v>
      </c>
      <c r="F138" s="22" t="s">
        <v>2549</v>
      </c>
      <c r="G138" s="22">
        <v>554</v>
      </c>
      <c r="H138" s="22">
        <v>6</v>
      </c>
      <c r="I138" s="22" t="s">
        <v>118</v>
      </c>
      <c r="J138" s="22" t="s">
        <v>2552</v>
      </c>
    </row>
    <row r="139" spans="1:10" x14ac:dyDescent="0.2">
      <c r="A139" s="21" t="s">
        <v>1912</v>
      </c>
      <c r="B139" s="22" t="s">
        <v>2632</v>
      </c>
      <c r="C139" s="21" t="s">
        <v>1446</v>
      </c>
      <c r="D139" s="21" t="s">
        <v>2546</v>
      </c>
      <c r="E139" s="21" t="s">
        <v>2701</v>
      </c>
      <c r="F139" s="22" t="s">
        <v>2549</v>
      </c>
      <c r="G139" s="22">
        <v>555</v>
      </c>
      <c r="H139" s="22">
        <v>6</v>
      </c>
      <c r="I139" s="22" t="s">
        <v>119</v>
      </c>
      <c r="J139" s="22" t="s">
        <v>2550</v>
      </c>
    </row>
    <row r="140" spans="1:10" x14ac:dyDescent="0.2">
      <c r="A140" s="21" t="s">
        <v>1913</v>
      </c>
      <c r="B140" s="22" t="s">
        <v>2633</v>
      </c>
      <c r="C140" s="21" t="s">
        <v>1446</v>
      </c>
      <c r="D140" s="21" t="s">
        <v>2546</v>
      </c>
      <c r="E140" s="21" t="s">
        <v>2701</v>
      </c>
      <c r="F140" s="22" t="s">
        <v>2549</v>
      </c>
      <c r="G140" s="22">
        <v>556</v>
      </c>
      <c r="H140" s="22">
        <v>6</v>
      </c>
      <c r="I140" s="22" t="s">
        <v>120</v>
      </c>
      <c r="J140" s="22" t="s">
        <v>2550</v>
      </c>
    </row>
    <row r="141" spans="1:10" x14ac:dyDescent="0.2">
      <c r="A141" s="21" t="s">
        <v>1914</v>
      </c>
      <c r="B141" s="22" t="s">
        <v>2634</v>
      </c>
      <c r="C141" s="21" t="s">
        <v>1446</v>
      </c>
      <c r="D141" s="21" t="s">
        <v>2546</v>
      </c>
      <c r="E141" s="21" t="s">
        <v>2701</v>
      </c>
      <c r="F141" s="22" t="s">
        <v>2549</v>
      </c>
      <c r="G141" s="22">
        <v>557</v>
      </c>
      <c r="H141" s="22">
        <v>6</v>
      </c>
      <c r="I141" s="22" t="s">
        <v>121</v>
      </c>
      <c r="J141" s="22" t="s">
        <v>2550</v>
      </c>
    </row>
    <row r="142" spans="1:10" x14ac:dyDescent="0.2">
      <c r="A142" s="21" t="s">
        <v>1915</v>
      </c>
      <c r="B142" s="22" t="s">
        <v>2635</v>
      </c>
      <c r="C142" s="21" t="s">
        <v>1446</v>
      </c>
      <c r="D142" s="21" t="s">
        <v>2546</v>
      </c>
      <c r="E142" s="21" t="s">
        <v>2701</v>
      </c>
      <c r="F142" s="22" t="s">
        <v>2549</v>
      </c>
      <c r="G142" s="22">
        <v>558</v>
      </c>
      <c r="H142" s="22">
        <v>6</v>
      </c>
      <c r="I142" s="22" t="s">
        <v>122</v>
      </c>
      <c r="J142" s="22" t="s">
        <v>2550</v>
      </c>
    </row>
    <row r="143" spans="1:10" x14ac:dyDescent="0.2">
      <c r="A143" s="21" t="s">
        <v>1916</v>
      </c>
      <c r="B143" s="22" t="s">
        <v>2636</v>
      </c>
      <c r="C143" s="21" t="s">
        <v>1446</v>
      </c>
      <c r="D143" s="21" t="s">
        <v>2546</v>
      </c>
      <c r="E143" s="21" t="s">
        <v>2701</v>
      </c>
      <c r="F143" s="22" t="s">
        <v>2549</v>
      </c>
      <c r="G143" s="22">
        <v>559</v>
      </c>
      <c r="H143" s="22">
        <v>6</v>
      </c>
      <c r="I143" s="22" t="s">
        <v>123</v>
      </c>
      <c r="J143" s="22" t="s">
        <v>2550</v>
      </c>
    </row>
    <row r="144" spans="1:10" x14ac:dyDescent="0.2">
      <c r="A144" s="21" t="s">
        <v>1917</v>
      </c>
      <c r="B144" s="22" t="s">
        <v>2637</v>
      </c>
      <c r="C144" s="21" t="s">
        <v>1446</v>
      </c>
      <c r="D144" s="21" t="s">
        <v>2546</v>
      </c>
      <c r="E144" s="21" t="s">
        <v>2701</v>
      </c>
      <c r="F144" s="22" t="s">
        <v>2549</v>
      </c>
      <c r="G144" s="22">
        <v>560</v>
      </c>
      <c r="H144" s="22">
        <v>6</v>
      </c>
      <c r="I144" s="22" t="s">
        <v>124</v>
      </c>
      <c r="J144" s="22" t="s">
        <v>2550</v>
      </c>
    </row>
    <row r="145" spans="1:10" x14ac:dyDescent="0.2">
      <c r="A145" s="21" t="s">
        <v>1918</v>
      </c>
      <c r="B145" s="22" t="s">
        <v>2638</v>
      </c>
      <c r="C145" s="21" t="s">
        <v>1446</v>
      </c>
      <c r="D145" s="21" t="s">
        <v>2546</v>
      </c>
      <c r="E145" s="21" t="s">
        <v>2701</v>
      </c>
      <c r="F145" s="22" t="s">
        <v>2549</v>
      </c>
      <c r="G145" s="22">
        <v>561</v>
      </c>
      <c r="H145" s="22">
        <v>6</v>
      </c>
      <c r="I145" s="22" t="s">
        <v>125</v>
      </c>
      <c r="J145" s="22" t="s">
        <v>2550</v>
      </c>
    </row>
    <row r="146" spans="1:10" x14ac:dyDescent="0.2">
      <c r="A146" s="21" t="s">
        <v>1919</v>
      </c>
      <c r="B146" s="22" t="s">
        <v>2639</v>
      </c>
      <c r="C146" s="21" t="s">
        <v>1446</v>
      </c>
      <c r="D146" s="21" t="s">
        <v>2546</v>
      </c>
      <c r="E146" s="21" t="s">
        <v>2701</v>
      </c>
      <c r="F146" s="22" t="s">
        <v>2549</v>
      </c>
      <c r="G146" s="22">
        <v>562</v>
      </c>
      <c r="H146" s="22">
        <v>6</v>
      </c>
      <c r="I146" s="22" t="s">
        <v>126</v>
      </c>
      <c r="J146" s="22" t="s">
        <v>2550</v>
      </c>
    </row>
    <row r="147" spans="1:10" x14ac:dyDescent="0.2">
      <c r="A147" s="21" t="s">
        <v>1920</v>
      </c>
      <c r="B147" s="22" t="s">
        <v>2640</v>
      </c>
      <c r="C147" s="21" t="s">
        <v>1446</v>
      </c>
      <c r="D147" s="21" t="s">
        <v>2546</v>
      </c>
      <c r="E147" s="21" t="s">
        <v>2701</v>
      </c>
      <c r="F147" s="22" t="s">
        <v>2549</v>
      </c>
      <c r="G147" s="22">
        <v>563</v>
      </c>
      <c r="H147" s="22">
        <v>6</v>
      </c>
      <c r="I147" s="22" t="s">
        <v>127</v>
      </c>
      <c r="J147" s="22" t="s">
        <v>2553</v>
      </c>
    </row>
    <row r="148" spans="1:10" x14ac:dyDescent="0.2">
      <c r="A148" s="21" t="s">
        <v>1631</v>
      </c>
      <c r="B148" s="21" t="s">
        <v>1405</v>
      </c>
      <c r="C148" s="21" t="s">
        <v>1446</v>
      </c>
      <c r="D148" s="21" t="s">
        <v>2702</v>
      </c>
      <c r="E148" s="21" t="s">
        <v>1444</v>
      </c>
      <c r="F148" s="22" t="s">
        <v>2549</v>
      </c>
      <c r="G148" s="22">
        <v>385</v>
      </c>
      <c r="H148" s="22">
        <v>5</v>
      </c>
      <c r="I148" s="22" t="s">
        <v>22</v>
      </c>
      <c r="J148" s="22" t="s">
        <v>2552</v>
      </c>
    </row>
    <row r="149" spans="1:10" x14ac:dyDescent="0.2">
      <c r="A149" s="21" t="s">
        <v>1633</v>
      </c>
      <c r="B149" s="21" t="s">
        <v>1405</v>
      </c>
      <c r="C149" s="21" t="s">
        <v>1446</v>
      </c>
      <c r="D149" s="21" t="s">
        <v>2702</v>
      </c>
      <c r="E149" s="21" t="s">
        <v>1444</v>
      </c>
      <c r="F149" s="22" t="s">
        <v>2549</v>
      </c>
      <c r="G149" s="22">
        <v>386</v>
      </c>
      <c r="H149" s="22">
        <v>5</v>
      </c>
      <c r="I149" s="22" t="s">
        <v>30</v>
      </c>
      <c r="J149" s="22" t="s">
        <v>2552</v>
      </c>
    </row>
    <row r="150" spans="1:10" x14ac:dyDescent="0.2">
      <c r="A150" s="21" t="s">
        <v>1635</v>
      </c>
      <c r="B150" s="21" t="s">
        <v>1405</v>
      </c>
      <c r="C150" s="21" t="s">
        <v>1446</v>
      </c>
      <c r="D150" s="21" t="s">
        <v>2702</v>
      </c>
      <c r="E150" s="21" t="s">
        <v>1444</v>
      </c>
      <c r="F150" s="22" t="s">
        <v>2549</v>
      </c>
      <c r="G150" s="22">
        <v>387</v>
      </c>
      <c r="H150" s="22">
        <v>5</v>
      </c>
      <c r="I150" s="22" t="s">
        <v>32</v>
      </c>
      <c r="J150" s="22" t="s">
        <v>2552</v>
      </c>
    </row>
    <row r="151" spans="1:10" x14ac:dyDescent="0.2">
      <c r="A151" s="21" t="s">
        <v>1637</v>
      </c>
      <c r="B151" s="21" t="s">
        <v>1405</v>
      </c>
      <c r="C151" s="21" t="s">
        <v>1446</v>
      </c>
      <c r="D151" s="21" t="s">
        <v>2702</v>
      </c>
      <c r="E151" s="21" t="s">
        <v>1444</v>
      </c>
      <c r="F151" s="22" t="s">
        <v>2549</v>
      </c>
      <c r="G151" s="22">
        <v>388</v>
      </c>
      <c r="H151" s="22">
        <v>5</v>
      </c>
      <c r="I151" s="22" t="s">
        <v>34</v>
      </c>
      <c r="J151" s="22" t="s">
        <v>2552</v>
      </c>
    </row>
    <row r="152" spans="1:10" x14ac:dyDescent="0.2">
      <c r="A152" s="21" t="s">
        <v>1639</v>
      </c>
      <c r="B152" s="21" t="s">
        <v>1405</v>
      </c>
      <c r="C152" s="21" t="s">
        <v>1446</v>
      </c>
      <c r="D152" s="21" t="s">
        <v>2702</v>
      </c>
      <c r="E152" s="21" t="s">
        <v>1444</v>
      </c>
      <c r="F152" s="22" t="s">
        <v>2549</v>
      </c>
      <c r="G152" s="22">
        <v>389</v>
      </c>
      <c r="H152" s="22">
        <v>5</v>
      </c>
      <c r="I152" s="22" t="s">
        <v>36</v>
      </c>
      <c r="J152" s="22" t="s">
        <v>2552</v>
      </c>
    </row>
    <row r="153" spans="1:10" x14ac:dyDescent="0.2">
      <c r="A153" s="21" t="s">
        <v>1641</v>
      </c>
      <c r="B153" s="21" t="s">
        <v>1405</v>
      </c>
      <c r="C153" s="21" t="s">
        <v>1446</v>
      </c>
      <c r="D153" s="21" t="s">
        <v>2702</v>
      </c>
      <c r="E153" s="21" t="s">
        <v>1444</v>
      </c>
      <c r="F153" s="22" t="s">
        <v>2549</v>
      </c>
      <c r="G153" s="22">
        <v>390</v>
      </c>
      <c r="H153" s="22">
        <v>5</v>
      </c>
      <c r="I153" s="22" t="s">
        <v>38</v>
      </c>
      <c r="J153" s="22" t="s">
        <v>2552</v>
      </c>
    </row>
    <row r="154" spans="1:10" x14ac:dyDescent="0.2">
      <c r="A154" s="21" t="s">
        <v>1643</v>
      </c>
      <c r="B154" s="21" t="s">
        <v>1405</v>
      </c>
      <c r="C154" s="21" t="s">
        <v>1446</v>
      </c>
      <c r="D154" s="21" t="s">
        <v>2702</v>
      </c>
      <c r="E154" s="21" t="s">
        <v>1444</v>
      </c>
      <c r="F154" s="22" t="s">
        <v>2549</v>
      </c>
      <c r="G154" s="22">
        <v>391</v>
      </c>
      <c r="H154" s="22">
        <v>5</v>
      </c>
      <c r="I154" s="22" t="s">
        <v>40</v>
      </c>
      <c r="J154" s="22" t="s">
        <v>2552</v>
      </c>
    </row>
    <row r="155" spans="1:10" x14ac:dyDescent="0.2">
      <c r="A155" s="21" t="s">
        <v>1645</v>
      </c>
      <c r="B155" s="21" t="s">
        <v>1405</v>
      </c>
      <c r="C155" s="21" t="s">
        <v>1446</v>
      </c>
      <c r="D155" s="21" t="s">
        <v>2702</v>
      </c>
      <c r="E155" s="21" t="s">
        <v>1444</v>
      </c>
      <c r="F155" s="22" t="s">
        <v>2549</v>
      </c>
      <c r="G155" s="22">
        <v>392</v>
      </c>
      <c r="H155" s="22">
        <v>5</v>
      </c>
      <c r="I155" s="22" t="s">
        <v>42</v>
      </c>
      <c r="J155" s="22" t="s">
        <v>2552</v>
      </c>
    </row>
    <row r="156" spans="1:10" x14ac:dyDescent="0.2">
      <c r="A156" s="21" t="s">
        <v>1647</v>
      </c>
      <c r="B156" s="21" t="s">
        <v>1405</v>
      </c>
      <c r="C156" s="21" t="s">
        <v>1446</v>
      </c>
      <c r="D156" s="21" t="s">
        <v>2702</v>
      </c>
      <c r="E156" s="21" t="s">
        <v>1444</v>
      </c>
      <c r="F156" s="22" t="s">
        <v>2549</v>
      </c>
      <c r="G156" s="22">
        <v>393</v>
      </c>
      <c r="H156" s="22">
        <v>5</v>
      </c>
      <c r="I156" s="22" t="s">
        <v>44</v>
      </c>
      <c r="J156" s="22" t="s">
        <v>2552</v>
      </c>
    </row>
    <row r="157" spans="1:10" x14ac:dyDescent="0.2">
      <c r="A157" s="21" t="s">
        <v>1649</v>
      </c>
      <c r="B157" s="21" t="s">
        <v>1405</v>
      </c>
      <c r="C157" s="21" t="s">
        <v>1446</v>
      </c>
      <c r="D157" s="21" t="s">
        <v>2702</v>
      </c>
      <c r="E157" s="21" t="s">
        <v>1444</v>
      </c>
      <c r="F157" s="22" t="s">
        <v>2549</v>
      </c>
      <c r="G157" s="22">
        <v>394</v>
      </c>
      <c r="H157" s="22">
        <v>5</v>
      </c>
      <c r="I157" s="22" t="s">
        <v>46</v>
      </c>
      <c r="J157" s="22" t="s">
        <v>2552</v>
      </c>
    </row>
    <row r="158" spans="1:10" x14ac:dyDescent="0.2">
      <c r="A158" s="21" t="s">
        <v>1651</v>
      </c>
      <c r="B158" s="21" t="s">
        <v>1405</v>
      </c>
      <c r="C158" s="21" t="s">
        <v>1446</v>
      </c>
      <c r="D158" s="21" t="s">
        <v>2702</v>
      </c>
      <c r="E158" s="21" t="s">
        <v>1444</v>
      </c>
      <c r="F158" s="22" t="s">
        <v>2549</v>
      </c>
      <c r="G158" s="22">
        <v>395</v>
      </c>
      <c r="H158" s="22">
        <v>5</v>
      </c>
      <c r="I158" s="22" t="s">
        <v>48</v>
      </c>
      <c r="J158" s="22" t="s">
        <v>2552</v>
      </c>
    </row>
    <row r="159" spans="1:10" x14ac:dyDescent="0.2">
      <c r="A159" s="21" t="s">
        <v>1653</v>
      </c>
      <c r="B159" s="21" t="s">
        <v>1405</v>
      </c>
      <c r="C159" s="21" t="s">
        <v>1446</v>
      </c>
      <c r="D159" s="21" t="s">
        <v>2702</v>
      </c>
      <c r="E159" s="21" t="s">
        <v>1444</v>
      </c>
      <c r="F159" s="22" t="s">
        <v>2549</v>
      </c>
      <c r="G159" s="22">
        <v>396</v>
      </c>
      <c r="H159" s="22">
        <v>5</v>
      </c>
      <c r="I159" s="22" t="s">
        <v>50</v>
      </c>
      <c r="J159" s="22" t="s">
        <v>2552</v>
      </c>
    </row>
    <row r="160" spans="1:10" x14ac:dyDescent="0.2">
      <c r="A160" s="21" t="s">
        <v>1655</v>
      </c>
      <c r="B160" s="21" t="s">
        <v>1405</v>
      </c>
      <c r="C160" s="21" t="s">
        <v>1446</v>
      </c>
      <c r="D160" s="21" t="s">
        <v>2702</v>
      </c>
      <c r="E160" s="21" t="s">
        <v>1444</v>
      </c>
      <c r="F160" s="22" t="s">
        <v>2549</v>
      </c>
      <c r="G160" s="22">
        <v>397</v>
      </c>
      <c r="H160" s="22">
        <v>5</v>
      </c>
      <c r="I160" s="22" t="s">
        <v>51</v>
      </c>
      <c r="J160" s="22" t="s">
        <v>2552</v>
      </c>
    </row>
    <row r="161" spans="1:10" x14ac:dyDescent="0.2">
      <c r="A161" s="21" t="s">
        <v>1657</v>
      </c>
      <c r="B161" s="21" t="s">
        <v>1405</v>
      </c>
      <c r="C161" s="21" t="s">
        <v>1446</v>
      </c>
      <c r="D161" s="21" t="s">
        <v>2702</v>
      </c>
      <c r="E161" s="21" t="s">
        <v>1444</v>
      </c>
      <c r="F161" s="22" t="s">
        <v>2549</v>
      </c>
      <c r="G161" s="22">
        <v>398</v>
      </c>
      <c r="H161" s="22">
        <v>5</v>
      </c>
      <c r="I161" s="22" t="s">
        <v>53</v>
      </c>
      <c r="J161" s="22" t="s">
        <v>2552</v>
      </c>
    </row>
    <row r="162" spans="1:10" x14ac:dyDescent="0.2">
      <c r="A162" s="21" t="s">
        <v>1659</v>
      </c>
      <c r="B162" s="21" t="s">
        <v>1405</v>
      </c>
      <c r="C162" s="21" t="s">
        <v>1446</v>
      </c>
      <c r="D162" s="21" t="s">
        <v>2702</v>
      </c>
      <c r="E162" s="21" t="s">
        <v>1444</v>
      </c>
      <c r="F162" s="22" t="s">
        <v>2549</v>
      </c>
      <c r="G162" s="22">
        <v>399</v>
      </c>
      <c r="H162" s="22">
        <v>5</v>
      </c>
      <c r="I162" s="22" t="s">
        <v>54</v>
      </c>
      <c r="J162" s="22" t="s">
        <v>2552</v>
      </c>
    </row>
    <row r="163" spans="1:10" x14ac:dyDescent="0.2">
      <c r="A163" s="21" t="s">
        <v>1661</v>
      </c>
      <c r="B163" s="21" t="s">
        <v>1405</v>
      </c>
      <c r="C163" s="21" t="s">
        <v>1446</v>
      </c>
      <c r="D163" s="21" t="s">
        <v>2702</v>
      </c>
      <c r="E163" s="21" t="s">
        <v>1444</v>
      </c>
      <c r="F163" s="22" t="s">
        <v>2549</v>
      </c>
      <c r="G163" s="22">
        <v>400</v>
      </c>
      <c r="H163" s="22">
        <v>5</v>
      </c>
      <c r="I163" s="22" t="s">
        <v>55</v>
      </c>
      <c r="J163" s="22" t="s">
        <v>2552</v>
      </c>
    </row>
    <row r="164" spans="1:10" x14ac:dyDescent="0.2">
      <c r="A164" s="21" t="s">
        <v>1663</v>
      </c>
      <c r="B164" s="21" t="s">
        <v>1405</v>
      </c>
      <c r="C164" s="21" t="s">
        <v>1446</v>
      </c>
      <c r="D164" s="21" t="s">
        <v>2702</v>
      </c>
      <c r="E164" s="21" t="s">
        <v>1444</v>
      </c>
      <c r="F164" s="22" t="s">
        <v>2549</v>
      </c>
      <c r="G164" s="22">
        <v>401</v>
      </c>
      <c r="H164" s="22">
        <v>5</v>
      </c>
      <c r="I164" s="22" t="s">
        <v>56</v>
      </c>
      <c r="J164" s="22" t="s">
        <v>2552</v>
      </c>
    </row>
    <row r="165" spans="1:10" x14ac:dyDescent="0.2">
      <c r="A165" s="21" t="s">
        <v>1665</v>
      </c>
      <c r="B165" s="21" t="s">
        <v>1405</v>
      </c>
      <c r="C165" s="21" t="s">
        <v>1446</v>
      </c>
      <c r="D165" s="21" t="s">
        <v>2702</v>
      </c>
      <c r="E165" s="21" t="s">
        <v>1444</v>
      </c>
      <c r="F165" s="22" t="s">
        <v>2549</v>
      </c>
      <c r="G165" s="22">
        <v>402</v>
      </c>
      <c r="H165" s="22">
        <v>5</v>
      </c>
      <c r="I165" s="22" t="s">
        <v>57</v>
      </c>
      <c r="J165" s="22" t="s">
        <v>2552</v>
      </c>
    </row>
    <row r="166" spans="1:10" x14ac:dyDescent="0.2">
      <c r="A166" s="21" t="s">
        <v>1667</v>
      </c>
      <c r="B166" s="21" t="s">
        <v>1405</v>
      </c>
      <c r="C166" s="21" t="s">
        <v>1446</v>
      </c>
      <c r="D166" s="21" t="s">
        <v>2702</v>
      </c>
      <c r="E166" s="21" t="s">
        <v>1444</v>
      </c>
      <c r="F166" s="22" t="s">
        <v>2549</v>
      </c>
      <c r="G166" s="22">
        <v>403</v>
      </c>
      <c r="H166" s="22">
        <v>5</v>
      </c>
      <c r="I166" s="22" t="s">
        <v>58</v>
      </c>
      <c r="J166" s="22" t="s">
        <v>2552</v>
      </c>
    </row>
    <row r="167" spans="1:10" x14ac:dyDescent="0.2">
      <c r="A167" s="21" t="s">
        <v>1669</v>
      </c>
      <c r="B167" s="21" t="s">
        <v>1405</v>
      </c>
      <c r="C167" s="21" t="s">
        <v>1446</v>
      </c>
      <c r="D167" s="21" t="s">
        <v>2702</v>
      </c>
      <c r="E167" s="21" t="s">
        <v>1444</v>
      </c>
      <c r="F167" s="22" t="s">
        <v>2549</v>
      </c>
      <c r="G167" s="22">
        <v>404</v>
      </c>
      <c r="H167" s="22">
        <v>5</v>
      </c>
      <c r="I167" s="22" t="s">
        <v>59</v>
      </c>
      <c r="J167" s="22" t="s">
        <v>2552</v>
      </c>
    </row>
    <row r="168" spans="1:10" x14ac:dyDescent="0.2">
      <c r="A168" s="21" t="s">
        <v>1687</v>
      </c>
      <c r="B168" s="21" t="s">
        <v>1405</v>
      </c>
      <c r="C168" s="21" t="s">
        <v>1446</v>
      </c>
      <c r="D168" s="21" t="s">
        <v>2702</v>
      </c>
      <c r="E168" s="21" t="s">
        <v>1444</v>
      </c>
      <c r="F168" s="22" t="s">
        <v>2549</v>
      </c>
      <c r="G168" s="22">
        <v>421</v>
      </c>
      <c r="H168" s="22">
        <v>5</v>
      </c>
      <c r="I168" s="22" t="s">
        <v>77</v>
      </c>
      <c r="J168" s="22" t="s">
        <v>2550</v>
      </c>
    </row>
    <row r="169" spans="1:10" x14ac:dyDescent="0.2">
      <c r="A169" s="21" t="s">
        <v>1689</v>
      </c>
      <c r="B169" s="21" t="s">
        <v>1405</v>
      </c>
      <c r="C169" s="21" t="s">
        <v>1446</v>
      </c>
      <c r="D169" s="21" t="s">
        <v>2702</v>
      </c>
      <c r="E169" s="21" t="s">
        <v>1444</v>
      </c>
      <c r="F169" s="22" t="s">
        <v>2549</v>
      </c>
      <c r="G169" s="22">
        <v>422</v>
      </c>
      <c r="H169" s="22">
        <v>5</v>
      </c>
      <c r="I169" s="22" t="s">
        <v>79</v>
      </c>
      <c r="J169" s="22" t="s">
        <v>2550</v>
      </c>
    </row>
    <row r="170" spans="1:10" x14ac:dyDescent="0.2">
      <c r="A170" s="21" t="s">
        <v>1691</v>
      </c>
      <c r="B170" s="21" t="s">
        <v>1405</v>
      </c>
      <c r="C170" s="21" t="s">
        <v>1446</v>
      </c>
      <c r="D170" s="21" t="s">
        <v>2702</v>
      </c>
      <c r="E170" s="21" t="s">
        <v>1444</v>
      </c>
      <c r="F170" s="22" t="s">
        <v>2549</v>
      </c>
      <c r="G170" s="22">
        <v>423</v>
      </c>
      <c r="H170" s="22">
        <v>5</v>
      </c>
      <c r="I170" s="22" t="s">
        <v>80</v>
      </c>
      <c r="J170" s="22" t="s">
        <v>2550</v>
      </c>
    </row>
    <row r="171" spans="1:10" x14ac:dyDescent="0.2">
      <c r="A171" s="21" t="s">
        <v>1693</v>
      </c>
      <c r="B171" s="21" t="s">
        <v>1405</v>
      </c>
      <c r="C171" s="21" t="s">
        <v>1446</v>
      </c>
      <c r="D171" s="21" t="s">
        <v>2702</v>
      </c>
      <c r="E171" s="21" t="s">
        <v>1444</v>
      </c>
      <c r="F171" s="22" t="s">
        <v>2549</v>
      </c>
      <c r="G171" s="22">
        <v>424</v>
      </c>
      <c r="H171" s="22">
        <v>5</v>
      </c>
      <c r="I171" s="22" t="s">
        <v>81</v>
      </c>
      <c r="J171" s="22" t="s">
        <v>2550</v>
      </c>
    </row>
    <row r="172" spans="1:10" x14ac:dyDescent="0.2">
      <c r="A172" s="21" t="s">
        <v>1695</v>
      </c>
      <c r="B172" s="21" t="s">
        <v>1405</v>
      </c>
      <c r="C172" s="21" t="s">
        <v>1446</v>
      </c>
      <c r="D172" s="21" t="s">
        <v>2702</v>
      </c>
      <c r="E172" s="21" t="s">
        <v>1444</v>
      </c>
      <c r="F172" s="22" t="s">
        <v>2549</v>
      </c>
      <c r="G172" s="22">
        <v>425</v>
      </c>
      <c r="H172" s="22">
        <v>5</v>
      </c>
      <c r="I172" s="22" t="s">
        <v>82</v>
      </c>
      <c r="J172" s="22" t="s">
        <v>2550</v>
      </c>
    </row>
    <row r="173" spans="1:10" x14ac:dyDescent="0.2">
      <c r="A173" s="21" t="s">
        <v>1697</v>
      </c>
      <c r="B173" s="21" t="s">
        <v>1405</v>
      </c>
      <c r="C173" s="21" t="s">
        <v>1446</v>
      </c>
      <c r="D173" s="21" t="s">
        <v>2702</v>
      </c>
      <c r="E173" s="21" t="s">
        <v>1444</v>
      </c>
      <c r="F173" s="22" t="s">
        <v>2549</v>
      </c>
      <c r="G173" s="22">
        <v>426</v>
      </c>
      <c r="H173" s="22">
        <v>5</v>
      </c>
      <c r="I173" s="22" t="s">
        <v>83</v>
      </c>
      <c r="J173" s="22" t="s">
        <v>2550</v>
      </c>
    </row>
    <row r="174" spans="1:10" x14ac:dyDescent="0.2">
      <c r="A174" s="21" t="s">
        <v>1627</v>
      </c>
      <c r="B174" s="21" t="s">
        <v>1405</v>
      </c>
      <c r="C174" s="21" t="s">
        <v>1446</v>
      </c>
      <c r="D174" s="21" t="s">
        <v>2702</v>
      </c>
      <c r="E174" s="21" t="s">
        <v>1444</v>
      </c>
      <c r="F174" s="22" t="s">
        <v>2549</v>
      </c>
      <c r="G174" s="22">
        <v>427</v>
      </c>
      <c r="H174" s="22">
        <v>5</v>
      </c>
      <c r="I174" s="22" t="s">
        <v>1495</v>
      </c>
      <c r="J174" s="22" t="s">
        <v>2550</v>
      </c>
    </row>
    <row r="175" spans="1:10" x14ac:dyDescent="0.2">
      <c r="A175" s="21" t="s">
        <v>1629</v>
      </c>
      <c r="B175" s="21" t="s">
        <v>1405</v>
      </c>
      <c r="C175" s="21" t="s">
        <v>1446</v>
      </c>
      <c r="D175" s="21" t="s">
        <v>2702</v>
      </c>
      <c r="E175" s="21" t="s">
        <v>1444</v>
      </c>
      <c r="F175" s="22" t="s">
        <v>2549</v>
      </c>
      <c r="G175" s="22">
        <v>427</v>
      </c>
      <c r="H175" s="22">
        <v>5</v>
      </c>
      <c r="I175" s="22" t="s">
        <v>1496</v>
      </c>
      <c r="J175" s="22" t="s">
        <v>2550</v>
      </c>
    </row>
    <row r="176" spans="1:10" x14ac:dyDescent="0.2">
      <c r="A176" s="21" t="s">
        <v>1699</v>
      </c>
      <c r="B176" s="21" t="s">
        <v>1405</v>
      </c>
      <c r="C176" s="21" t="s">
        <v>1446</v>
      </c>
      <c r="D176" s="21" t="s">
        <v>2702</v>
      </c>
      <c r="E176" s="21" t="s">
        <v>1444</v>
      </c>
      <c r="F176" s="22" t="s">
        <v>2549</v>
      </c>
      <c r="G176" s="22">
        <v>428</v>
      </c>
      <c r="H176" s="22">
        <v>5</v>
      </c>
      <c r="I176" s="22" t="s">
        <v>85</v>
      </c>
      <c r="J176" s="22" t="s">
        <v>2550</v>
      </c>
    </row>
    <row r="177" spans="1:10" x14ac:dyDescent="0.2">
      <c r="A177" s="21" t="s">
        <v>1701</v>
      </c>
      <c r="B177" s="21" t="s">
        <v>1405</v>
      </c>
      <c r="C177" s="21" t="s">
        <v>1446</v>
      </c>
      <c r="D177" s="21" t="s">
        <v>2702</v>
      </c>
      <c r="E177" s="21" t="s">
        <v>1444</v>
      </c>
      <c r="F177" s="22" t="s">
        <v>2549</v>
      </c>
      <c r="G177" s="22">
        <v>429</v>
      </c>
      <c r="H177" s="22">
        <v>5</v>
      </c>
      <c r="I177" s="22" t="s">
        <v>86</v>
      </c>
      <c r="J177" s="22" t="s">
        <v>2550</v>
      </c>
    </row>
    <row r="178" spans="1:10" x14ac:dyDescent="0.2">
      <c r="A178" s="21" t="s">
        <v>1703</v>
      </c>
      <c r="B178" s="21" t="s">
        <v>1405</v>
      </c>
      <c r="C178" s="21" t="s">
        <v>1446</v>
      </c>
      <c r="D178" s="21" t="s">
        <v>2702</v>
      </c>
      <c r="E178" s="21" t="s">
        <v>1444</v>
      </c>
      <c r="F178" s="22" t="s">
        <v>2549</v>
      </c>
      <c r="G178" s="22">
        <v>430</v>
      </c>
      <c r="H178" s="22">
        <v>5</v>
      </c>
      <c r="I178" s="22" t="s">
        <v>87</v>
      </c>
      <c r="J178" s="22" t="s">
        <v>2550</v>
      </c>
    </row>
    <row r="179" spans="1:10" x14ac:dyDescent="0.2">
      <c r="A179" s="21" t="s">
        <v>1705</v>
      </c>
      <c r="B179" s="21" t="s">
        <v>1405</v>
      </c>
      <c r="C179" s="21" t="s">
        <v>1446</v>
      </c>
      <c r="D179" s="21" t="s">
        <v>2702</v>
      </c>
      <c r="E179" s="21" t="s">
        <v>1444</v>
      </c>
      <c r="F179" s="22" t="s">
        <v>2549</v>
      </c>
      <c r="G179" s="22">
        <v>431</v>
      </c>
      <c r="H179" s="22">
        <v>5</v>
      </c>
      <c r="I179" s="22" t="s">
        <v>88</v>
      </c>
      <c r="J179" s="22" t="s">
        <v>2550</v>
      </c>
    </row>
    <row r="180" spans="1:10" x14ac:dyDescent="0.2">
      <c r="A180" s="21" t="s">
        <v>1707</v>
      </c>
      <c r="B180" s="21" t="s">
        <v>1405</v>
      </c>
      <c r="C180" s="21" t="s">
        <v>1446</v>
      </c>
      <c r="D180" s="21" t="s">
        <v>2702</v>
      </c>
      <c r="E180" s="21" t="s">
        <v>1444</v>
      </c>
      <c r="F180" s="22" t="s">
        <v>2549</v>
      </c>
      <c r="G180" s="22">
        <v>432</v>
      </c>
      <c r="H180" s="22">
        <v>5</v>
      </c>
      <c r="I180" s="22" t="s">
        <v>89</v>
      </c>
      <c r="J180" s="22" t="s">
        <v>2550</v>
      </c>
    </row>
    <row r="181" spans="1:10" x14ac:dyDescent="0.2">
      <c r="A181" s="21" t="s">
        <v>1721</v>
      </c>
      <c r="B181" s="21" t="s">
        <v>1405</v>
      </c>
      <c r="C181" s="21" t="s">
        <v>1446</v>
      </c>
      <c r="D181" s="21" t="s">
        <v>2702</v>
      </c>
      <c r="E181" s="21" t="s">
        <v>1444</v>
      </c>
      <c r="F181" s="22" t="s">
        <v>2549</v>
      </c>
      <c r="G181" s="22">
        <v>445</v>
      </c>
      <c r="H181" s="22">
        <v>5</v>
      </c>
      <c r="I181" s="22" t="s">
        <v>103</v>
      </c>
      <c r="J181" s="22" t="s">
        <v>2617</v>
      </c>
    </row>
    <row r="182" spans="1:10" x14ac:dyDescent="0.2">
      <c r="A182" s="21" t="s">
        <v>1723</v>
      </c>
      <c r="B182" s="21" t="s">
        <v>1405</v>
      </c>
      <c r="C182" s="21" t="s">
        <v>1446</v>
      </c>
      <c r="D182" s="21" t="s">
        <v>2702</v>
      </c>
      <c r="E182" s="21" t="s">
        <v>1444</v>
      </c>
      <c r="F182" s="22" t="s">
        <v>2549</v>
      </c>
      <c r="G182" s="22">
        <v>446</v>
      </c>
      <c r="H182" s="22">
        <v>5</v>
      </c>
      <c r="I182" s="22" t="s">
        <v>105</v>
      </c>
      <c r="J182" s="22" t="s">
        <v>2617</v>
      </c>
    </row>
    <row r="183" spans="1:10" x14ac:dyDescent="0.2">
      <c r="A183" s="21" t="s">
        <v>1725</v>
      </c>
      <c r="B183" s="21" t="s">
        <v>1405</v>
      </c>
      <c r="C183" s="21" t="s">
        <v>1446</v>
      </c>
      <c r="D183" s="21" t="s">
        <v>2702</v>
      </c>
      <c r="E183" s="21" t="s">
        <v>1444</v>
      </c>
      <c r="F183" s="22" t="s">
        <v>2549</v>
      </c>
      <c r="G183" s="22">
        <v>447</v>
      </c>
      <c r="H183" s="22">
        <v>5</v>
      </c>
      <c r="I183" s="22" t="s">
        <v>106</v>
      </c>
      <c r="J183" s="22" t="s">
        <v>2617</v>
      </c>
    </row>
    <row r="184" spans="1:10" x14ac:dyDescent="0.2">
      <c r="A184" s="21" t="s">
        <v>1727</v>
      </c>
      <c r="B184" s="21" t="s">
        <v>1405</v>
      </c>
      <c r="C184" s="21" t="s">
        <v>1446</v>
      </c>
      <c r="D184" s="21" t="s">
        <v>2702</v>
      </c>
      <c r="E184" s="21" t="s">
        <v>1444</v>
      </c>
      <c r="F184" s="22" t="s">
        <v>2549</v>
      </c>
      <c r="G184" s="22">
        <v>448</v>
      </c>
      <c r="H184" s="22">
        <v>5</v>
      </c>
      <c r="I184" s="22" t="s">
        <v>107</v>
      </c>
      <c r="J184" s="22" t="s">
        <v>2617</v>
      </c>
    </row>
    <row r="185" spans="1:10" x14ac:dyDescent="0.2">
      <c r="A185" s="21" t="s">
        <v>1729</v>
      </c>
      <c r="B185" s="21" t="s">
        <v>1405</v>
      </c>
      <c r="C185" s="21" t="s">
        <v>1446</v>
      </c>
      <c r="D185" s="21" t="s">
        <v>2702</v>
      </c>
      <c r="E185" s="21" t="s">
        <v>1444</v>
      </c>
      <c r="F185" s="22" t="s">
        <v>2549</v>
      </c>
      <c r="G185" s="22">
        <v>449</v>
      </c>
      <c r="H185" s="22">
        <v>5</v>
      </c>
      <c r="I185" s="22" t="s">
        <v>108</v>
      </c>
      <c r="J185" s="22" t="s">
        <v>2617</v>
      </c>
    </row>
    <row r="186" spans="1:10" x14ac:dyDescent="0.2">
      <c r="A186" s="21" t="s">
        <v>1731</v>
      </c>
      <c r="B186" s="21" t="s">
        <v>1405</v>
      </c>
      <c r="C186" s="21" t="s">
        <v>1446</v>
      </c>
      <c r="D186" s="21" t="s">
        <v>2702</v>
      </c>
      <c r="E186" s="21" t="s">
        <v>1444</v>
      </c>
      <c r="F186" s="22" t="s">
        <v>2549</v>
      </c>
      <c r="G186" s="22">
        <v>450</v>
      </c>
      <c r="H186" s="22">
        <v>5</v>
      </c>
      <c r="I186" s="22" t="s">
        <v>109</v>
      </c>
      <c r="J186" s="22" t="s">
        <v>2617</v>
      </c>
    </row>
    <row r="187" spans="1:10" x14ac:dyDescent="0.2">
      <c r="A187" s="21" t="s">
        <v>1733</v>
      </c>
      <c r="B187" s="21" t="s">
        <v>1405</v>
      </c>
      <c r="C187" s="21" t="s">
        <v>1446</v>
      </c>
      <c r="D187" s="21" t="s">
        <v>2702</v>
      </c>
      <c r="E187" s="21" t="s">
        <v>1444</v>
      </c>
      <c r="F187" s="22" t="s">
        <v>2549</v>
      </c>
      <c r="G187" s="22">
        <v>451</v>
      </c>
      <c r="H187" s="22">
        <v>5</v>
      </c>
      <c r="I187" s="22" t="s">
        <v>110</v>
      </c>
      <c r="J187" s="22" t="s">
        <v>2617</v>
      </c>
    </row>
    <row r="188" spans="1:10" x14ac:dyDescent="0.2">
      <c r="A188" s="21" t="s">
        <v>1735</v>
      </c>
      <c r="B188" s="21" t="s">
        <v>1405</v>
      </c>
      <c r="C188" s="21" t="s">
        <v>1446</v>
      </c>
      <c r="D188" s="21" t="s">
        <v>2702</v>
      </c>
      <c r="E188" s="21" t="s">
        <v>1444</v>
      </c>
      <c r="F188" s="22" t="s">
        <v>2549</v>
      </c>
      <c r="G188" s="22">
        <v>452</v>
      </c>
      <c r="H188" s="22">
        <v>5</v>
      </c>
      <c r="I188" s="22" t="s">
        <v>111</v>
      </c>
      <c r="J188" s="22" t="s">
        <v>2617</v>
      </c>
    </row>
    <row r="189" spans="1:10" x14ac:dyDescent="0.2">
      <c r="A189" s="21" t="s">
        <v>1737</v>
      </c>
      <c r="B189" s="21" t="s">
        <v>1405</v>
      </c>
      <c r="C189" s="21" t="s">
        <v>1446</v>
      </c>
      <c r="D189" s="21" t="s">
        <v>2702</v>
      </c>
      <c r="E189" s="21" t="s">
        <v>1444</v>
      </c>
      <c r="F189" s="22" t="s">
        <v>2549</v>
      </c>
      <c r="G189" s="22">
        <v>453</v>
      </c>
      <c r="H189" s="22">
        <v>5</v>
      </c>
      <c r="I189" s="22" t="s">
        <v>112</v>
      </c>
      <c r="J189" s="22" t="s">
        <v>2617</v>
      </c>
    </row>
    <row r="190" spans="1:10" x14ac:dyDescent="0.2">
      <c r="A190" s="21" t="s">
        <v>1739</v>
      </c>
      <c r="B190" s="21" t="s">
        <v>1405</v>
      </c>
      <c r="C190" s="21" t="s">
        <v>1446</v>
      </c>
      <c r="D190" s="21" t="s">
        <v>2702</v>
      </c>
      <c r="E190" s="21" t="s">
        <v>1444</v>
      </c>
      <c r="F190" s="22" t="s">
        <v>2549</v>
      </c>
      <c r="G190" s="22">
        <v>454</v>
      </c>
      <c r="H190" s="22">
        <v>5</v>
      </c>
      <c r="I190" s="22" t="s">
        <v>113</v>
      </c>
      <c r="J190" s="22" t="s">
        <v>2617</v>
      </c>
    </row>
    <row r="191" spans="1:10" x14ac:dyDescent="0.2">
      <c r="A191" s="21" t="s">
        <v>1741</v>
      </c>
      <c r="B191" s="21" t="s">
        <v>1405</v>
      </c>
      <c r="C191" s="21" t="s">
        <v>1446</v>
      </c>
      <c r="D191" s="21" t="s">
        <v>2702</v>
      </c>
      <c r="E191" s="21" t="s">
        <v>1444</v>
      </c>
      <c r="F191" s="22" t="s">
        <v>2549</v>
      </c>
      <c r="G191" s="22">
        <v>455</v>
      </c>
      <c r="H191" s="22">
        <v>5</v>
      </c>
      <c r="I191" s="22" t="s">
        <v>114</v>
      </c>
      <c r="J191" s="22" t="s">
        <v>2617</v>
      </c>
    </row>
    <row r="192" spans="1:10" x14ac:dyDescent="0.2">
      <c r="A192" s="21" t="s">
        <v>1743</v>
      </c>
      <c r="B192" s="21" t="s">
        <v>1405</v>
      </c>
      <c r="C192" s="21" t="s">
        <v>1446</v>
      </c>
      <c r="D192" s="21" t="s">
        <v>2702</v>
      </c>
      <c r="E192" s="21" t="s">
        <v>1444</v>
      </c>
      <c r="F192" s="22" t="s">
        <v>2549</v>
      </c>
      <c r="G192" s="22">
        <v>456</v>
      </c>
      <c r="H192" s="22">
        <v>5</v>
      </c>
      <c r="I192" s="22" t="s">
        <v>115</v>
      </c>
      <c r="J192" s="22" t="s">
        <v>2617</v>
      </c>
    </row>
    <row r="193" spans="1:10" x14ac:dyDescent="0.2">
      <c r="A193" s="21" t="s">
        <v>1745</v>
      </c>
      <c r="B193" s="21" t="s">
        <v>1405</v>
      </c>
      <c r="C193" s="21" t="s">
        <v>1446</v>
      </c>
      <c r="D193" s="21" t="s">
        <v>2702</v>
      </c>
      <c r="E193" s="21" t="s">
        <v>1444</v>
      </c>
      <c r="F193" s="22" t="s">
        <v>2549</v>
      </c>
      <c r="G193" s="22">
        <v>457</v>
      </c>
      <c r="H193" s="22">
        <v>5</v>
      </c>
      <c r="I193" s="22" t="s">
        <v>116</v>
      </c>
      <c r="J193" s="22" t="s">
        <v>2617</v>
      </c>
    </row>
    <row r="194" spans="1:10" x14ac:dyDescent="0.2">
      <c r="A194" s="21" t="s">
        <v>1747</v>
      </c>
      <c r="B194" s="21" t="s">
        <v>1405</v>
      </c>
      <c r="C194" s="21" t="s">
        <v>1446</v>
      </c>
      <c r="D194" s="21" t="s">
        <v>2702</v>
      </c>
      <c r="E194" s="21" t="s">
        <v>1444</v>
      </c>
      <c r="F194" s="22" t="s">
        <v>2549</v>
      </c>
      <c r="G194" s="22">
        <v>458</v>
      </c>
      <c r="H194" s="22">
        <v>5</v>
      </c>
      <c r="I194" s="22" t="s">
        <v>118</v>
      </c>
      <c r="J194" s="22" t="s">
        <v>2617</v>
      </c>
    </row>
    <row r="195" spans="1:10" x14ac:dyDescent="0.2">
      <c r="A195" s="21" t="s">
        <v>1749</v>
      </c>
      <c r="B195" s="21" t="s">
        <v>1405</v>
      </c>
      <c r="C195" s="21" t="s">
        <v>1446</v>
      </c>
      <c r="D195" s="21" t="s">
        <v>2702</v>
      </c>
      <c r="E195" s="21" t="s">
        <v>1444</v>
      </c>
      <c r="F195" s="22" t="s">
        <v>2549</v>
      </c>
      <c r="G195" s="22">
        <v>459</v>
      </c>
      <c r="H195" s="22">
        <v>5</v>
      </c>
      <c r="I195" s="22" t="s">
        <v>119</v>
      </c>
      <c r="J195" s="22" t="s">
        <v>2617</v>
      </c>
    </row>
    <row r="196" spans="1:10" x14ac:dyDescent="0.2">
      <c r="A196" s="21" t="s">
        <v>1751</v>
      </c>
      <c r="B196" s="21" t="s">
        <v>1405</v>
      </c>
      <c r="C196" s="21" t="s">
        <v>1446</v>
      </c>
      <c r="D196" s="21" t="s">
        <v>2702</v>
      </c>
      <c r="E196" s="21" t="s">
        <v>1444</v>
      </c>
      <c r="F196" s="22" t="s">
        <v>2549</v>
      </c>
      <c r="G196" s="22">
        <v>460</v>
      </c>
      <c r="H196" s="22">
        <v>5</v>
      </c>
      <c r="I196" s="22" t="s">
        <v>120</v>
      </c>
      <c r="J196" s="22" t="s">
        <v>2617</v>
      </c>
    </row>
    <row r="197" spans="1:10" x14ac:dyDescent="0.2">
      <c r="A197" s="21" t="s">
        <v>1753</v>
      </c>
      <c r="B197" s="21" t="s">
        <v>1405</v>
      </c>
      <c r="C197" s="21" t="s">
        <v>1446</v>
      </c>
      <c r="D197" s="21" t="s">
        <v>2702</v>
      </c>
      <c r="E197" s="21" t="s">
        <v>1444</v>
      </c>
      <c r="F197" s="22" t="s">
        <v>2549</v>
      </c>
      <c r="G197" s="22">
        <v>461</v>
      </c>
      <c r="H197" s="22">
        <v>5</v>
      </c>
      <c r="I197" s="22" t="s">
        <v>121</v>
      </c>
      <c r="J197" s="22" t="s">
        <v>2617</v>
      </c>
    </row>
    <row r="198" spans="1:10" x14ac:dyDescent="0.2">
      <c r="A198" s="21" t="s">
        <v>1755</v>
      </c>
      <c r="B198" s="21" t="s">
        <v>1405</v>
      </c>
      <c r="C198" s="21" t="s">
        <v>1446</v>
      </c>
      <c r="D198" s="21" t="s">
        <v>2702</v>
      </c>
      <c r="E198" s="21" t="s">
        <v>1444</v>
      </c>
      <c r="F198" s="22" t="s">
        <v>2549</v>
      </c>
      <c r="G198" s="22">
        <v>462</v>
      </c>
      <c r="H198" s="22">
        <v>5</v>
      </c>
      <c r="I198" s="22" t="s">
        <v>122</v>
      </c>
      <c r="J198" s="22" t="s">
        <v>2617</v>
      </c>
    </row>
    <row r="199" spans="1:10" x14ac:dyDescent="0.2">
      <c r="A199" s="21" t="s">
        <v>1757</v>
      </c>
      <c r="B199" s="21" t="s">
        <v>1405</v>
      </c>
      <c r="C199" s="21" t="s">
        <v>1446</v>
      </c>
      <c r="D199" s="21" t="s">
        <v>2702</v>
      </c>
      <c r="E199" s="21" t="s">
        <v>1444</v>
      </c>
      <c r="F199" s="22" t="s">
        <v>2549</v>
      </c>
      <c r="G199" s="22">
        <v>463</v>
      </c>
      <c r="H199" s="22">
        <v>5</v>
      </c>
      <c r="I199" s="22" t="s">
        <v>123</v>
      </c>
      <c r="J199" s="22" t="s">
        <v>2617</v>
      </c>
    </row>
    <row r="200" spans="1:10" x14ac:dyDescent="0.2">
      <c r="A200" s="21" t="s">
        <v>1759</v>
      </c>
      <c r="B200" s="21" t="s">
        <v>1405</v>
      </c>
      <c r="C200" s="21" t="s">
        <v>1446</v>
      </c>
      <c r="D200" s="21" t="s">
        <v>2702</v>
      </c>
      <c r="E200" s="21" t="s">
        <v>1444</v>
      </c>
      <c r="F200" s="22" t="s">
        <v>2549</v>
      </c>
      <c r="G200" s="22">
        <v>464</v>
      </c>
      <c r="H200" s="22">
        <v>5</v>
      </c>
      <c r="I200" s="22" t="s">
        <v>124</v>
      </c>
      <c r="J200" s="22" t="s">
        <v>2617</v>
      </c>
    </row>
    <row r="201" spans="1:10" x14ac:dyDescent="0.2">
      <c r="A201" s="21" t="s">
        <v>1761</v>
      </c>
      <c r="B201" s="21" t="s">
        <v>1405</v>
      </c>
      <c r="C201" s="21" t="s">
        <v>1446</v>
      </c>
      <c r="D201" s="21" t="s">
        <v>2702</v>
      </c>
      <c r="E201" s="21" t="s">
        <v>1444</v>
      </c>
      <c r="F201" s="22" t="s">
        <v>2549</v>
      </c>
      <c r="G201" s="22">
        <v>465</v>
      </c>
      <c r="H201" s="22">
        <v>5</v>
      </c>
      <c r="I201" s="22" t="s">
        <v>125</v>
      </c>
      <c r="J201" s="22" t="s">
        <v>2617</v>
      </c>
    </row>
    <row r="202" spans="1:10" x14ac:dyDescent="0.2">
      <c r="A202" s="21" t="s">
        <v>1763</v>
      </c>
      <c r="B202" s="21" t="s">
        <v>1405</v>
      </c>
      <c r="C202" s="21" t="s">
        <v>1446</v>
      </c>
      <c r="D202" s="21" t="s">
        <v>2702</v>
      </c>
      <c r="E202" s="21" t="s">
        <v>1444</v>
      </c>
      <c r="F202" s="22" t="s">
        <v>2549</v>
      </c>
      <c r="G202" s="22">
        <v>466</v>
      </c>
      <c r="H202" s="22">
        <v>5</v>
      </c>
      <c r="I202" s="22" t="s">
        <v>126</v>
      </c>
      <c r="J202" s="22" t="s">
        <v>2617</v>
      </c>
    </row>
    <row r="203" spans="1:10" x14ac:dyDescent="0.2">
      <c r="A203" s="21" t="s">
        <v>1765</v>
      </c>
      <c r="B203" s="21" t="s">
        <v>1405</v>
      </c>
      <c r="C203" s="21" t="s">
        <v>1446</v>
      </c>
      <c r="D203" s="21" t="s">
        <v>2702</v>
      </c>
      <c r="E203" s="21" t="s">
        <v>1444</v>
      </c>
      <c r="F203" s="22" t="s">
        <v>2549</v>
      </c>
      <c r="G203" s="22">
        <v>467</v>
      </c>
      <c r="H203" s="22">
        <v>5</v>
      </c>
      <c r="I203" s="22" t="s">
        <v>127</v>
      </c>
      <c r="J203" s="22" t="s">
        <v>2617</v>
      </c>
    </row>
    <row r="204" spans="1:10" x14ac:dyDescent="0.2">
      <c r="A204" s="21" t="s">
        <v>1767</v>
      </c>
      <c r="B204" s="21" t="s">
        <v>1405</v>
      </c>
      <c r="C204" s="21" t="s">
        <v>1446</v>
      </c>
      <c r="D204" s="21" t="s">
        <v>2702</v>
      </c>
      <c r="E204" s="21" t="s">
        <v>1444</v>
      </c>
      <c r="F204" s="22" t="s">
        <v>2549</v>
      </c>
      <c r="G204" s="22">
        <v>468</v>
      </c>
      <c r="H204" s="22">
        <v>5</v>
      </c>
      <c r="I204" s="22" t="s">
        <v>128</v>
      </c>
      <c r="J204" s="22" t="s">
        <v>2617</v>
      </c>
    </row>
    <row r="205" spans="1:10" x14ac:dyDescent="0.2">
      <c r="A205" s="21" t="s">
        <v>1768</v>
      </c>
      <c r="B205" s="21" t="s">
        <v>1405</v>
      </c>
      <c r="C205" s="21" t="s">
        <v>1446</v>
      </c>
      <c r="D205" s="21" t="s">
        <v>2702</v>
      </c>
      <c r="E205" s="21" t="s">
        <v>1444</v>
      </c>
      <c r="F205" s="22" t="s">
        <v>2549</v>
      </c>
      <c r="G205" s="22">
        <v>469</v>
      </c>
      <c r="H205" s="22">
        <v>5</v>
      </c>
      <c r="I205" s="22" t="s">
        <v>129</v>
      </c>
      <c r="J205" s="22" t="s">
        <v>2617</v>
      </c>
    </row>
    <row r="206" spans="1:10" x14ac:dyDescent="0.2">
      <c r="A206" s="21" t="s">
        <v>1769</v>
      </c>
      <c r="B206" s="21" t="s">
        <v>1405</v>
      </c>
      <c r="C206" s="21" t="s">
        <v>1446</v>
      </c>
      <c r="D206" s="21" t="s">
        <v>2702</v>
      </c>
      <c r="E206" s="21" t="s">
        <v>1444</v>
      </c>
      <c r="F206" s="22" t="s">
        <v>2549</v>
      </c>
      <c r="G206" s="22">
        <v>470</v>
      </c>
      <c r="H206" s="22">
        <v>5</v>
      </c>
      <c r="I206" s="22" t="s">
        <v>131</v>
      </c>
      <c r="J206" s="22" t="s">
        <v>2617</v>
      </c>
    </row>
    <row r="207" spans="1:10" x14ac:dyDescent="0.2">
      <c r="A207" s="21" t="s">
        <v>1770</v>
      </c>
      <c r="B207" s="21" t="s">
        <v>1405</v>
      </c>
      <c r="C207" s="21" t="s">
        <v>1446</v>
      </c>
      <c r="D207" s="21" t="s">
        <v>2702</v>
      </c>
      <c r="E207" s="21" t="s">
        <v>1444</v>
      </c>
      <c r="F207" s="22" t="s">
        <v>2549</v>
      </c>
      <c r="G207" s="22">
        <v>471</v>
      </c>
      <c r="H207" s="22">
        <v>5</v>
      </c>
      <c r="I207" s="22" t="s">
        <v>132</v>
      </c>
      <c r="J207" s="22" t="s">
        <v>2617</v>
      </c>
    </row>
    <row r="208" spans="1:10" x14ac:dyDescent="0.2">
      <c r="A208" s="21" t="s">
        <v>1771</v>
      </c>
      <c r="B208" s="21" t="s">
        <v>1405</v>
      </c>
      <c r="C208" s="21" t="s">
        <v>1446</v>
      </c>
      <c r="D208" s="21" t="s">
        <v>2702</v>
      </c>
      <c r="E208" s="21" t="s">
        <v>1444</v>
      </c>
      <c r="F208" s="22" t="s">
        <v>2549</v>
      </c>
      <c r="G208" s="22">
        <v>472</v>
      </c>
      <c r="H208" s="22">
        <v>5</v>
      </c>
      <c r="I208" s="22" t="s">
        <v>133</v>
      </c>
      <c r="J208" s="22" t="s">
        <v>2617</v>
      </c>
    </row>
    <row r="209" spans="1:10" x14ac:dyDescent="0.2">
      <c r="A209" s="21" t="s">
        <v>1772</v>
      </c>
      <c r="B209" s="21" t="s">
        <v>1405</v>
      </c>
      <c r="C209" s="21" t="s">
        <v>1446</v>
      </c>
      <c r="D209" s="21" t="s">
        <v>2702</v>
      </c>
      <c r="E209" s="21" t="s">
        <v>1444</v>
      </c>
      <c r="F209" s="22" t="s">
        <v>2549</v>
      </c>
      <c r="G209" s="22">
        <v>473</v>
      </c>
      <c r="H209" s="22">
        <v>5</v>
      </c>
      <c r="I209" s="22" t="s">
        <v>134</v>
      </c>
      <c r="J209" s="22" t="s">
        <v>2617</v>
      </c>
    </row>
    <row r="210" spans="1:10" x14ac:dyDescent="0.2">
      <c r="A210" s="21" t="s">
        <v>1773</v>
      </c>
      <c r="B210" s="21" t="s">
        <v>1405</v>
      </c>
      <c r="C210" s="21" t="s">
        <v>1446</v>
      </c>
      <c r="D210" s="21" t="s">
        <v>2702</v>
      </c>
      <c r="E210" s="21" t="s">
        <v>1444</v>
      </c>
      <c r="F210" s="22" t="s">
        <v>2549</v>
      </c>
      <c r="G210" s="22">
        <v>474</v>
      </c>
      <c r="H210" s="22">
        <v>5</v>
      </c>
      <c r="I210" s="22" t="s">
        <v>135</v>
      </c>
      <c r="J210" s="22" t="s">
        <v>2617</v>
      </c>
    </row>
    <row r="211" spans="1:10" x14ac:dyDescent="0.2">
      <c r="A211" s="21" t="s">
        <v>1774</v>
      </c>
      <c r="B211" s="21" t="s">
        <v>1405</v>
      </c>
      <c r="C211" s="21" t="s">
        <v>1446</v>
      </c>
      <c r="D211" s="21" t="s">
        <v>2702</v>
      </c>
      <c r="E211" s="21" t="s">
        <v>1444</v>
      </c>
      <c r="F211" s="22" t="s">
        <v>2549</v>
      </c>
      <c r="G211" s="22">
        <v>475</v>
      </c>
      <c r="H211" s="22">
        <v>5</v>
      </c>
      <c r="I211" s="22" t="s">
        <v>136</v>
      </c>
      <c r="J211" s="22" t="s">
        <v>2617</v>
      </c>
    </row>
    <row r="212" spans="1:10" x14ac:dyDescent="0.2">
      <c r="A212" s="21" t="s">
        <v>1632</v>
      </c>
      <c r="B212" s="21" t="s">
        <v>1405</v>
      </c>
      <c r="C212" s="21" t="s">
        <v>1446</v>
      </c>
      <c r="D212" s="21" t="s">
        <v>2702</v>
      </c>
      <c r="E212" s="21" t="s">
        <v>1444</v>
      </c>
      <c r="F212" s="22" t="s">
        <v>2549</v>
      </c>
      <c r="G212" s="22">
        <v>481</v>
      </c>
      <c r="H212" s="22">
        <v>6</v>
      </c>
      <c r="I212" s="22" t="s">
        <v>22</v>
      </c>
      <c r="J212" s="22" t="s">
        <v>2553</v>
      </c>
    </row>
    <row r="213" spans="1:10" x14ac:dyDescent="0.2">
      <c r="A213" s="21" t="s">
        <v>1634</v>
      </c>
      <c r="B213" s="21" t="s">
        <v>1405</v>
      </c>
      <c r="C213" s="21" t="s">
        <v>1446</v>
      </c>
      <c r="D213" s="21" t="s">
        <v>2702</v>
      </c>
      <c r="E213" s="21" t="s">
        <v>1444</v>
      </c>
      <c r="F213" s="22" t="s">
        <v>2549</v>
      </c>
      <c r="G213" s="22">
        <v>482</v>
      </c>
      <c r="H213" s="22">
        <v>6</v>
      </c>
      <c r="I213" s="22" t="s">
        <v>30</v>
      </c>
      <c r="J213" s="22" t="s">
        <v>2553</v>
      </c>
    </row>
    <row r="214" spans="1:10" x14ac:dyDescent="0.2">
      <c r="A214" s="21" t="s">
        <v>1636</v>
      </c>
      <c r="B214" s="21" t="s">
        <v>1405</v>
      </c>
      <c r="C214" s="21" t="s">
        <v>1446</v>
      </c>
      <c r="D214" s="21" t="s">
        <v>2702</v>
      </c>
      <c r="E214" s="21" t="s">
        <v>1444</v>
      </c>
      <c r="F214" s="22" t="s">
        <v>2549</v>
      </c>
      <c r="G214" s="22">
        <v>483</v>
      </c>
      <c r="H214" s="22">
        <v>6</v>
      </c>
      <c r="I214" s="22" t="s">
        <v>32</v>
      </c>
      <c r="J214" s="22" t="s">
        <v>2553</v>
      </c>
    </row>
    <row r="215" spans="1:10" x14ac:dyDescent="0.2">
      <c r="A215" s="21" t="s">
        <v>1638</v>
      </c>
      <c r="B215" s="21" t="s">
        <v>1405</v>
      </c>
      <c r="C215" s="21" t="s">
        <v>1446</v>
      </c>
      <c r="D215" s="21" t="s">
        <v>2702</v>
      </c>
      <c r="E215" s="21" t="s">
        <v>1444</v>
      </c>
      <c r="F215" s="22" t="s">
        <v>2549</v>
      </c>
      <c r="G215" s="22">
        <v>484</v>
      </c>
      <c r="H215" s="22">
        <v>6</v>
      </c>
      <c r="I215" s="22" t="s">
        <v>34</v>
      </c>
      <c r="J215" s="22" t="s">
        <v>2553</v>
      </c>
    </row>
    <row r="216" spans="1:10" x14ac:dyDescent="0.2">
      <c r="A216" s="21" t="s">
        <v>1640</v>
      </c>
      <c r="B216" s="21" t="s">
        <v>1405</v>
      </c>
      <c r="C216" s="21" t="s">
        <v>1446</v>
      </c>
      <c r="D216" s="21" t="s">
        <v>2702</v>
      </c>
      <c r="E216" s="21" t="s">
        <v>1444</v>
      </c>
      <c r="F216" s="22" t="s">
        <v>2549</v>
      </c>
      <c r="G216" s="22">
        <v>485</v>
      </c>
      <c r="H216" s="22">
        <v>6</v>
      </c>
      <c r="I216" s="22" t="s">
        <v>36</v>
      </c>
      <c r="J216" s="22" t="s">
        <v>2553</v>
      </c>
    </row>
    <row r="217" spans="1:10" x14ac:dyDescent="0.2">
      <c r="A217" s="21" t="s">
        <v>1642</v>
      </c>
      <c r="B217" s="21" t="s">
        <v>1405</v>
      </c>
      <c r="C217" s="21" t="s">
        <v>1446</v>
      </c>
      <c r="D217" s="21" t="s">
        <v>2702</v>
      </c>
      <c r="E217" s="21" t="s">
        <v>1444</v>
      </c>
      <c r="F217" s="22" t="s">
        <v>2549</v>
      </c>
      <c r="G217" s="22">
        <v>486</v>
      </c>
      <c r="H217" s="22">
        <v>6</v>
      </c>
      <c r="I217" s="22" t="s">
        <v>38</v>
      </c>
      <c r="J217" s="22" t="s">
        <v>2553</v>
      </c>
    </row>
    <row r="218" spans="1:10" x14ac:dyDescent="0.2">
      <c r="A218" s="21" t="s">
        <v>1644</v>
      </c>
      <c r="B218" s="21" t="s">
        <v>1405</v>
      </c>
      <c r="C218" s="21" t="s">
        <v>1446</v>
      </c>
      <c r="D218" s="21" t="s">
        <v>2702</v>
      </c>
      <c r="E218" s="21" t="s">
        <v>1444</v>
      </c>
      <c r="F218" s="22" t="s">
        <v>2549</v>
      </c>
      <c r="G218" s="22">
        <v>487</v>
      </c>
      <c r="H218" s="22">
        <v>6</v>
      </c>
      <c r="I218" s="22" t="s">
        <v>40</v>
      </c>
      <c r="J218" s="22" t="s">
        <v>2553</v>
      </c>
    </row>
    <row r="219" spans="1:10" x14ac:dyDescent="0.2">
      <c r="A219" s="21" t="s">
        <v>1646</v>
      </c>
      <c r="B219" s="21" t="s">
        <v>1405</v>
      </c>
      <c r="C219" s="21" t="s">
        <v>1446</v>
      </c>
      <c r="D219" s="21" t="s">
        <v>2702</v>
      </c>
      <c r="E219" s="21" t="s">
        <v>1444</v>
      </c>
      <c r="F219" s="22" t="s">
        <v>2549</v>
      </c>
      <c r="G219" s="22">
        <v>488</v>
      </c>
      <c r="H219" s="22">
        <v>6</v>
      </c>
      <c r="I219" s="22" t="s">
        <v>42</v>
      </c>
      <c r="J219" s="22" t="s">
        <v>2553</v>
      </c>
    </row>
    <row r="220" spans="1:10" x14ac:dyDescent="0.2">
      <c r="A220" s="21" t="s">
        <v>1648</v>
      </c>
      <c r="B220" s="21" t="s">
        <v>1405</v>
      </c>
      <c r="C220" s="21" t="s">
        <v>1446</v>
      </c>
      <c r="D220" s="21" t="s">
        <v>2702</v>
      </c>
      <c r="E220" s="21" t="s">
        <v>1444</v>
      </c>
      <c r="F220" s="22" t="s">
        <v>2549</v>
      </c>
      <c r="G220" s="22">
        <v>489</v>
      </c>
      <c r="H220" s="22">
        <v>6</v>
      </c>
      <c r="I220" s="22" t="s">
        <v>44</v>
      </c>
      <c r="J220" s="22" t="s">
        <v>2553</v>
      </c>
    </row>
    <row r="221" spans="1:10" x14ac:dyDescent="0.2">
      <c r="A221" s="21" t="s">
        <v>1650</v>
      </c>
      <c r="B221" s="21" t="s">
        <v>1405</v>
      </c>
      <c r="C221" s="21" t="s">
        <v>1446</v>
      </c>
      <c r="D221" s="21" t="s">
        <v>2702</v>
      </c>
      <c r="E221" s="21" t="s">
        <v>1444</v>
      </c>
      <c r="F221" s="22" t="s">
        <v>2549</v>
      </c>
      <c r="G221" s="22">
        <v>490</v>
      </c>
      <c r="H221" s="22">
        <v>6</v>
      </c>
      <c r="I221" s="22" t="s">
        <v>46</v>
      </c>
      <c r="J221" s="22" t="s">
        <v>2553</v>
      </c>
    </row>
    <row r="222" spans="1:10" x14ac:dyDescent="0.2">
      <c r="A222" s="21" t="s">
        <v>1652</v>
      </c>
      <c r="B222" s="21" t="s">
        <v>1405</v>
      </c>
      <c r="C222" s="21" t="s">
        <v>1446</v>
      </c>
      <c r="D222" s="21" t="s">
        <v>2702</v>
      </c>
      <c r="E222" s="21" t="s">
        <v>1444</v>
      </c>
      <c r="F222" s="22" t="s">
        <v>2549</v>
      </c>
      <c r="G222" s="22">
        <v>491</v>
      </c>
      <c r="H222" s="22">
        <v>6</v>
      </c>
      <c r="I222" s="22" t="s">
        <v>48</v>
      </c>
      <c r="J222" s="22" t="s">
        <v>2553</v>
      </c>
    </row>
    <row r="223" spans="1:10" x14ac:dyDescent="0.2">
      <c r="A223" s="21" t="s">
        <v>1654</v>
      </c>
      <c r="B223" s="21" t="s">
        <v>1405</v>
      </c>
      <c r="C223" s="21" t="s">
        <v>1446</v>
      </c>
      <c r="D223" s="21" t="s">
        <v>2702</v>
      </c>
      <c r="E223" s="21" t="s">
        <v>1444</v>
      </c>
      <c r="F223" s="22" t="s">
        <v>2549</v>
      </c>
      <c r="G223" s="22">
        <v>492</v>
      </c>
      <c r="H223" s="22">
        <v>6</v>
      </c>
      <c r="I223" s="22" t="s">
        <v>50</v>
      </c>
      <c r="J223" s="22" t="s">
        <v>2553</v>
      </c>
    </row>
    <row r="224" spans="1:10" x14ac:dyDescent="0.2">
      <c r="A224" s="21" t="s">
        <v>1656</v>
      </c>
      <c r="B224" s="21" t="s">
        <v>1405</v>
      </c>
      <c r="C224" s="21" t="s">
        <v>1446</v>
      </c>
      <c r="D224" s="21" t="s">
        <v>2702</v>
      </c>
      <c r="E224" s="21" t="s">
        <v>1444</v>
      </c>
      <c r="F224" s="22" t="s">
        <v>2549</v>
      </c>
      <c r="G224" s="22">
        <v>493</v>
      </c>
      <c r="H224" s="22">
        <v>6</v>
      </c>
      <c r="I224" s="22" t="s">
        <v>51</v>
      </c>
      <c r="J224" s="22" t="s">
        <v>2553</v>
      </c>
    </row>
    <row r="225" spans="1:10" x14ac:dyDescent="0.2">
      <c r="A225" s="21" t="s">
        <v>1658</v>
      </c>
      <c r="B225" s="21" t="s">
        <v>1405</v>
      </c>
      <c r="C225" s="21" t="s">
        <v>1446</v>
      </c>
      <c r="D225" s="21" t="s">
        <v>2702</v>
      </c>
      <c r="E225" s="21" t="s">
        <v>1444</v>
      </c>
      <c r="F225" s="22" t="s">
        <v>2549</v>
      </c>
      <c r="G225" s="22">
        <v>494</v>
      </c>
      <c r="H225" s="22">
        <v>6</v>
      </c>
      <c r="I225" s="22" t="s">
        <v>53</v>
      </c>
      <c r="J225" s="22" t="s">
        <v>2552</v>
      </c>
    </row>
    <row r="226" spans="1:10" x14ac:dyDescent="0.2">
      <c r="A226" s="21" t="s">
        <v>1660</v>
      </c>
      <c r="B226" s="21" t="s">
        <v>1405</v>
      </c>
      <c r="C226" s="21" t="s">
        <v>1446</v>
      </c>
      <c r="D226" s="21" t="s">
        <v>2702</v>
      </c>
      <c r="E226" s="21" t="s">
        <v>1444</v>
      </c>
      <c r="F226" s="22" t="s">
        <v>2549</v>
      </c>
      <c r="G226" s="22">
        <v>495</v>
      </c>
      <c r="H226" s="22">
        <v>6</v>
      </c>
      <c r="I226" s="22" t="s">
        <v>54</v>
      </c>
      <c r="J226" s="22" t="s">
        <v>2552</v>
      </c>
    </row>
    <row r="227" spans="1:10" x14ac:dyDescent="0.2">
      <c r="A227" s="21" t="s">
        <v>1662</v>
      </c>
      <c r="B227" s="21" t="s">
        <v>1405</v>
      </c>
      <c r="C227" s="21" t="s">
        <v>1446</v>
      </c>
      <c r="D227" s="21" t="s">
        <v>2702</v>
      </c>
      <c r="E227" s="21" t="s">
        <v>1444</v>
      </c>
      <c r="F227" s="22" t="s">
        <v>2549</v>
      </c>
      <c r="G227" s="22">
        <v>496</v>
      </c>
      <c r="H227" s="22">
        <v>6</v>
      </c>
      <c r="I227" s="22" t="s">
        <v>55</v>
      </c>
      <c r="J227" s="22" t="s">
        <v>2552</v>
      </c>
    </row>
    <row r="228" spans="1:10" x14ac:dyDescent="0.2">
      <c r="A228" s="21" t="s">
        <v>1664</v>
      </c>
      <c r="B228" s="21" t="s">
        <v>1405</v>
      </c>
      <c r="C228" s="21" t="s">
        <v>1446</v>
      </c>
      <c r="D228" s="21" t="s">
        <v>2702</v>
      </c>
      <c r="E228" s="21" t="s">
        <v>1444</v>
      </c>
      <c r="F228" s="22" t="s">
        <v>2549</v>
      </c>
      <c r="G228" s="22">
        <v>497</v>
      </c>
      <c r="H228" s="22">
        <v>6</v>
      </c>
      <c r="I228" s="22" t="s">
        <v>56</v>
      </c>
      <c r="J228" s="22" t="s">
        <v>2552</v>
      </c>
    </row>
    <row r="229" spans="1:10" x14ac:dyDescent="0.2">
      <c r="A229" s="21" t="s">
        <v>1666</v>
      </c>
      <c r="B229" s="21" t="s">
        <v>1405</v>
      </c>
      <c r="C229" s="21" t="s">
        <v>1446</v>
      </c>
      <c r="D229" s="21" t="s">
        <v>2702</v>
      </c>
      <c r="E229" s="21" t="s">
        <v>1444</v>
      </c>
      <c r="F229" s="22" t="s">
        <v>2549</v>
      </c>
      <c r="G229" s="22">
        <v>498</v>
      </c>
      <c r="H229" s="22">
        <v>6</v>
      </c>
      <c r="I229" s="22" t="s">
        <v>57</v>
      </c>
      <c r="J229" s="22" t="s">
        <v>2552</v>
      </c>
    </row>
    <row r="230" spans="1:10" x14ac:dyDescent="0.2">
      <c r="A230" s="21" t="s">
        <v>1668</v>
      </c>
      <c r="B230" s="21" t="s">
        <v>1405</v>
      </c>
      <c r="C230" s="21" t="s">
        <v>1446</v>
      </c>
      <c r="D230" s="21" t="s">
        <v>2702</v>
      </c>
      <c r="E230" s="21" t="s">
        <v>1444</v>
      </c>
      <c r="F230" s="22" t="s">
        <v>2549</v>
      </c>
      <c r="G230" s="22">
        <v>499</v>
      </c>
      <c r="H230" s="22">
        <v>6</v>
      </c>
      <c r="I230" s="22" t="s">
        <v>58</v>
      </c>
      <c r="J230" s="22" t="s">
        <v>2552</v>
      </c>
    </row>
    <row r="231" spans="1:10" x14ac:dyDescent="0.2">
      <c r="A231" s="21" t="s">
        <v>1670</v>
      </c>
      <c r="B231" s="21" t="s">
        <v>1405</v>
      </c>
      <c r="C231" s="21" t="s">
        <v>1446</v>
      </c>
      <c r="D231" s="21" t="s">
        <v>2702</v>
      </c>
      <c r="E231" s="21" t="s">
        <v>1444</v>
      </c>
      <c r="F231" s="22" t="s">
        <v>2549</v>
      </c>
      <c r="G231" s="22">
        <v>500</v>
      </c>
      <c r="H231" s="22">
        <v>6</v>
      </c>
      <c r="I231" s="22" t="s">
        <v>59</v>
      </c>
      <c r="J231" s="22" t="s">
        <v>2552</v>
      </c>
    </row>
    <row r="232" spans="1:10" x14ac:dyDescent="0.2">
      <c r="A232" s="21" t="s">
        <v>1671</v>
      </c>
      <c r="B232" s="21" t="s">
        <v>1405</v>
      </c>
      <c r="C232" s="21" t="s">
        <v>1446</v>
      </c>
      <c r="D232" s="21" t="s">
        <v>2702</v>
      </c>
      <c r="E232" s="21" t="s">
        <v>1444</v>
      </c>
      <c r="F232" s="22" t="s">
        <v>2549</v>
      </c>
      <c r="G232" s="22">
        <v>501</v>
      </c>
      <c r="H232" s="22">
        <v>6</v>
      </c>
      <c r="I232" s="22" t="s">
        <v>60</v>
      </c>
      <c r="J232" s="22" t="s">
        <v>2552</v>
      </c>
    </row>
    <row r="233" spans="1:10" x14ac:dyDescent="0.2">
      <c r="A233" s="21" t="s">
        <v>1672</v>
      </c>
      <c r="B233" s="21" t="s">
        <v>1405</v>
      </c>
      <c r="C233" s="21" t="s">
        <v>1446</v>
      </c>
      <c r="D233" s="21" t="s">
        <v>2702</v>
      </c>
      <c r="E233" s="21" t="s">
        <v>1444</v>
      </c>
      <c r="F233" s="22" t="s">
        <v>2549</v>
      </c>
      <c r="G233" s="22">
        <v>502</v>
      </c>
      <c r="H233" s="22">
        <v>6</v>
      </c>
      <c r="I233" s="22" t="s">
        <v>61</v>
      </c>
      <c r="J233" s="22" t="s">
        <v>2552</v>
      </c>
    </row>
    <row r="234" spans="1:10" x14ac:dyDescent="0.2">
      <c r="A234" s="21" t="s">
        <v>1673</v>
      </c>
      <c r="B234" s="21" t="s">
        <v>1405</v>
      </c>
      <c r="C234" s="21" t="s">
        <v>1446</v>
      </c>
      <c r="D234" s="21" t="s">
        <v>2702</v>
      </c>
      <c r="E234" s="21" t="s">
        <v>1444</v>
      </c>
      <c r="F234" s="22" t="s">
        <v>2549</v>
      </c>
      <c r="G234" s="22">
        <v>503</v>
      </c>
      <c r="H234" s="22">
        <v>6</v>
      </c>
      <c r="I234" s="22" t="s">
        <v>62</v>
      </c>
      <c r="J234" s="22" t="s">
        <v>2552</v>
      </c>
    </row>
    <row r="235" spans="1:10" x14ac:dyDescent="0.2">
      <c r="A235" s="21" t="s">
        <v>1674</v>
      </c>
      <c r="B235" s="21" t="s">
        <v>1405</v>
      </c>
      <c r="C235" s="21" t="s">
        <v>1446</v>
      </c>
      <c r="D235" s="21" t="s">
        <v>2702</v>
      </c>
      <c r="E235" s="21" t="s">
        <v>1444</v>
      </c>
      <c r="F235" s="22" t="s">
        <v>2549</v>
      </c>
      <c r="G235" s="22">
        <v>504</v>
      </c>
      <c r="H235" s="22">
        <v>6</v>
      </c>
      <c r="I235" s="22" t="s">
        <v>63</v>
      </c>
      <c r="J235" s="22" t="s">
        <v>2552</v>
      </c>
    </row>
    <row r="236" spans="1:10" x14ac:dyDescent="0.2">
      <c r="A236" s="21" t="s">
        <v>1675</v>
      </c>
      <c r="B236" s="21" t="s">
        <v>1405</v>
      </c>
      <c r="C236" s="21" t="s">
        <v>1446</v>
      </c>
      <c r="D236" s="21" t="s">
        <v>2702</v>
      </c>
      <c r="E236" s="21" t="s">
        <v>1444</v>
      </c>
      <c r="F236" s="22" t="s">
        <v>2549</v>
      </c>
      <c r="G236" s="22">
        <v>505</v>
      </c>
      <c r="H236" s="22">
        <v>6</v>
      </c>
      <c r="I236" s="22" t="s">
        <v>64</v>
      </c>
      <c r="J236" s="22" t="s">
        <v>2552</v>
      </c>
    </row>
    <row r="237" spans="1:10" x14ac:dyDescent="0.2">
      <c r="A237" s="21" t="s">
        <v>1676</v>
      </c>
      <c r="B237" s="21" t="s">
        <v>1405</v>
      </c>
      <c r="C237" s="21" t="s">
        <v>1446</v>
      </c>
      <c r="D237" s="21" t="s">
        <v>2702</v>
      </c>
      <c r="E237" s="21" t="s">
        <v>1444</v>
      </c>
      <c r="F237" s="22" t="s">
        <v>2549</v>
      </c>
      <c r="G237" s="22">
        <v>506</v>
      </c>
      <c r="H237" s="22">
        <v>6</v>
      </c>
      <c r="I237" s="22" t="s">
        <v>66</v>
      </c>
      <c r="J237" s="22" t="s">
        <v>2552</v>
      </c>
    </row>
    <row r="238" spans="1:10" x14ac:dyDescent="0.2">
      <c r="A238" s="21" t="s">
        <v>1677</v>
      </c>
      <c r="B238" s="21" t="s">
        <v>1405</v>
      </c>
      <c r="C238" s="21" t="s">
        <v>1446</v>
      </c>
      <c r="D238" s="21" t="s">
        <v>2702</v>
      </c>
      <c r="E238" s="21" t="s">
        <v>1444</v>
      </c>
      <c r="F238" s="22" t="s">
        <v>2549</v>
      </c>
      <c r="G238" s="22">
        <v>507</v>
      </c>
      <c r="H238" s="22">
        <v>6</v>
      </c>
      <c r="I238" s="22" t="s">
        <v>67</v>
      </c>
      <c r="J238" s="22" t="s">
        <v>2552</v>
      </c>
    </row>
    <row r="239" spans="1:10" x14ac:dyDescent="0.2">
      <c r="A239" s="21" t="s">
        <v>1678</v>
      </c>
      <c r="B239" s="21" t="s">
        <v>1405</v>
      </c>
      <c r="C239" s="21" t="s">
        <v>1446</v>
      </c>
      <c r="D239" s="21" t="s">
        <v>2702</v>
      </c>
      <c r="E239" s="21" t="s">
        <v>1444</v>
      </c>
      <c r="F239" s="22" t="s">
        <v>2549</v>
      </c>
      <c r="G239" s="22">
        <v>508</v>
      </c>
      <c r="H239" s="22">
        <v>6</v>
      </c>
      <c r="I239" s="22" t="s">
        <v>68</v>
      </c>
      <c r="J239" s="22" t="s">
        <v>2552</v>
      </c>
    </row>
    <row r="240" spans="1:10" x14ac:dyDescent="0.2">
      <c r="A240" s="21" t="s">
        <v>1679</v>
      </c>
      <c r="B240" s="21" t="s">
        <v>1405</v>
      </c>
      <c r="C240" s="21" t="s">
        <v>1446</v>
      </c>
      <c r="D240" s="21" t="s">
        <v>2702</v>
      </c>
      <c r="E240" s="21" t="s">
        <v>1444</v>
      </c>
      <c r="F240" s="22" t="s">
        <v>2549</v>
      </c>
      <c r="G240" s="22">
        <v>509</v>
      </c>
      <c r="H240" s="22">
        <v>6</v>
      </c>
      <c r="I240" s="22" t="s">
        <v>69</v>
      </c>
      <c r="J240" s="22" t="s">
        <v>2552</v>
      </c>
    </row>
    <row r="241" spans="1:10" x14ac:dyDescent="0.2">
      <c r="A241" s="21" t="s">
        <v>1680</v>
      </c>
      <c r="B241" s="21" t="s">
        <v>1405</v>
      </c>
      <c r="C241" s="21" t="s">
        <v>1446</v>
      </c>
      <c r="D241" s="21" t="s">
        <v>2702</v>
      </c>
      <c r="E241" s="21" t="s">
        <v>1444</v>
      </c>
      <c r="F241" s="22" t="s">
        <v>2549</v>
      </c>
      <c r="G241" s="22">
        <v>510</v>
      </c>
      <c r="H241" s="22">
        <v>6</v>
      </c>
      <c r="I241" s="22" t="s">
        <v>70</v>
      </c>
      <c r="J241" s="22" t="s">
        <v>2552</v>
      </c>
    </row>
    <row r="242" spans="1:10" x14ac:dyDescent="0.2">
      <c r="A242" s="21" t="s">
        <v>1681</v>
      </c>
      <c r="B242" s="21" t="s">
        <v>1405</v>
      </c>
      <c r="C242" s="21" t="s">
        <v>1446</v>
      </c>
      <c r="D242" s="21" t="s">
        <v>2702</v>
      </c>
      <c r="E242" s="21" t="s">
        <v>1444</v>
      </c>
      <c r="F242" s="22" t="s">
        <v>2549</v>
      </c>
      <c r="G242" s="22">
        <v>511</v>
      </c>
      <c r="H242" s="22">
        <v>6</v>
      </c>
      <c r="I242" s="22" t="s">
        <v>71</v>
      </c>
      <c r="J242" s="22" t="s">
        <v>2552</v>
      </c>
    </row>
    <row r="243" spans="1:10" x14ac:dyDescent="0.2">
      <c r="A243" s="21" t="s">
        <v>1682</v>
      </c>
      <c r="B243" s="21" t="s">
        <v>1405</v>
      </c>
      <c r="C243" s="21" t="s">
        <v>1446</v>
      </c>
      <c r="D243" s="21" t="s">
        <v>2702</v>
      </c>
      <c r="E243" s="21" t="s">
        <v>1444</v>
      </c>
      <c r="F243" s="22" t="s">
        <v>2549</v>
      </c>
      <c r="G243" s="22">
        <v>512</v>
      </c>
      <c r="H243" s="22">
        <v>6</v>
      </c>
      <c r="I243" s="22" t="s">
        <v>72</v>
      </c>
      <c r="J243" s="22" t="s">
        <v>2552</v>
      </c>
    </row>
    <row r="244" spans="1:10" x14ac:dyDescent="0.2">
      <c r="A244" s="21" t="s">
        <v>1683</v>
      </c>
      <c r="B244" s="21" t="s">
        <v>1405</v>
      </c>
      <c r="C244" s="21" t="s">
        <v>1446</v>
      </c>
      <c r="D244" s="21" t="s">
        <v>2702</v>
      </c>
      <c r="E244" s="21" t="s">
        <v>1444</v>
      </c>
      <c r="F244" s="22" t="s">
        <v>2549</v>
      </c>
      <c r="G244" s="22">
        <v>513</v>
      </c>
      <c r="H244" s="22">
        <v>6</v>
      </c>
      <c r="I244" s="22" t="s">
        <v>73</v>
      </c>
      <c r="J244" s="22" t="s">
        <v>2550</v>
      </c>
    </row>
    <row r="245" spans="1:10" x14ac:dyDescent="0.2">
      <c r="A245" s="21" t="s">
        <v>1684</v>
      </c>
      <c r="B245" s="21" t="s">
        <v>1405</v>
      </c>
      <c r="C245" s="21" t="s">
        <v>1446</v>
      </c>
      <c r="D245" s="21" t="s">
        <v>2702</v>
      </c>
      <c r="E245" s="21" t="s">
        <v>1444</v>
      </c>
      <c r="F245" s="22" t="s">
        <v>2549</v>
      </c>
      <c r="G245" s="22">
        <v>514</v>
      </c>
      <c r="H245" s="22">
        <v>6</v>
      </c>
      <c r="I245" s="22" t="s">
        <v>74</v>
      </c>
      <c r="J245" s="22" t="s">
        <v>2550</v>
      </c>
    </row>
    <row r="246" spans="1:10" x14ac:dyDescent="0.2">
      <c r="A246" s="21" t="s">
        <v>1685</v>
      </c>
      <c r="B246" s="21" t="s">
        <v>1405</v>
      </c>
      <c r="C246" s="21" t="s">
        <v>1446</v>
      </c>
      <c r="D246" s="21" t="s">
        <v>2702</v>
      </c>
      <c r="E246" s="21" t="s">
        <v>1444</v>
      </c>
      <c r="F246" s="22" t="s">
        <v>2549</v>
      </c>
      <c r="G246" s="22">
        <v>515</v>
      </c>
      <c r="H246" s="22">
        <v>6</v>
      </c>
      <c r="I246" s="22" t="s">
        <v>75</v>
      </c>
      <c r="J246" s="22" t="s">
        <v>2550</v>
      </c>
    </row>
    <row r="247" spans="1:10" x14ac:dyDescent="0.2">
      <c r="A247" s="21" t="s">
        <v>1686</v>
      </c>
      <c r="B247" s="21" t="s">
        <v>1405</v>
      </c>
      <c r="C247" s="21" t="s">
        <v>1446</v>
      </c>
      <c r="D247" s="21" t="s">
        <v>2702</v>
      </c>
      <c r="E247" s="21" t="s">
        <v>1444</v>
      </c>
      <c r="F247" s="22" t="s">
        <v>2549</v>
      </c>
      <c r="G247" s="22">
        <v>516</v>
      </c>
      <c r="H247" s="22">
        <v>6</v>
      </c>
      <c r="I247" s="22" t="s">
        <v>76</v>
      </c>
      <c r="J247" s="22" t="s">
        <v>2550</v>
      </c>
    </row>
    <row r="248" spans="1:10" x14ac:dyDescent="0.2">
      <c r="A248" s="21" t="s">
        <v>1688</v>
      </c>
      <c r="B248" s="21" t="s">
        <v>1405</v>
      </c>
      <c r="C248" s="21" t="s">
        <v>1446</v>
      </c>
      <c r="D248" s="21" t="s">
        <v>2702</v>
      </c>
      <c r="E248" s="21" t="s">
        <v>1444</v>
      </c>
      <c r="F248" s="22" t="s">
        <v>2549</v>
      </c>
      <c r="G248" s="22">
        <v>517</v>
      </c>
      <c r="H248" s="22">
        <v>6</v>
      </c>
      <c r="I248" s="22" t="s">
        <v>77</v>
      </c>
      <c r="J248" s="22" t="s">
        <v>2550</v>
      </c>
    </row>
    <row r="249" spans="1:10" x14ac:dyDescent="0.2">
      <c r="A249" s="21" t="s">
        <v>1690</v>
      </c>
      <c r="B249" s="21" t="s">
        <v>1405</v>
      </c>
      <c r="C249" s="21" t="s">
        <v>1446</v>
      </c>
      <c r="D249" s="21" t="s">
        <v>2702</v>
      </c>
      <c r="E249" s="21" t="s">
        <v>1444</v>
      </c>
      <c r="F249" s="22" t="s">
        <v>2549</v>
      </c>
      <c r="G249" s="22">
        <v>518</v>
      </c>
      <c r="H249" s="22">
        <v>6</v>
      </c>
      <c r="I249" s="22" t="s">
        <v>79</v>
      </c>
      <c r="J249" s="22" t="s">
        <v>2550</v>
      </c>
    </row>
    <row r="250" spans="1:10" x14ac:dyDescent="0.2">
      <c r="A250" s="21" t="s">
        <v>1692</v>
      </c>
      <c r="B250" s="21" t="s">
        <v>1405</v>
      </c>
      <c r="C250" s="21" t="s">
        <v>1446</v>
      </c>
      <c r="D250" s="21" t="s">
        <v>2702</v>
      </c>
      <c r="E250" s="21" t="s">
        <v>1444</v>
      </c>
      <c r="F250" s="22" t="s">
        <v>2549</v>
      </c>
      <c r="G250" s="22">
        <v>519</v>
      </c>
      <c r="H250" s="22">
        <v>6</v>
      </c>
      <c r="I250" s="22" t="s">
        <v>80</v>
      </c>
      <c r="J250" s="22" t="s">
        <v>2550</v>
      </c>
    </row>
    <row r="251" spans="1:10" x14ac:dyDescent="0.2">
      <c r="A251" s="21" t="s">
        <v>1694</v>
      </c>
      <c r="B251" s="21" t="s">
        <v>1405</v>
      </c>
      <c r="C251" s="21" t="s">
        <v>1446</v>
      </c>
      <c r="D251" s="21" t="s">
        <v>2702</v>
      </c>
      <c r="E251" s="21" t="s">
        <v>1444</v>
      </c>
      <c r="F251" s="22" t="s">
        <v>2549</v>
      </c>
      <c r="G251" s="22">
        <v>520</v>
      </c>
      <c r="H251" s="22">
        <v>6</v>
      </c>
      <c r="I251" s="22" t="s">
        <v>81</v>
      </c>
      <c r="J251" s="22" t="s">
        <v>2550</v>
      </c>
    </row>
    <row r="252" spans="1:10" x14ac:dyDescent="0.2">
      <c r="A252" s="21" t="s">
        <v>1696</v>
      </c>
      <c r="B252" s="21" t="s">
        <v>1405</v>
      </c>
      <c r="C252" s="21" t="s">
        <v>1446</v>
      </c>
      <c r="D252" s="21" t="s">
        <v>2702</v>
      </c>
      <c r="E252" s="21" t="s">
        <v>1444</v>
      </c>
      <c r="F252" s="22" t="s">
        <v>2549</v>
      </c>
      <c r="G252" s="22">
        <v>521</v>
      </c>
      <c r="H252" s="22">
        <v>6</v>
      </c>
      <c r="I252" s="22" t="s">
        <v>82</v>
      </c>
      <c r="J252" s="22" t="s">
        <v>2550</v>
      </c>
    </row>
    <row r="253" spans="1:10" x14ac:dyDescent="0.2">
      <c r="A253" s="21" t="s">
        <v>1698</v>
      </c>
      <c r="B253" s="21" t="s">
        <v>1405</v>
      </c>
      <c r="C253" s="21" t="s">
        <v>1446</v>
      </c>
      <c r="D253" s="21" t="s">
        <v>2702</v>
      </c>
      <c r="E253" s="21" t="s">
        <v>1444</v>
      </c>
      <c r="F253" s="22" t="s">
        <v>2549</v>
      </c>
      <c r="G253" s="22">
        <v>522</v>
      </c>
      <c r="H253" s="22">
        <v>6</v>
      </c>
      <c r="I253" s="22" t="s">
        <v>83</v>
      </c>
      <c r="J253" s="22" t="s">
        <v>2550</v>
      </c>
    </row>
    <row r="254" spans="1:10" x14ac:dyDescent="0.2">
      <c r="A254" s="21" t="s">
        <v>1628</v>
      </c>
      <c r="B254" s="21" t="s">
        <v>1405</v>
      </c>
      <c r="C254" s="21" t="s">
        <v>1446</v>
      </c>
      <c r="D254" s="21" t="s">
        <v>2702</v>
      </c>
      <c r="E254" s="21" t="s">
        <v>1444</v>
      </c>
      <c r="F254" s="22" t="s">
        <v>2549</v>
      </c>
      <c r="G254" s="22">
        <v>523</v>
      </c>
      <c r="H254" s="22">
        <v>6</v>
      </c>
      <c r="I254" s="22" t="s">
        <v>1495</v>
      </c>
      <c r="J254" s="22" t="s">
        <v>2550</v>
      </c>
    </row>
    <row r="255" spans="1:10" x14ac:dyDescent="0.2">
      <c r="A255" s="21" t="s">
        <v>1630</v>
      </c>
      <c r="B255" s="21" t="s">
        <v>1405</v>
      </c>
      <c r="C255" s="21" t="s">
        <v>1446</v>
      </c>
      <c r="D255" s="21" t="s">
        <v>2702</v>
      </c>
      <c r="E255" s="21" t="s">
        <v>1444</v>
      </c>
      <c r="F255" s="22" t="s">
        <v>2549</v>
      </c>
      <c r="G255" s="22">
        <v>523</v>
      </c>
      <c r="H255" s="22">
        <v>6</v>
      </c>
      <c r="I255" s="22" t="s">
        <v>1496</v>
      </c>
      <c r="J255" s="22" t="s">
        <v>2550</v>
      </c>
    </row>
    <row r="256" spans="1:10" x14ac:dyDescent="0.2">
      <c r="A256" s="21" t="s">
        <v>1700</v>
      </c>
      <c r="B256" s="21" t="s">
        <v>1405</v>
      </c>
      <c r="C256" s="21" t="s">
        <v>1446</v>
      </c>
      <c r="D256" s="21" t="s">
        <v>2702</v>
      </c>
      <c r="E256" s="21" t="s">
        <v>1444</v>
      </c>
      <c r="F256" s="22" t="s">
        <v>2549</v>
      </c>
      <c r="G256" s="22">
        <v>524</v>
      </c>
      <c r="H256" s="22">
        <v>6</v>
      </c>
      <c r="I256" s="22" t="s">
        <v>85</v>
      </c>
      <c r="J256" s="22" t="s">
        <v>2550</v>
      </c>
    </row>
    <row r="257" spans="1:10" x14ac:dyDescent="0.2">
      <c r="A257" s="21" t="s">
        <v>1702</v>
      </c>
      <c r="B257" s="21" t="s">
        <v>1405</v>
      </c>
      <c r="C257" s="21" t="s">
        <v>1446</v>
      </c>
      <c r="D257" s="21" t="s">
        <v>2702</v>
      </c>
      <c r="E257" s="21" t="s">
        <v>1444</v>
      </c>
      <c r="F257" s="22" t="s">
        <v>2549</v>
      </c>
      <c r="G257" s="22">
        <v>525</v>
      </c>
      <c r="H257" s="22">
        <v>6</v>
      </c>
      <c r="I257" s="22" t="s">
        <v>86</v>
      </c>
      <c r="J257" s="22" t="s">
        <v>2550</v>
      </c>
    </row>
    <row r="258" spans="1:10" x14ac:dyDescent="0.2">
      <c r="A258" s="21" t="s">
        <v>1704</v>
      </c>
      <c r="B258" s="21" t="s">
        <v>1405</v>
      </c>
      <c r="C258" s="21" t="s">
        <v>1446</v>
      </c>
      <c r="D258" s="21" t="s">
        <v>2702</v>
      </c>
      <c r="E258" s="21" t="s">
        <v>1444</v>
      </c>
      <c r="F258" s="22" t="s">
        <v>2549</v>
      </c>
      <c r="G258" s="22">
        <v>526</v>
      </c>
      <c r="H258" s="22">
        <v>6</v>
      </c>
      <c r="I258" s="22" t="s">
        <v>87</v>
      </c>
      <c r="J258" s="22" t="s">
        <v>2550</v>
      </c>
    </row>
    <row r="259" spans="1:10" x14ac:dyDescent="0.2">
      <c r="A259" s="21" t="s">
        <v>1706</v>
      </c>
      <c r="B259" s="21" t="s">
        <v>1405</v>
      </c>
      <c r="C259" s="21" t="s">
        <v>1446</v>
      </c>
      <c r="D259" s="21" t="s">
        <v>2702</v>
      </c>
      <c r="E259" s="21" t="s">
        <v>1444</v>
      </c>
      <c r="F259" s="22" t="s">
        <v>2549</v>
      </c>
      <c r="G259" s="22">
        <v>527</v>
      </c>
      <c r="H259" s="22">
        <v>6</v>
      </c>
      <c r="I259" s="22" t="s">
        <v>88</v>
      </c>
      <c r="J259" s="22" t="s">
        <v>2550</v>
      </c>
    </row>
    <row r="260" spans="1:10" x14ac:dyDescent="0.2">
      <c r="A260" s="21" t="s">
        <v>1708</v>
      </c>
      <c r="B260" s="21" t="s">
        <v>1405</v>
      </c>
      <c r="C260" s="21" t="s">
        <v>1446</v>
      </c>
      <c r="D260" s="21" t="s">
        <v>2702</v>
      </c>
      <c r="E260" s="21" t="s">
        <v>1444</v>
      </c>
      <c r="F260" s="22" t="s">
        <v>2549</v>
      </c>
      <c r="G260" s="22">
        <v>528</v>
      </c>
      <c r="H260" s="22">
        <v>6</v>
      </c>
      <c r="I260" s="22" t="s">
        <v>89</v>
      </c>
      <c r="J260" s="22" t="s">
        <v>2550</v>
      </c>
    </row>
    <row r="261" spans="1:10" x14ac:dyDescent="0.2">
      <c r="A261" s="21" t="s">
        <v>1709</v>
      </c>
      <c r="B261" s="21" t="s">
        <v>1405</v>
      </c>
      <c r="C261" s="21" t="s">
        <v>1446</v>
      </c>
      <c r="D261" s="21" t="s">
        <v>2702</v>
      </c>
      <c r="E261" s="21" t="s">
        <v>1444</v>
      </c>
      <c r="F261" s="22" t="s">
        <v>2549</v>
      </c>
      <c r="G261" s="22">
        <v>529</v>
      </c>
      <c r="H261" s="22">
        <v>6</v>
      </c>
      <c r="I261" s="22" t="s">
        <v>90</v>
      </c>
      <c r="J261" s="22" t="s">
        <v>2550</v>
      </c>
    </row>
    <row r="262" spans="1:10" x14ac:dyDescent="0.2">
      <c r="A262" s="21" t="s">
        <v>1710</v>
      </c>
      <c r="B262" s="21" t="s">
        <v>1405</v>
      </c>
      <c r="C262" s="21" t="s">
        <v>1446</v>
      </c>
      <c r="D262" s="21" t="s">
        <v>2702</v>
      </c>
      <c r="E262" s="21" t="s">
        <v>1444</v>
      </c>
      <c r="F262" s="22" t="s">
        <v>2549</v>
      </c>
      <c r="G262" s="22">
        <v>530</v>
      </c>
      <c r="H262" s="22">
        <v>6</v>
      </c>
      <c r="I262" s="22" t="s">
        <v>92</v>
      </c>
      <c r="J262" s="22" t="s">
        <v>2550</v>
      </c>
    </row>
    <row r="263" spans="1:10" x14ac:dyDescent="0.2">
      <c r="A263" s="21" t="s">
        <v>1711</v>
      </c>
      <c r="B263" s="21" t="s">
        <v>1405</v>
      </c>
      <c r="C263" s="21" t="s">
        <v>1446</v>
      </c>
      <c r="D263" s="21" t="s">
        <v>2702</v>
      </c>
      <c r="E263" s="21" t="s">
        <v>1444</v>
      </c>
      <c r="F263" s="22" t="s">
        <v>2549</v>
      </c>
      <c r="G263" s="22">
        <v>531</v>
      </c>
      <c r="H263" s="22">
        <v>6</v>
      </c>
      <c r="I263" s="22" t="s">
        <v>93</v>
      </c>
      <c r="J263" s="22" t="s">
        <v>2550</v>
      </c>
    </row>
    <row r="264" spans="1:10" x14ac:dyDescent="0.2">
      <c r="A264" s="21" t="s">
        <v>1712</v>
      </c>
      <c r="B264" s="21" t="s">
        <v>1405</v>
      </c>
      <c r="C264" s="21" t="s">
        <v>1446</v>
      </c>
      <c r="D264" s="21" t="s">
        <v>2702</v>
      </c>
      <c r="E264" s="21" t="s">
        <v>1444</v>
      </c>
      <c r="F264" s="22" t="s">
        <v>2549</v>
      </c>
      <c r="G264" s="22">
        <v>532</v>
      </c>
      <c r="H264" s="22">
        <v>6</v>
      </c>
      <c r="I264" s="22" t="s">
        <v>94</v>
      </c>
      <c r="J264" s="22" t="s">
        <v>2550</v>
      </c>
    </row>
    <row r="265" spans="1:10" x14ac:dyDescent="0.2">
      <c r="A265" s="21" t="s">
        <v>1713</v>
      </c>
      <c r="B265" s="21" t="s">
        <v>1405</v>
      </c>
      <c r="C265" s="21" t="s">
        <v>1446</v>
      </c>
      <c r="D265" s="21" t="s">
        <v>2702</v>
      </c>
      <c r="E265" s="21" t="s">
        <v>1444</v>
      </c>
      <c r="F265" s="22" t="s">
        <v>2549</v>
      </c>
      <c r="G265" s="22">
        <v>533</v>
      </c>
      <c r="H265" s="22">
        <v>6</v>
      </c>
      <c r="I265" s="22" t="s">
        <v>95</v>
      </c>
      <c r="J265" s="22" t="s">
        <v>2550</v>
      </c>
    </row>
    <row r="266" spans="1:10" x14ac:dyDescent="0.2">
      <c r="A266" s="21" t="s">
        <v>1714</v>
      </c>
      <c r="B266" s="21" t="s">
        <v>1405</v>
      </c>
      <c r="C266" s="21" t="s">
        <v>1446</v>
      </c>
      <c r="D266" s="21" t="s">
        <v>2702</v>
      </c>
      <c r="E266" s="21" t="s">
        <v>1444</v>
      </c>
      <c r="F266" s="22" t="s">
        <v>2549</v>
      </c>
      <c r="G266" s="22">
        <v>534</v>
      </c>
      <c r="H266" s="22">
        <v>6</v>
      </c>
      <c r="I266" s="22" t="s">
        <v>96</v>
      </c>
      <c r="J266" s="22" t="s">
        <v>2550</v>
      </c>
    </row>
    <row r="267" spans="1:10" x14ac:dyDescent="0.2">
      <c r="A267" s="21" t="s">
        <v>1715</v>
      </c>
      <c r="B267" s="21" t="s">
        <v>1405</v>
      </c>
      <c r="C267" s="21" t="s">
        <v>1446</v>
      </c>
      <c r="D267" s="21" t="s">
        <v>2702</v>
      </c>
      <c r="E267" s="21" t="s">
        <v>1444</v>
      </c>
      <c r="F267" s="22" t="s">
        <v>2549</v>
      </c>
      <c r="G267" s="22">
        <v>535</v>
      </c>
      <c r="H267" s="22">
        <v>6</v>
      </c>
      <c r="I267" s="22" t="s">
        <v>97</v>
      </c>
      <c r="J267" s="22" t="s">
        <v>2553</v>
      </c>
    </row>
    <row r="268" spans="1:10" x14ac:dyDescent="0.2">
      <c r="A268" s="21" t="s">
        <v>1716</v>
      </c>
      <c r="B268" s="21" t="s">
        <v>1405</v>
      </c>
      <c r="C268" s="21" t="s">
        <v>1446</v>
      </c>
      <c r="D268" s="21" t="s">
        <v>2702</v>
      </c>
      <c r="E268" s="21" t="s">
        <v>1444</v>
      </c>
      <c r="F268" s="22" t="s">
        <v>2549</v>
      </c>
      <c r="G268" s="22">
        <v>536</v>
      </c>
      <c r="H268" s="22">
        <v>6</v>
      </c>
      <c r="I268" s="22" t="s">
        <v>98</v>
      </c>
      <c r="J268" s="22" t="s">
        <v>2553</v>
      </c>
    </row>
    <row r="269" spans="1:10" x14ac:dyDescent="0.2">
      <c r="A269" s="21" t="s">
        <v>1717</v>
      </c>
      <c r="B269" s="21" t="s">
        <v>1405</v>
      </c>
      <c r="C269" s="21" t="s">
        <v>1446</v>
      </c>
      <c r="D269" s="21" t="s">
        <v>2702</v>
      </c>
      <c r="E269" s="21" t="s">
        <v>1444</v>
      </c>
      <c r="F269" s="22" t="s">
        <v>2549</v>
      </c>
      <c r="G269" s="22">
        <v>537</v>
      </c>
      <c r="H269" s="22">
        <v>6</v>
      </c>
      <c r="I269" s="22" t="s">
        <v>99</v>
      </c>
      <c r="J269" s="22" t="s">
        <v>2552</v>
      </c>
    </row>
    <row r="270" spans="1:10" x14ac:dyDescent="0.2">
      <c r="A270" s="21" t="s">
        <v>1718</v>
      </c>
      <c r="B270" s="21" t="s">
        <v>1405</v>
      </c>
      <c r="C270" s="21" t="s">
        <v>1446</v>
      </c>
      <c r="D270" s="21" t="s">
        <v>2702</v>
      </c>
      <c r="E270" s="21" t="s">
        <v>1444</v>
      </c>
      <c r="F270" s="22" t="s">
        <v>2549</v>
      </c>
      <c r="G270" s="22">
        <v>538</v>
      </c>
      <c r="H270" s="22">
        <v>6</v>
      </c>
      <c r="I270" s="22" t="s">
        <v>100</v>
      </c>
      <c r="J270" s="22" t="s">
        <v>2552</v>
      </c>
    </row>
    <row r="271" spans="1:10" x14ac:dyDescent="0.2">
      <c r="A271" s="21" t="s">
        <v>1719</v>
      </c>
      <c r="B271" s="21" t="s">
        <v>1405</v>
      </c>
      <c r="C271" s="21" t="s">
        <v>1446</v>
      </c>
      <c r="D271" s="21" t="s">
        <v>2702</v>
      </c>
      <c r="E271" s="21" t="s">
        <v>1444</v>
      </c>
      <c r="F271" s="22" t="s">
        <v>2549</v>
      </c>
      <c r="G271" s="22">
        <v>539</v>
      </c>
      <c r="H271" s="22">
        <v>6</v>
      </c>
      <c r="I271" s="22" t="s">
        <v>101</v>
      </c>
      <c r="J271" s="22" t="s">
        <v>2552</v>
      </c>
    </row>
    <row r="272" spans="1:10" x14ac:dyDescent="0.2">
      <c r="A272" s="21" t="s">
        <v>1720</v>
      </c>
      <c r="B272" s="21" t="s">
        <v>1405</v>
      </c>
      <c r="C272" s="21" t="s">
        <v>1446</v>
      </c>
      <c r="D272" s="21" t="s">
        <v>2702</v>
      </c>
      <c r="E272" s="21" t="s">
        <v>1444</v>
      </c>
      <c r="F272" s="22" t="s">
        <v>2549</v>
      </c>
      <c r="G272" s="22">
        <v>540</v>
      </c>
      <c r="H272" s="22">
        <v>6</v>
      </c>
      <c r="I272" s="22" t="s">
        <v>102</v>
      </c>
      <c r="J272" s="22" t="s">
        <v>2552</v>
      </c>
    </row>
    <row r="273" spans="1:10" x14ac:dyDescent="0.2">
      <c r="A273" s="21" t="s">
        <v>1722</v>
      </c>
      <c r="B273" s="21" t="s">
        <v>1405</v>
      </c>
      <c r="C273" s="21" t="s">
        <v>1446</v>
      </c>
      <c r="D273" s="21" t="s">
        <v>2702</v>
      </c>
      <c r="E273" s="21" t="s">
        <v>1444</v>
      </c>
      <c r="F273" s="22" t="s">
        <v>2549</v>
      </c>
      <c r="G273" s="22">
        <v>541</v>
      </c>
      <c r="H273" s="22">
        <v>6</v>
      </c>
      <c r="I273" s="22" t="s">
        <v>103</v>
      </c>
      <c r="J273" s="22" t="s">
        <v>2550</v>
      </c>
    </row>
    <row r="274" spans="1:10" x14ac:dyDescent="0.2">
      <c r="A274" s="21" t="s">
        <v>1724</v>
      </c>
      <c r="B274" s="21" t="s">
        <v>1405</v>
      </c>
      <c r="C274" s="21" t="s">
        <v>1446</v>
      </c>
      <c r="D274" s="21" t="s">
        <v>2702</v>
      </c>
      <c r="E274" s="21" t="s">
        <v>1444</v>
      </c>
      <c r="F274" s="22" t="s">
        <v>2549</v>
      </c>
      <c r="G274" s="22">
        <v>542</v>
      </c>
      <c r="H274" s="22">
        <v>6</v>
      </c>
      <c r="I274" s="22" t="s">
        <v>105</v>
      </c>
      <c r="J274" s="22" t="s">
        <v>2550</v>
      </c>
    </row>
    <row r="275" spans="1:10" x14ac:dyDescent="0.2">
      <c r="A275" s="21" t="s">
        <v>1726</v>
      </c>
      <c r="B275" s="21" t="s">
        <v>1405</v>
      </c>
      <c r="C275" s="21" t="s">
        <v>1446</v>
      </c>
      <c r="D275" s="21" t="s">
        <v>2702</v>
      </c>
      <c r="E275" s="21" t="s">
        <v>1444</v>
      </c>
      <c r="F275" s="22" t="s">
        <v>2549</v>
      </c>
      <c r="G275" s="22">
        <v>543</v>
      </c>
      <c r="H275" s="22">
        <v>6</v>
      </c>
      <c r="I275" s="22" t="s">
        <v>106</v>
      </c>
      <c r="J275" s="22" t="s">
        <v>2550</v>
      </c>
    </row>
    <row r="276" spans="1:10" x14ac:dyDescent="0.2">
      <c r="A276" s="21" t="s">
        <v>1728</v>
      </c>
      <c r="B276" s="21" t="s">
        <v>1405</v>
      </c>
      <c r="C276" s="21" t="s">
        <v>1446</v>
      </c>
      <c r="D276" s="21" t="s">
        <v>2702</v>
      </c>
      <c r="E276" s="21" t="s">
        <v>1444</v>
      </c>
      <c r="F276" s="22" t="s">
        <v>2549</v>
      </c>
      <c r="G276" s="22">
        <v>544</v>
      </c>
      <c r="H276" s="22">
        <v>6</v>
      </c>
      <c r="I276" s="22" t="s">
        <v>107</v>
      </c>
      <c r="J276" s="22" t="s">
        <v>2550</v>
      </c>
    </row>
    <row r="277" spans="1:10" x14ac:dyDescent="0.2">
      <c r="A277" s="21" t="s">
        <v>1730</v>
      </c>
      <c r="B277" s="21" t="s">
        <v>1405</v>
      </c>
      <c r="C277" s="21" t="s">
        <v>1446</v>
      </c>
      <c r="D277" s="21" t="s">
        <v>2702</v>
      </c>
      <c r="E277" s="21" t="s">
        <v>1444</v>
      </c>
      <c r="F277" s="22" t="s">
        <v>2549</v>
      </c>
      <c r="G277" s="22">
        <v>545</v>
      </c>
      <c r="H277" s="22">
        <v>6</v>
      </c>
      <c r="I277" s="22" t="s">
        <v>108</v>
      </c>
      <c r="J277" s="22" t="s">
        <v>2550</v>
      </c>
    </row>
    <row r="278" spans="1:10" x14ac:dyDescent="0.2">
      <c r="A278" s="21" t="s">
        <v>1732</v>
      </c>
      <c r="B278" s="21" t="s">
        <v>1405</v>
      </c>
      <c r="C278" s="21" t="s">
        <v>1446</v>
      </c>
      <c r="D278" s="21" t="s">
        <v>2702</v>
      </c>
      <c r="E278" s="21" t="s">
        <v>1444</v>
      </c>
      <c r="F278" s="22" t="s">
        <v>2549</v>
      </c>
      <c r="G278" s="22">
        <v>546</v>
      </c>
      <c r="H278" s="22">
        <v>6</v>
      </c>
      <c r="I278" s="22" t="s">
        <v>109</v>
      </c>
      <c r="J278" s="22" t="s">
        <v>2550</v>
      </c>
    </row>
    <row r="279" spans="1:10" x14ac:dyDescent="0.2">
      <c r="A279" s="21" t="s">
        <v>1734</v>
      </c>
      <c r="B279" s="21" t="s">
        <v>1405</v>
      </c>
      <c r="C279" s="21" t="s">
        <v>1446</v>
      </c>
      <c r="D279" s="21" t="s">
        <v>2702</v>
      </c>
      <c r="E279" s="21" t="s">
        <v>1444</v>
      </c>
      <c r="F279" s="22" t="s">
        <v>2549</v>
      </c>
      <c r="G279" s="22">
        <v>547</v>
      </c>
      <c r="H279" s="22">
        <v>6</v>
      </c>
      <c r="I279" s="22" t="s">
        <v>110</v>
      </c>
      <c r="J279" s="22" t="s">
        <v>2550</v>
      </c>
    </row>
    <row r="280" spans="1:10" x14ac:dyDescent="0.2">
      <c r="A280" s="21" t="s">
        <v>1736</v>
      </c>
      <c r="B280" s="21" t="s">
        <v>1405</v>
      </c>
      <c r="C280" s="21" t="s">
        <v>1446</v>
      </c>
      <c r="D280" s="21" t="s">
        <v>2702</v>
      </c>
      <c r="E280" s="21" t="s">
        <v>1444</v>
      </c>
      <c r="F280" s="22" t="s">
        <v>2549</v>
      </c>
      <c r="G280" s="22">
        <v>548</v>
      </c>
      <c r="H280" s="22">
        <v>6</v>
      </c>
      <c r="I280" s="22" t="s">
        <v>111</v>
      </c>
      <c r="J280" s="22" t="s">
        <v>2550</v>
      </c>
    </row>
    <row r="281" spans="1:10" x14ac:dyDescent="0.2">
      <c r="A281" s="21" t="s">
        <v>1738</v>
      </c>
      <c r="B281" s="21" t="s">
        <v>1405</v>
      </c>
      <c r="C281" s="21" t="s">
        <v>1446</v>
      </c>
      <c r="D281" s="21" t="s">
        <v>2702</v>
      </c>
      <c r="E281" s="21" t="s">
        <v>1444</v>
      </c>
      <c r="F281" s="22" t="s">
        <v>2549</v>
      </c>
      <c r="G281" s="22">
        <v>549</v>
      </c>
      <c r="H281" s="22">
        <v>6</v>
      </c>
      <c r="I281" s="22" t="s">
        <v>112</v>
      </c>
      <c r="J281" s="22" t="s">
        <v>2550</v>
      </c>
    </row>
    <row r="282" spans="1:10" x14ac:dyDescent="0.2">
      <c r="A282" s="21" t="s">
        <v>1740</v>
      </c>
      <c r="B282" s="21" t="s">
        <v>1405</v>
      </c>
      <c r="C282" s="21" t="s">
        <v>1446</v>
      </c>
      <c r="D282" s="21" t="s">
        <v>2702</v>
      </c>
      <c r="E282" s="21" t="s">
        <v>1444</v>
      </c>
      <c r="F282" s="22" t="s">
        <v>2549</v>
      </c>
      <c r="G282" s="22">
        <v>550</v>
      </c>
      <c r="H282" s="22">
        <v>6</v>
      </c>
      <c r="I282" s="22" t="s">
        <v>113</v>
      </c>
      <c r="J282" s="22" t="s">
        <v>2550</v>
      </c>
    </row>
    <row r="283" spans="1:10" x14ac:dyDescent="0.2">
      <c r="A283" s="21" t="s">
        <v>1742</v>
      </c>
      <c r="B283" s="21" t="s">
        <v>1405</v>
      </c>
      <c r="C283" s="21" t="s">
        <v>1446</v>
      </c>
      <c r="D283" s="21" t="s">
        <v>2702</v>
      </c>
      <c r="E283" s="21" t="s">
        <v>1444</v>
      </c>
      <c r="F283" s="22" t="s">
        <v>2549</v>
      </c>
      <c r="G283" s="22">
        <v>551</v>
      </c>
      <c r="H283" s="22">
        <v>6</v>
      </c>
      <c r="I283" s="22" t="s">
        <v>114</v>
      </c>
      <c r="J283" s="22" t="s">
        <v>2552</v>
      </c>
    </row>
    <row r="284" spans="1:10" x14ac:dyDescent="0.2">
      <c r="A284" s="21" t="s">
        <v>1744</v>
      </c>
      <c r="B284" s="21" t="s">
        <v>1405</v>
      </c>
      <c r="C284" s="21" t="s">
        <v>1446</v>
      </c>
      <c r="D284" s="21" t="s">
        <v>2702</v>
      </c>
      <c r="E284" s="21" t="s">
        <v>1444</v>
      </c>
      <c r="F284" s="22" t="s">
        <v>2549</v>
      </c>
      <c r="G284" s="22">
        <v>552</v>
      </c>
      <c r="H284" s="22">
        <v>6</v>
      </c>
      <c r="I284" s="22" t="s">
        <v>115</v>
      </c>
      <c r="J284" s="22" t="s">
        <v>2552</v>
      </c>
    </row>
    <row r="285" spans="1:10" x14ac:dyDescent="0.2">
      <c r="A285" s="21" t="s">
        <v>1746</v>
      </c>
      <c r="B285" s="21" t="s">
        <v>1405</v>
      </c>
      <c r="C285" s="21" t="s">
        <v>1446</v>
      </c>
      <c r="D285" s="21" t="s">
        <v>2702</v>
      </c>
      <c r="E285" s="21" t="s">
        <v>1444</v>
      </c>
      <c r="F285" s="22" t="s">
        <v>2549</v>
      </c>
      <c r="G285" s="22">
        <v>553</v>
      </c>
      <c r="H285" s="22">
        <v>6</v>
      </c>
      <c r="I285" s="22" t="s">
        <v>116</v>
      </c>
      <c r="J285" s="22" t="s">
        <v>2552</v>
      </c>
    </row>
    <row r="286" spans="1:10" x14ac:dyDescent="0.2">
      <c r="A286" s="21" t="s">
        <v>1748</v>
      </c>
      <c r="B286" s="21" t="s">
        <v>1405</v>
      </c>
      <c r="C286" s="21" t="s">
        <v>1446</v>
      </c>
      <c r="D286" s="21" t="s">
        <v>2702</v>
      </c>
      <c r="E286" s="21" t="s">
        <v>1444</v>
      </c>
      <c r="F286" s="22" t="s">
        <v>2549</v>
      </c>
      <c r="G286" s="22">
        <v>554</v>
      </c>
      <c r="H286" s="22">
        <v>6</v>
      </c>
      <c r="I286" s="22" t="s">
        <v>118</v>
      </c>
      <c r="J286" s="22" t="s">
        <v>2552</v>
      </c>
    </row>
    <row r="287" spans="1:10" x14ac:dyDescent="0.2">
      <c r="A287" s="21" t="s">
        <v>1750</v>
      </c>
      <c r="B287" s="21" t="s">
        <v>1405</v>
      </c>
      <c r="C287" s="21" t="s">
        <v>1446</v>
      </c>
      <c r="D287" s="21" t="s">
        <v>2702</v>
      </c>
      <c r="E287" s="21" t="s">
        <v>1444</v>
      </c>
      <c r="F287" s="22" t="s">
        <v>2549</v>
      </c>
      <c r="G287" s="22">
        <v>555</v>
      </c>
      <c r="H287" s="22">
        <v>6</v>
      </c>
      <c r="I287" s="22" t="s">
        <v>119</v>
      </c>
      <c r="J287" s="22" t="s">
        <v>2550</v>
      </c>
    </row>
    <row r="288" spans="1:10" x14ac:dyDescent="0.2">
      <c r="A288" s="21" t="s">
        <v>1752</v>
      </c>
      <c r="B288" s="21" t="s">
        <v>1405</v>
      </c>
      <c r="C288" s="21" t="s">
        <v>1446</v>
      </c>
      <c r="D288" s="21" t="s">
        <v>2702</v>
      </c>
      <c r="E288" s="21" t="s">
        <v>1444</v>
      </c>
      <c r="F288" s="22" t="s">
        <v>2549</v>
      </c>
      <c r="G288" s="22">
        <v>556</v>
      </c>
      <c r="H288" s="22">
        <v>6</v>
      </c>
      <c r="I288" s="22" t="s">
        <v>120</v>
      </c>
      <c r="J288" s="22" t="s">
        <v>2550</v>
      </c>
    </row>
    <row r="289" spans="1:10" x14ac:dyDescent="0.2">
      <c r="A289" s="21" t="s">
        <v>1754</v>
      </c>
      <c r="B289" s="21" t="s">
        <v>1405</v>
      </c>
      <c r="C289" s="21" t="s">
        <v>1446</v>
      </c>
      <c r="D289" s="21" t="s">
        <v>2702</v>
      </c>
      <c r="E289" s="21" t="s">
        <v>1444</v>
      </c>
      <c r="F289" s="22" t="s">
        <v>2549</v>
      </c>
      <c r="G289" s="22">
        <v>557</v>
      </c>
      <c r="H289" s="22">
        <v>6</v>
      </c>
      <c r="I289" s="22" t="s">
        <v>121</v>
      </c>
      <c r="J289" s="22" t="s">
        <v>2550</v>
      </c>
    </row>
    <row r="290" spans="1:10" x14ac:dyDescent="0.2">
      <c r="A290" s="21" t="s">
        <v>1756</v>
      </c>
      <c r="B290" s="21" t="s">
        <v>1405</v>
      </c>
      <c r="C290" s="21" t="s">
        <v>1446</v>
      </c>
      <c r="D290" s="21" t="s">
        <v>2702</v>
      </c>
      <c r="E290" s="21" t="s">
        <v>1444</v>
      </c>
      <c r="F290" s="22" t="s">
        <v>2549</v>
      </c>
      <c r="G290" s="22">
        <v>558</v>
      </c>
      <c r="H290" s="22">
        <v>6</v>
      </c>
      <c r="I290" s="22" t="s">
        <v>122</v>
      </c>
      <c r="J290" s="22" t="s">
        <v>2550</v>
      </c>
    </row>
    <row r="291" spans="1:10" x14ac:dyDescent="0.2">
      <c r="A291" s="21" t="s">
        <v>1758</v>
      </c>
      <c r="B291" s="21" t="s">
        <v>1405</v>
      </c>
      <c r="C291" s="21" t="s">
        <v>1446</v>
      </c>
      <c r="D291" s="21" t="s">
        <v>2702</v>
      </c>
      <c r="E291" s="21" t="s">
        <v>1444</v>
      </c>
      <c r="F291" s="22" t="s">
        <v>2549</v>
      </c>
      <c r="G291" s="22">
        <v>559</v>
      </c>
      <c r="H291" s="22">
        <v>6</v>
      </c>
      <c r="I291" s="22" t="s">
        <v>123</v>
      </c>
      <c r="J291" s="22" t="s">
        <v>2550</v>
      </c>
    </row>
    <row r="292" spans="1:10" x14ac:dyDescent="0.2">
      <c r="A292" s="21" t="s">
        <v>1760</v>
      </c>
      <c r="B292" s="21" t="s">
        <v>1405</v>
      </c>
      <c r="C292" s="21" t="s">
        <v>1446</v>
      </c>
      <c r="D292" s="21" t="s">
        <v>2702</v>
      </c>
      <c r="E292" s="21" t="s">
        <v>1444</v>
      </c>
      <c r="F292" s="22" t="s">
        <v>2549</v>
      </c>
      <c r="G292" s="22">
        <v>560</v>
      </c>
      <c r="H292" s="22">
        <v>6</v>
      </c>
      <c r="I292" s="22" t="s">
        <v>124</v>
      </c>
      <c r="J292" s="22" t="s">
        <v>2550</v>
      </c>
    </row>
    <row r="293" spans="1:10" x14ac:dyDescent="0.2">
      <c r="A293" s="21" t="s">
        <v>1762</v>
      </c>
      <c r="B293" s="21" t="s">
        <v>1405</v>
      </c>
      <c r="C293" s="21" t="s">
        <v>1446</v>
      </c>
      <c r="D293" s="21" t="s">
        <v>2702</v>
      </c>
      <c r="E293" s="21" t="s">
        <v>1444</v>
      </c>
      <c r="F293" s="22" t="s">
        <v>2549</v>
      </c>
      <c r="G293" s="22">
        <v>561</v>
      </c>
      <c r="H293" s="22">
        <v>6</v>
      </c>
      <c r="I293" s="22" t="s">
        <v>125</v>
      </c>
      <c r="J293" s="22" t="s">
        <v>2550</v>
      </c>
    </row>
    <row r="294" spans="1:10" x14ac:dyDescent="0.2">
      <c r="A294" s="21" t="s">
        <v>1764</v>
      </c>
      <c r="B294" s="21" t="s">
        <v>1405</v>
      </c>
      <c r="C294" s="21" t="s">
        <v>1446</v>
      </c>
      <c r="D294" s="21" t="s">
        <v>2702</v>
      </c>
      <c r="E294" s="21" t="s">
        <v>1444</v>
      </c>
      <c r="F294" s="22" t="s">
        <v>2549</v>
      </c>
      <c r="G294" s="22">
        <v>562</v>
      </c>
      <c r="H294" s="22">
        <v>6</v>
      </c>
      <c r="I294" s="22" t="s">
        <v>126</v>
      </c>
      <c r="J294" s="22" t="s">
        <v>2550</v>
      </c>
    </row>
    <row r="295" spans="1:10" x14ac:dyDescent="0.2">
      <c r="A295" s="21" t="s">
        <v>1766</v>
      </c>
      <c r="B295" s="21" t="s">
        <v>1405</v>
      </c>
      <c r="C295" s="21" t="s">
        <v>1446</v>
      </c>
      <c r="D295" s="21" t="s">
        <v>2702</v>
      </c>
      <c r="E295" s="21" t="s">
        <v>1444</v>
      </c>
      <c r="F295" s="22" t="s">
        <v>2549</v>
      </c>
      <c r="G295" s="22">
        <v>563</v>
      </c>
      <c r="H295" s="22">
        <v>6</v>
      </c>
      <c r="I295" s="22" t="s">
        <v>127</v>
      </c>
      <c r="J295" s="22" t="s">
        <v>2553</v>
      </c>
    </row>
  </sheetData>
  <sortState xmlns:xlrd2="http://schemas.microsoft.com/office/spreadsheetml/2017/richdata2" ref="A2:J296">
    <sortCondition ref="E1:E296"/>
  </sortState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SICap</vt:lpstr>
      <vt:lpstr>KlebMouseAvatar</vt:lpstr>
      <vt:lpstr>Envivo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Beverly Fu</dc:creator>
  <cp:lastModifiedBy>Beverly Fu</cp:lastModifiedBy>
  <dcterms:created xsi:type="dcterms:W3CDTF">2024-07-26T17:45:32Z</dcterms:created>
  <dcterms:modified xsi:type="dcterms:W3CDTF">2026-03-06T22:03:50Z</dcterms:modified>
</cp:coreProperties>
</file>