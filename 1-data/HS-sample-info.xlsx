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u/Dropbox (Personal)/Papers/NatProt-CUPID-Seq/Github/CUPID-seq-protocol/1-data/"/>
    </mc:Choice>
  </mc:AlternateContent>
  <xr:revisionPtr revIDLastSave="0" documentId="13_ncr:1_{83C603A0-3752-2D4A-B333-1F2C1F89FB55}" xr6:coauthVersionLast="47" xr6:coauthVersionMax="47" xr10:uidLastSave="{00000000-0000-0000-0000-000000000000}"/>
  <bookViews>
    <workbookView xWindow="2600" yWindow="2700" windowWidth="27640" windowHeight="16940" xr2:uid="{A6D5D2C5-6DB2-4D41-852E-3B59AF8BF0D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2" i="1"/>
</calcChain>
</file>

<file path=xl/sharedStrings.xml><?xml version="1.0" encoding="utf-8"?>
<sst xmlns="http://schemas.openxmlformats.org/spreadsheetml/2006/main" count="5998" uniqueCount="815">
  <si>
    <t>Sample</t>
  </si>
  <si>
    <t>Barcode_well</t>
  </si>
  <si>
    <t>Barcode_plate</t>
  </si>
  <si>
    <t>16S-A</t>
  </si>
  <si>
    <t>Phase</t>
  </si>
  <si>
    <t>Platform</t>
  </si>
  <si>
    <t>PCR</t>
  </si>
  <si>
    <t>DIP</t>
  </si>
  <si>
    <t>EMP</t>
  </si>
  <si>
    <t>NovaSeq</t>
  </si>
  <si>
    <t>MiSeq</t>
  </si>
  <si>
    <t>NA</t>
  </si>
  <si>
    <t>Project</t>
  </si>
  <si>
    <t>anaCS</t>
  </si>
  <si>
    <t>Subject</t>
  </si>
  <si>
    <t>Well</t>
  </si>
  <si>
    <t>Drug</t>
  </si>
  <si>
    <t>A01</t>
  </si>
  <si>
    <t>L0</t>
  </si>
  <si>
    <t>Subj5</t>
  </si>
  <si>
    <t>L1</t>
  </si>
  <si>
    <t>Subj6</t>
  </si>
  <si>
    <t>L2</t>
  </si>
  <si>
    <t>L3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</si>
  <si>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</si>
  <si>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</si>
  <si>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</si>
  <si>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</si>
  <si>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</si>
  <si>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</si>
  <si>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</si>
  <si>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</si>
  <si>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</si>
  <si>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</si>
  <si>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</si>
  <si>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</si>
  <si>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</si>
  <si>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</si>
  <si>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</si>
  <si>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</si>
  <si>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</si>
  <si>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</si>
  <si>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</si>
  <si>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</si>
  <si>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</si>
  <si>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</si>
  <si>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</si>
  <si>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</si>
  <si>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</si>
  <si>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</si>
  <si>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</si>
  <si>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</si>
  <si>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</si>
  <si>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</si>
  <si>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</si>
  <si>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</si>
  <si>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</si>
  <si>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</si>
  <si>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</si>
  <si>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</si>
  <si>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</si>
  <si>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</si>
  <si>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</si>
  <si>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</si>
  <si>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</si>
  <si>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</si>
  <si>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</si>
  <si>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</si>
  <si>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</si>
  <si>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</si>
  <si>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</si>
  <si>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</si>
  <si>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</si>
  <si>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</si>
  <si>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</si>
  <si>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</si>
  <si>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</si>
  <si>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</si>
  <si>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</si>
  <si>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</si>
  <si>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</si>
  <si>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</si>
  <si>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</si>
  <si>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</si>
  <si>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</si>
  <si>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</si>
  <si>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</si>
  <si>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</si>
  <si>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</si>
  <si>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</si>
  <si>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</si>
  <si>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</si>
  <si>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</si>
  <si>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</si>
  <si>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</si>
  <si>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</si>
  <si>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</si>
  <si>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</si>
  <si>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</si>
  <si>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</si>
  <si>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</si>
  <si>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</si>
  <si>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</si>
  <si>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</si>
  <si>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</si>
  <si>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</si>
  <si>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</si>
  <si>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</si>
  <si>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</si>
  <si>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</si>
  <si>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</si>
  <si>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</si>
  <si>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</si>
  <si>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</si>
  <si>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</si>
  <si>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</si>
  <si>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</si>
  <si>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</si>
  <si>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</si>
  <si>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DMSO</t>
  </si>
  <si>
    <t>Kitasamycin</t>
  </si>
  <si>
    <t>Oxiconazole-nitrate</t>
  </si>
  <si>
    <t>Rolitetracycline</t>
  </si>
  <si>
    <t>Ampicillin-sodium</t>
  </si>
  <si>
    <t>Rufloxacin-hydrochloride</t>
  </si>
  <si>
    <t>Letrozole</t>
  </si>
  <si>
    <t>Zacopride-hydrochloride-hydrate</t>
  </si>
  <si>
    <t>Doxylamine-succinate</t>
  </si>
  <si>
    <t>Ethacrynic-acid</t>
  </si>
  <si>
    <t>Mevastatin</t>
  </si>
  <si>
    <t>Medroxyprogesterone-17-acetate</t>
  </si>
  <si>
    <t>Moxifloxacin-hydrochloride</t>
  </si>
  <si>
    <t>Triclabendazole</t>
  </si>
  <si>
    <t>Oxytetracycline-hydrochloride</t>
  </si>
  <si>
    <t>Cefoxitin-sodium</t>
  </si>
  <si>
    <t>Norfloxacin</t>
  </si>
  <si>
    <t>Atracurium-besylate</t>
  </si>
  <si>
    <t>Deferiprone</t>
  </si>
  <si>
    <t>Vincristine-sulfate</t>
  </si>
  <si>
    <t>Verapamil-hydrochloride</t>
  </si>
  <si>
    <t>Fluvastatin</t>
  </si>
  <si>
    <t>Ethionamide</t>
  </si>
  <si>
    <t>Azithromycin</t>
  </si>
  <si>
    <t>Metronidazole</t>
  </si>
  <si>
    <t>Rifabutin</t>
  </si>
  <si>
    <t>Doxycycline</t>
  </si>
  <si>
    <t>Dicloxacillin-sodium</t>
  </si>
  <si>
    <t>Pefloxacin-mesylate</t>
  </si>
  <si>
    <t>Repaglinide</t>
  </si>
  <si>
    <t>Bicalutamide</t>
  </si>
  <si>
    <t>Doxapram-hydrochloride</t>
  </si>
  <si>
    <t>Idebenone</t>
  </si>
  <si>
    <t>Zonisamide</t>
  </si>
  <si>
    <t>Cyproheptadine-hydrochloride</t>
  </si>
  <si>
    <t>Erythromycin</t>
  </si>
  <si>
    <t>Ornidazole</t>
  </si>
  <si>
    <t>Rifaximin</t>
  </si>
  <si>
    <t>Demeclocycline</t>
  </si>
  <si>
    <t>Levofloxacin</t>
  </si>
  <si>
    <t>Pazufloxacin</t>
  </si>
  <si>
    <t>Clomifene-citrate</t>
  </si>
  <si>
    <t>Crotamiton</t>
  </si>
  <si>
    <t>Piroxicam</t>
  </si>
  <si>
    <t>Anastrozole</t>
  </si>
  <si>
    <t>Ipratropium-bromide</t>
  </si>
  <si>
    <t>Thiabendazole</t>
  </si>
  <si>
    <t>Clarithromycin</t>
  </si>
  <si>
    <t>Secnidazole</t>
  </si>
  <si>
    <t>Rifapentine</t>
  </si>
  <si>
    <t>Triclosan</t>
  </si>
  <si>
    <t>Enrofloxacin</t>
  </si>
  <si>
    <t>Fluphenazine-dihydrochloride</t>
  </si>
  <si>
    <t>Aminolevulinic-acid</t>
  </si>
  <si>
    <t>Masitinib</t>
  </si>
  <si>
    <t>Methazolamide</t>
  </si>
  <si>
    <t>Carbidopa</t>
  </si>
  <si>
    <t>Methylprednisolone-acetate</t>
  </si>
  <si>
    <t>empty1</t>
  </si>
  <si>
    <t>Tinidazole</t>
  </si>
  <si>
    <t>Rifampicin</t>
  </si>
  <si>
    <t>Tamoxifen</t>
  </si>
  <si>
    <t>Zidovudine</t>
  </si>
  <si>
    <t>Ofloxacin</t>
  </si>
  <si>
    <t>Nimetazepam</t>
  </si>
  <si>
    <t>Ethynylestradiol</t>
  </si>
  <si>
    <t>Halometasone-monohydrate</t>
  </si>
  <si>
    <t>Prednisolone</t>
  </si>
  <si>
    <t>Azathioprine</t>
  </si>
  <si>
    <t>Miglitol</t>
  </si>
  <si>
    <t>Tosufloxacin-tosilate</t>
  </si>
  <si>
    <t>Bifonazole</t>
  </si>
  <si>
    <t>Tetracycline</t>
  </si>
  <si>
    <t>Toremifene-citrate</t>
  </si>
  <si>
    <t>Acarbose</t>
  </si>
  <si>
    <t>Gatifloxacin</t>
  </si>
  <si>
    <t>3-Pyridinemethanol</t>
  </si>
  <si>
    <t>Lomerizine-dihydrochloride</t>
  </si>
  <si>
    <t>Tizanidine-hydrochloride</t>
  </si>
  <si>
    <t>Prednisone</t>
  </si>
  <si>
    <t>Methylprednisolone</t>
  </si>
  <si>
    <t>Prilocaine-hydrochloride</t>
  </si>
  <si>
    <t>empty2</t>
  </si>
  <si>
    <t>Clotrimazole</t>
  </si>
  <si>
    <t>Minocycline-hydrochloride</t>
  </si>
  <si>
    <t>Estradiol-valerate</t>
  </si>
  <si>
    <t>Loperamide-hydrochloride</t>
  </si>
  <si>
    <t>Amoxicillin</t>
  </si>
  <si>
    <t>Ursodeoxycholic-acid</t>
  </si>
  <si>
    <t>Cladribine</t>
  </si>
  <si>
    <t>Medrysone</t>
  </si>
  <si>
    <t>L-Thyroxine</t>
  </si>
  <si>
    <t>Raloxifene-hydrochloride</t>
  </si>
  <si>
    <t>empty3</t>
  </si>
  <si>
    <t>sample_1_DIP</t>
  </si>
  <si>
    <t>sample_1_EMP</t>
  </si>
  <si>
    <t>sample_1_FULL</t>
  </si>
  <si>
    <t>sample_2_DIP</t>
  </si>
  <si>
    <t>sample_2_EMP</t>
  </si>
  <si>
    <t>sample_2_FULL</t>
  </si>
  <si>
    <t>sample_3_DIP</t>
  </si>
  <si>
    <t>sample_3_EMP</t>
  </si>
  <si>
    <t>sample_3_FULL</t>
  </si>
  <si>
    <t>sample_4_DIP</t>
  </si>
  <si>
    <t>sample_4_EMP</t>
  </si>
  <si>
    <t>sample_4_FULL</t>
  </si>
  <si>
    <t>PacBio</t>
  </si>
  <si>
    <t>Full</t>
  </si>
  <si>
    <t>Sample_num</t>
  </si>
  <si>
    <t>Drug_no</t>
  </si>
  <si>
    <t>CUPID-seq</t>
  </si>
  <si>
    <t>denoisedF</t>
  </si>
  <si>
    <t>denoisedR</t>
  </si>
  <si>
    <t>merged</t>
  </si>
  <si>
    <t>nonchim</t>
  </si>
  <si>
    <t>pct_nonchim_of_merged</t>
  </si>
  <si>
    <t>richness</t>
  </si>
  <si>
    <t>shannon</t>
  </si>
  <si>
    <t>evenness</t>
  </si>
  <si>
    <t>Header</t>
  </si>
  <si>
    <t>HS-CS5_A01_DMSO_S385</t>
  </si>
  <si>
    <t>HS-CS6_A01_DMSO_S481</t>
  </si>
  <si>
    <t>16S-A-A01-L0_anaCS-Subj5-A01</t>
  </si>
  <si>
    <t>16S-A-A01-L1_anaCS-Subj6-A01</t>
  </si>
  <si>
    <t>16S-A-A01-L2_anaCS-Subj5-A01</t>
  </si>
  <si>
    <t>16S-A-A01-L3_anaCS-Subj6-A01</t>
  </si>
  <si>
    <t>HS-CS5_A02_Kitasamycin_S386</t>
  </si>
  <si>
    <t>HS-CS6_A02_Kitasamycin_S482</t>
  </si>
  <si>
    <t>16S-A-A02-L0_anaCS-Subj5-A02</t>
  </si>
  <si>
    <t>16S-A-A02-L1_anaCS-Subj6-A02</t>
  </si>
  <si>
    <t>16S-A-A02-L2_anaCS-Subj5-A02</t>
  </si>
  <si>
    <t>16S-A-A02-L3_anaCS-Subj6-A02</t>
  </si>
  <si>
    <t>16S-A-A03-L0_anaCS-Subj5-A03</t>
  </si>
  <si>
    <t>16S-A-A03-L1_anaCS-Subj6-A03</t>
  </si>
  <si>
    <t>16S-A-A03-L2_anaCS-Subj5-A03</t>
  </si>
  <si>
    <t>16S-A-A03-L3_anaCS-Subj6-A03</t>
  </si>
  <si>
    <t>HS-CS5_A03_Oxiconazole-nitrate_S387</t>
  </si>
  <si>
    <t>HS-CS6_A03_Oxiconazole-nitrate_S483</t>
  </si>
  <si>
    <t>16S-A-A04-L0_anaCS-Subj5-A04</t>
  </si>
  <si>
    <t>16S-A-A04-L1_anaCS-Subj6-A04</t>
  </si>
  <si>
    <t>16S-A-A04-L2_anaCS-Subj5-A04</t>
  </si>
  <si>
    <t>16S-A-A04-L3_anaCS-Subj6-A04</t>
  </si>
  <si>
    <t>HS-CS5_A04_Rolitetracycline_S388</t>
  </si>
  <si>
    <t>HS-CS6_A04_Rolitetracycline_S484</t>
  </si>
  <si>
    <t>HS-CS5_A05_Ampicillin-sodium_S389</t>
  </si>
  <si>
    <t>HS-CS6_A05_Ampicillin-sodium_S485</t>
  </si>
  <si>
    <t>16S-A-A05-L0_anaCS-Subj5-A05</t>
  </si>
  <si>
    <t>16S-A-A05-L1_anaCS-Subj6-A05</t>
  </si>
  <si>
    <t>16S-A-A05-L2_anaCS-Subj5-A05</t>
  </si>
  <si>
    <t>16S-A-A05-L3_anaCS-Subj6-A05</t>
  </si>
  <si>
    <t>16S-A-A06-L0_anaCS-Subj5-A06</t>
  </si>
  <si>
    <t>16S-A-A06-L1_anaCS-Subj6-A06</t>
  </si>
  <si>
    <t>16S-A-A06-L2_anaCS-Subj5-A06</t>
  </si>
  <si>
    <t>16S-A-A06-L3_anaCS-Subj6-A06</t>
  </si>
  <si>
    <t>HS-CS5_A06_Rufloxacin-hydrochloride_S390</t>
  </si>
  <si>
    <t>HS-CS6_A06_Rufloxacin-hydrochloride_S486</t>
  </si>
  <si>
    <t>HS-CS5_A07_Letrozole_S391</t>
  </si>
  <si>
    <t>HS-CS6_A07_Letrozole_S487</t>
  </si>
  <si>
    <t>16S-A-A07-L0_anaCS-Subj5-A07</t>
  </si>
  <si>
    <t>16S-A-A07-L1_anaCS-Subj6-A07</t>
  </si>
  <si>
    <t>16S-A-A07-L2_anaCS-Subj5-A07</t>
  </si>
  <si>
    <t>16S-A-A07-L3_anaCS-Subj6-A07</t>
  </si>
  <si>
    <t>16S-A-A08-L0_anaCS-Subj5-A08</t>
  </si>
  <si>
    <t>16S-A-A08-L1_anaCS-Subj6-A08</t>
  </si>
  <si>
    <t>16S-A-A08-L2_anaCS-Subj5-A08</t>
  </si>
  <si>
    <t>16S-A-A08-L3_anaCS-Subj6-A08</t>
  </si>
  <si>
    <t>HS-CS5_A08_Zacopride-hydrochloride-hydrate_S392</t>
  </si>
  <si>
    <t>HS-CS6_A08_Zacopride-hydrochloride-hydrate_S488</t>
  </si>
  <si>
    <t>HS-CS5_A09_Doxylamine-succinate_S393</t>
  </si>
  <si>
    <t>HS-CS6_A09_Doxylamine-succinate_S489</t>
  </si>
  <si>
    <t>16S-A-A09-L0_anaCS-Subj5-A09</t>
  </si>
  <si>
    <t>16S-A-A09-L1_anaCS-Subj6-A09</t>
  </si>
  <si>
    <t>16S-A-A09-L2_anaCS-Subj5-A09</t>
  </si>
  <si>
    <t>16S-A-A09-L3_anaCS-Subj6-A09</t>
  </si>
  <si>
    <t>HS-CS5_A10_Ethacrynic-acid_S394</t>
  </si>
  <si>
    <t>HS-CS6_A10_Ethacrynic-acid_S490</t>
  </si>
  <si>
    <t>16S-A-A10-L0_anaCS-Subj5-A10</t>
  </si>
  <si>
    <t>16S-A-A10-L1_anaCS-Subj6-A10</t>
  </si>
  <si>
    <t>16S-A-A10-L2_anaCS-Subj5-A10</t>
  </si>
  <si>
    <t>16S-A-A10-L3_anaCS-Subj6-A10</t>
  </si>
  <si>
    <t>HS-CS5_A11_Mevastatin_S395</t>
  </si>
  <si>
    <t>HS-CS6_A11_Mevastatin_S491</t>
  </si>
  <si>
    <t>16S-A-A11-L0_anaCS-Subj5-A11</t>
  </si>
  <si>
    <t>16S-A-A11-L1_anaCS-Subj6-A11</t>
  </si>
  <si>
    <t>16S-A-A11-L2_anaCS-Subj5-A11</t>
  </si>
  <si>
    <t>16S-A-A11-L3_anaCS-Subj6-A11</t>
  </si>
  <si>
    <t>HS-CS5_A12_Medroxyprogesterone-17-acetate_S396</t>
  </si>
  <si>
    <t>HS-CS6_A12_Medroxyprogesterone-17-acetate_S492</t>
  </si>
  <si>
    <t>16S-A-A12-L0_anaCS-Subj5-A12</t>
  </si>
  <si>
    <t>16S-A-A12-L1_anaCS-Subj6-A12</t>
  </si>
  <si>
    <t>16S-A-A12-L2_anaCS-Subj5-A12</t>
  </si>
  <si>
    <t>16S-A-A12-L3_anaCS-Subj6-A12</t>
  </si>
  <si>
    <t>HS-CS5_B01_DMSO_S397</t>
  </si>
  <si>
    <t>HS-CS6_B01_DMSO_S493</t>
  </si>
  <si>
    <t>16S-A-B01-L0_anaCS-Subj5-B01</t>
  </si>
  <si>
    <t>16S-A-B01-L1_anaCS-Subj6-B01</t>
  </si>
  <si>
    <t>16S-A-B01-L2_anaCS-Subj5-B01</t>
  </si>
  <si>
    <t>16S-A-B01-L3_anaCS-Subj6-B01</t>
  </si>
  <si>
    <t>HS-CS5_B02_Moxifloxacin-hydrochloride_S398</t>
  </si>
  <si>
    <t>HS-CS6_B02_Moxifloxacin-hydrochloride_S494</t>
  </si>
  <si>
    <t>16S-A-B02-L0_anaCS-Subj5-B02</t>
  </si>
  <si>
    <t>16S-A-B02-L1_anaCS-Subj6-B02</t>
  </si>
  <si>
    <t>16S-A-B02-L2_anaCS-Subj5-B02</t>
  </si>
  <si>
    <t>16S-A-B02-L3_anaCS-Subj6-B02</t>
  </si>
  <si>
    <t>16S-A-B03-L0_anaCS-Subj5-B03</t>
  </si>
  <si>
    <t>16S-A-B03-L1_anaCS-Subj6-B03</t>
  </si>
  <si>
    <t>16S-A-B03-L2_anaCS-Subj5-B03</t>
  </si>
  <si>
    <t>16S-A-B03-L3_anaCS-Subj6-B03</t>
  </si>
  <si>
    <t>HS-CS5_B03_Triclabendazole_S399</t>
  </si>
  <si>
    <t>HS-CS6_B03_Triclabendazole_S495</t>
  </si>
  <si>
    <t>16S-A-B04-L0_anaCS-Subj5-B04</t>
  </si>
  <si>
    <t>16S-A-B04-L1_anaCS-Subj6-B04</t>
  </si>
  <si>
    <t>16S-A-B04-L2_anaCS-Subj5-B04</t>
  </si>
  <si>
    <t>16S-A-B04-L3_anaCS-Subj6-B04</t>
  </si>
  <si>
    <t>HS-CS5_B04_Oxytetracycline-hydrochloride_S400</t>
  </si>
  <si>
    <t>HS-CS6_B04_Oxytetracycline-hydrochloride_S496</t>
  </si>
  <si>
    <t>HS-CS5_B05_Cefoxitin-sodium_S401</t>
  </si>
  <si>
    <t>HS-CS6_B05_Cefoxitin-sodium_S497</t>
  </si>
  <si>
    <t>16S-A-B05-L0_anaCS-Subj5-B05</t>
  </si>
  <si>
    <t>16S-A-B05-L1_anaCS-Subj6-B05</t>
  </si>
  <si>
    <t>16S-A-B05-L2_anaCS-Subj5-B05</t>
  </si>
  <si>
    <t>16S-A-B05-L3_anaCS-Subj6-B05</t>
  </si>
  <si>
    <t>16S-A-B06-L0_anaCS-Subj5-B06</t>
  </si>
  <si>
    <t>16S-A-B06-L1_anaCS-Subj6-B06</t>
  </si>
  <si>
    <t>16S-A-B06-L2_anaCS-Subj5-B06</t>
  </si>
  <si>
    <t>16S-A-B06-L3_anaCS-Subj6-B06</t>
  </si>
  <si>
    <t>HS-CS5_B06_Norfloxacin_S402</t>
  </si>
  <si>
    <t>HS-CS6_B06_Norfloxacin_S498</t>
  </si>
  <si>
    <t>HS-CS5_B07_Atracurium-besylate_S403</t>
  </si>
  <si>
    <t>HS-CS6_B07_Atracurium-besylate_S499</t>
  </si>
  <si>
    <t>16S-A-B07-L0_anaCS-Subj5-B07</t>
  </si>
  <si>
    <t>16S-A-B07-L1_anaCS-Subj6-B07</t>
  </si>
  <si>
    <t>16S-A-B07-L2_anaCS-Subj5-B07</t>
  </si>
  <si>
    <t>16S-A-B07-L3_anaCS-Subj6-B07</t>
  </si>
  <si>
    <t>HS-CS5_B08_Deferiprone_S404</t>
  </si>
  <si>
    <t>HS-CS6_B08_Deferiprone_S500</t>
  </si>
  <si>
    <t>16S-A-B08-L0_anaCS-Subj5-B08</t>
  </si>
  <si>
    <t>16S-A-B08-L1_anaCS-Subj6-B08</t>
  </si>
  <si>
    <t>16S-A-B08-L2_anaCS-Subj5-B08</t>
  </si>
  <si>
    <t>16S-A-B08-L3_anaCS-Subj6-B08</t>
  </si>
  <si>
    <t>16S-A-B09-L0_anaCS-Subj5-B09</t>
  </si>
  <si>
    <t>16S-A-B09-L1_anaCS-Subj6-B09</t>
  </si>
  <si>
    <t>16S-A-B09-L2_anaCS-Subj5-B09</t>
  </si>
  <si>
    <t>16S-A-B09-L3_anaCS-Subj6-B09</t>
  </si>
  <si>
    <t>HS-CS5_B09_Vincristine-sulfate_S405</t>
  </si>
  <si>
    <t>HS-CS6_B09_Vincristine-sulfate_S501</t>
  </si>
  <si>
    <t>16S-A-B10-L0_anaCS-Subj5-B10</t>
  </si>
  <si>
    <t>16S-A-B10-L1_anaCS-Subj6-B10</t>
  </si>
  <si>
    <t>16S-A-B10-L2_anaCS-Subj5-B10</t>
  </si>
  <si>
    <t>16S-A-B10-L3_anaCS-Subj6-B10</t>
  </si>
  <si>
    <t>HS-CS5_B10_Verapamil-hydrochloride_S406</t>
  </si>
  <si>
    <t>HS-CS6_B10_Verapamil-hydrochloride_S502</t>
  </si>
  <si>
    <t>HS-CS5_B11_Fluvastatin_S407</t>
  </si>
  <si>
    <t>HS-CS6_B11_Fluvastatin_S503</t>
  </si>
  <si>
    <t>16S-A-B11-L0_anaCS-Subj5-B11</t>
  </si>
  <si>
    <t>16S-A-B11-L1_anaCS-Subj6-B11</t>
  </si>
  <si>
    <t>16S-A-B11-L2_anaCS-Subj5-B11</t>
  </si>
  <si>
    <t>16S-A-B11-L3_anaCS-Subj6-B11</t>
  </si>
  <si>
    <t>HS-CS5_B12_Ethionamide_S408</t>
  </si>
  <si>
    <t>HS-CS6_B12_Ethionamide_S504</t>
  </si>
  <si>
    <t>16S-A-B12-L0_anaCS-Subj5-B12</t>
  </si>
  <si>
    <t>16S-A-B12-L1_anaCS-Subj6-B12</t>
  </si>
  <si>
    <t>16S-A-B12-L2_anaCS-Subj5-B12</t>
  </si>
  <si>
    <t>16S-A-B12-L3_anaCS-Subj6-B12</t>
  </si>
  <si>
    <t>HS-CS5_C01_Azithromycin_S409</t>
  </si>
  <si>
    <t>HS-CS6_C01_Azithromycin_S505</t>
  </si>
  <si>
    <t>16S-A-C01-L0_anaCS-Subj5-C01</t>
  </si>
  <si>
    <t>16S-A-C01-L1_anaCS-Subj6-C01</t>
  </si>
  <si>
    <t>16S-A-C01-L2_anaCS-Subj5-C01</t>
  </si>
  <si>
    <t>16S-A-C01-L3_anaCS-Subj6-C01</t>
  </si>
  <si>
    <t>HS-CS5_C02_Metronidazole_S410</t>
  </si>
  <si>
    <t>HS-CS6_C02_Metronidazole_S506</t>
  </si>
  <si>
    <t>16S-A-C02-L0_anaCS-Subj5-C02</t>
  </si>
  <si>
    <t>16S-A-C02-L1_anaCS-Subj6-C02</t>
  </si>
  <si>
    <t>16S-A-C02-L2_anaCS-Subj5-C02</t>
  </si>
  <si>
    <t>16S-A-C02-L3_anaCS-Subj6-C02</t>
  </si>
  <si>
    <t>16S-A-C03-L0_anaCS-Subj5-C03</t>
  </si>
  <si>
    <t>16S-A-C03-L1_anaCS-Subj6-C03</t>
  </si>
  <si>
    <t>16S-A-C03-L2_anaCS-Subj5-C03</t>
  </si>
  <si>
    <t>16S-A-C03-L3_anaCS-Subj6-C03</t>
  </si>
  <si>
    <t>HS-CS5_C03_Rifabutin_S411</t>
  </si>
  <si>
    <t>HS-CS6_C03_Rifabutin_S507</t>
  </si>
  <si>
    <t>HS-CS5_C04_Doxycycline_S412</t>
  </si>
  <si>
    <t>HS-CS6_C04_Doxycycline_S508</t>
  </si>
  <si>
    <t>16S-A-C04-L0_anaCS-Subj5-C04</t>
  </si>
  <si>
    <t>16S-A-C04-L1_anaCS-Subj6-C04</t>
  </si>
  <si>
    <t>16S-A-C04-L2_anaCS-Subj5-C04</t>
  </si>
  <si>
    <t>16S-A-C04-L3_anaCS-Subj6-C04</t>
  </si>
  <si>
    <t>HS-CS5_C05_Dicloxacillin-sodium_S413</t>
  </si>
  <si>
    <t>HS-CS6_C05_Dicloxacillin-sodium_S509</t>
  </si>
  <si>
    <t>16S-A-C05-L0_anaCS-Subj5-C05</t>
  </si>
  <si>
    <t>16S-A-C05-L1_anaCS-Subj6-C05</t>
  </si>
  <si>
    <t>16S-A-C05-L2_anaCS-Subj5-C05</t>
  </si>
  <si>
    <t>16S-A-C05-L3_anaCS-Subj6-C05</t>
  </si>
  <si>
    <t>16S-A-C06-L0_anaCS-Subj5-C06</t>
  </si>
  <si>
    <t>16S-A-C06-L1_anaCS-Subj6-C06</t>
  </si>
  <si>
    <t>16S-A-C06-L2_anaCS-Subj5-C06</t>
  </si>
  <si>
    <t>16S-A-C06-L3_anaCS-Subj6-C06</t>
  </si>
  <si>
    <t>HS-CS5_C06_Pefloxacin-mesylate_S414</t>
  </si>
  <si>
    <t>HS-CS6_C06_Pefloxacin-mesylate_S510</t>
  </si>
  <si>
    <t>16S-A-C07-L0_anaCS-Subj5-C07</t>
  </si>
  <si>
    <t>16S-A-C07-L1_anaCS-Subj6-C07</t>
  </si>
  <si>
    <t>16S-A-C07-L2_anaCS-Subj5-C07</t>
  </si>
  <si>
    <t>16S-A-C07-L3_anaCS-Subj6-C07</t>
  </si>
  <si>
    <t>HS-CS5_C07_Repaglinide_S415</t>
  </si>
  <si>
    <t>HS-CS6_C07_Repaglinide_S511</t>
  </si>
  <si>
    <t>HS-CS5_C08_Bicalutamide_S416</t>
  </si>
  <si>
    <t>HS-CS6_C08_Bicalutamide_S512</t>
  </si>
  <si>
    <t>16S-A-C08-L0_anaCS-Subj5-C08</t>
  </si>
  <si>
    <t>16S-A-C08-L1_anaCS-Subj6-C08</t>
  </si>
  <si>
    <t>16S-A-C08-L2_anaCS-Subj5-C08</t>
  </si>
  <si>
    <t>16S-A-C08-L3_anaCS-Subj6-C08</t>
  </si>
  <si>
    <t>HS-CS5_C09_Doxapram-hydrochloride_S417</t>
  </si>
  <si>
    <t>HS-CS6_C09_Doxapram-hydrochloride_S513</t>
  </si>
  <si>
    <t>16S-A-C09-L0_anaCS-Subj5-C09</t>
  </si>
  <si>
    <t>16S-A-C09-L1_anaCS-Subj6-C09</t>
  </si>
  <si>
    <t>16S-A-C09-L2_anaCS-Subj5-C09</t>
  </si>
  <si>
    <t>16S-A-C09-L3_anaCS-Subj6-C09</t>
  </si>
  <si>
    <t>HS-CS5_C10_Idebenone_S418</t>
  </si>
  <si>
    <t>HS-CS6_C10_Idebenone_S514</t>
  </si>
  <si>
    <t>16S-A-C10-L0_anaCS-Subj5-C10</t>
  </si>
  <si>
    <t>16S-A-C10-L1_anaCS-Subj6-C10</t>
  </si>
  <si>
    <t>16S-A-C10-L2_anaCS-Subj5-C10</t>
  </si>
  <si>
    <t>16S-A-C10-L3_anaCS-Subj6-C10</t>
  </si>
  <si>
    <t>16S-A-C11-L0_anaCS-Subj5-C11</t>
  </si>
  <si>
    <t>16S-A-C11-L1_anaCS-Subj6-C11</t>
  </si>
  <si>
    <t>16S-A-C11-L2_anaCS-Subj5-C11</t>
  </si>
  <si>
    <t>16S-A-C11-L3_anaCS-Subj6-C11</t>
  </si>
  <si>
    <t>HS-CS5_C11_Zonisamide_S419</t>
  </si>
  <si>
    <t>HS-CS6_C11_Zonisamide_S515</t>
  </si>
  <si>
    <t>HS-CS5_C12_Cyproheptadine-hydrochloride_S420</t>
  </si>
  <si>
    <t>HS-CS6_C12_Cyproheptadine-hydrochloride_S516</t>
  </si>
  <si>
    <t>16S-A-C12-L0_anaCS-Subj5-C12</t>
  </si>
  <si>
    <t>16S-A-C12-L1_anaCS-Subj6-C12</t>
  </si>
  <si>
    <t>16S-A-C12-L2_anaCS-Subj5-C12</t>
  </si>
  <si>
    <t>16S-A-C12-L3_anaCS-Subj6-C12</t>
  </si>
  <si>
    <t>HS-CS5_D01_Erythromycin_S421</t>
  </si>
  <si>
    <t>HS-CS6_D01_Erythromycin_S517</t>
  </si>
  <si>
    <t>16S-A-D01-L0_anaCS-Subj5-D01</t>
  </si>
  <si>
    <t>16S-A-D01-L1_anaCS-Subj6-D01</t>
  </si>
  <si>
    <t>16S-A-D01-L2_anaCS-Subj5-D01</t>
  </si>
  <si>
    <t>16S-A-D01-L3_anaCS-Subj6-D01</t>
  </si>
  <si>
    <t>16S-A-D02-L0_anaCS-Subj5-D02</t>
  </si>
  <si>
    <t>16S-A-D02-L1_anaCS-Subj6-D02</t>
  </si>
  <si>
    <t>16S-A-D02-L2_anaCS-Subj5-D02</t>
  </si>
  <si>
    <t>16S-A-D02-L3_anaCS-Subj6-D02</t>
  </si>
  <si>
    <t>HS-CS5_D02_Ornidazole_S422</t>
  </si>
  <si>
    <t>HS-CS6_D02_Ornidazole_S518</t>
  </si>
  <si>
    <t>16S-A-D03-L0_anaCS-Subj5-D03</t>
  </si>
  <si>
    <t>16S-A-D03-L1_anaCS-Subj6-D03</t>
  </si>
  <si>
    <t>16S-A-D03-L2_anaCS-Subj5-D03</t>
  </si>
  <si>
    <t>16S-A-D03-L3_anaCS-Subj6-D03</t>
  </si>
  <si>
    <t>HS-CS5_D03_Rifaximin_S423</t>
  </si>
  <si>
    <t>HS-CS6_D03_Rifaximin_S519</t>
  </si>
  <si>
    <t>HS-CS5_D04_Demeclocycline_S424</t>
  </si>
  <si>
    <t>HS-CS6_D04_Demeclocycline_S520</t>
  </si>
  <si>
    <t>16S-A-D04-L0_anaCS-Subj5-D04</t>
  </si>
  <si>
    <t>16S-A-D04-L1_anaCS-Subj6-D04</t>
  </si>
  <si>
    <t>16S-A-D04-L2_anaCS-Subj5-D04</t>
  </si>
  <si>
    <t>16S-A-D04-L3_anaCS-Subj6-D04</t>
  </si>
  <si>
    <t>HS-CS5_D05_Levofloxacin_S425</t>
  </si>
  <si>
    <t>HS-CS6_D05_Levofloxacin_S521</t>
  </si>
  <si>
    <t>16S-A-D05-L0_anaCS-Subj5-D05</t>
  </si>
  <si>
    <t>16S-A-D05-L1_anaCS-Subj6-D05</t>
  </si>
  <si>
    <t>16S-A-D05-L2_anaCS-Subj5-D05</t>
  </si>
  <si>
    <t>16S-A-D05-L3_anaCS-Subj6-D05</t>
  </si>
  <si>
    <t>16S-A-D06-L0_anaCS-Subj5-D06</t>
  </si>
  <si>
    <t>16S-A-D06-L1_anaCS-Subj6-D06</t>
  </si>
  <si>
    <t>16S-A-D06-L2_anaCS-Subj5-D06</t>
  </si>
  <si>
    <t>16S-A-D06-L3_anaCS-Subj6-D06</t>
  </si>
  <si>
    <t>HS-CS5_D06_Pazufloxacin_S426</t>
  </si>
  <si>
    <t>HS-CS6_D06_Pazufloxacin_S522</t>
  </si>
  <si>
    <t>HS-CS5_D07_Clomifene-citrate_S427</t>
  </si>
  <si>
    <t>HS-CS6_D07_Clomifene-citrate_S523</t>
  </si>
  <si>
    <t>16S-A-D07-L0_anaCS-Subj5-D07</t>
  </si>
  <si>
    <t>16S-A-D07-L1_anaCS-Subj6-D07</t>
  </si>
  <si>
    <t>16S-A-D07-L2_anaCS-Subj5-D07</t>
  </si>
  <si>
    <t>16S-A-D07-L3_anaCS-Subj6-D07</t>
  </si>
  <si>
    <t>HS-CS5_D08_Crotamiton_S428</t>
  </si>
  <si>
    <t>HS-CS6_D08_Crotamiton_S524</t>
  </si>
  <si>
    <t>16S-A-D08-L0_anaCS-Subj5-D08</t>
  </si>
  <si>
    <t>16S-A-D08-L1_anaCS-Subj6-D08</t>
  </si>
  <si>
    <t>16S-A-D08-L2_anaCS-Subj5-D08</t>
  </si>
  <si>
    <t>16S-A-D08-L3_anaCS-Subj6-D08</t>
  </si>
  <si>
    <t>16S-A-D09-L0_anaCS-Subj5-D09</t>
  </si>
  <si>
    <t>16S-A-D09-L1_anaCS-Subj6-D09</t>
  </si>
  <si>
    <t>16S-A-D09-L2_anaCS-Subj5-D09</t>
  </si>
  <si>
    <t>16S-A-D09-L3_anaCS-Subj6-D09</t>
  </si>
  <si>
    <t>HS-CS5_D09_Piroxicam_S429</t>
  </si>
  <si>
    <t>HS-CS6_D09_Piroxicam_S525</t>
  </si>
  <si>
    <t>HS-CS5_D10_Anastrozole_S430</t>
  </si>
  <si>
    <t>HS-CS6_D10_Anastrozole_S526</t>
  </si>
  <si>
    <t>16S-A-D10-L0_anaCS-Subj5-D10</t>
  </si>
  <si>
    <t>16S-A-D10-L1_anaCS-Subj6-D10</t>
  </si>
  <si>
    <t>16S-A-D10-L2_anaCS-Subj5-D10</t>
  </si>
  <si>
    <t>16S-A-D10-L3_anaCS-Subj6-D10</t>
  </si>
  <si>
    <t>HS-CS5_D11_Ipratropium-bromide_S431</t>
  </si>
  <si>
    <t>HS-CS6_D11_Ipratropium-bromide_S527</t>
  </si>
  <si>
    <t>16S-A-D11-L0_anaCS-Subj5-D11</t>
  </si>
  <si>
    <t>16S-A-D11-L1_anaCS-Subj6-D11</t>
  </si>
  <si>
    <t>16S-A-D11-L2_anaCS-Subj5-D11</t>
  </si>
  <si>
    <t>16S-A-D11-L3_anaCS-Subj6-D11</t>
  </si>
  <si>
    <t>16S-A-D12-L0_anaCS-Subj5-D12</t>
  </si>
  <si>
    <t>16S-A-D12-L1_anaCS-Subj6-D12</t>
  </si>
  <si>
    <t>16S-A-D12-L2_anaCS-Subj5-D12</t>
  </si>
  <si>
    <t>16S-A-D12-L3_anaCS-Subj6-D12</t>
  </si>
  <si>
    <t>HS-CS5_D12_Thiabendazole_S432</t>
  </si>
  <si>
    <t>HS-CS6_D12_Thiabendazole_S528</t>
  </si>
  <si>
    <t>HS-CS5_E01_Clarithromycin_S433</t>
  </si>
  <si>
    <t>HS-CS6_E01_Clarithromycin_S529</t>
  </si>
  <si>
    <t>16S-A-E01-L0_anaCS-Subj5-E01</t>
  </si>
  <si>
    <t>16S-A-E01-L1_anaCS-Subj6-E01</t>
  </si>
  <si>
    <t>16S-A-E01-L2_anaCS-Subj5-E01</t>
  </si>
  <si>
    <t>16S-A-E01-L3_anaCS-Subj6-E01</t>
  </si>
  <si>
    <t>16S-A-E02-L0_anaCS-Subj5-E02</t>
  </si>
  <si>
    <t>16S-A-E02-L1_anaCS-Subj6-E02</t>
  </si>
  <si>
    <t>16S-A-E02-L2_anaCS-Subj5-E02</t>
  </si>
  <si>
    <t>16S-A-E02-L3_anaCS-Subj6-E02</t>
  </si>
  <si>
    <t>HS-CS5_E02_Secnidazole_S434</t>
  </si>
  <si>
    <t>HS-CS6_E02_Secnidazole_S530</t>
  </si>
  <si>
    <t>16S-A-E03-L0_anaCS-Subj5-E03</t>
  </si>
  <si>
    <t>16S-A-E03-L1_anaCS-Subj6-E03</t>
  </si>
  <si>
    <t>16S-A-E03-L2_anaCS-Subj5-E03</t>
  </si>
  <si>
    <t>16S-A-E03-L3_anaCS-Subj6-E03</t>
  </si>
  <si>
    <t>HS-CS5_E03_Rifapentine_S435</t>
  </si>
  <si>
    <t>HS-CS6_E03_Rifapentine_S531</t>
  </si>
  <si>
    <t>HS-CS5_E04_Clomifene-citrate_S436</t>
  </si>
  <si>
    <t>HS-CS6_E04_Clomifene-citrate_S532</t>
  </si>
  <si>
    <t>16S-A-E04-L0_anaCS-Subj5-E04</t>
  </si>
  <si>
    <t>16S-A-E04-L1_anaCS-Subj6-E04</t>
  </si>
  <si>
    <t>16S-A-E04-L2_anaCS-Subj5-E04</t>
  </si>
  <si>
    <t>16S-A-E04-L3_anaCS-Subj6-E04</t>
  </si>
  <si>
    <t>16S-A-E05-L0_anaCS-Subj5-E05</t>
  </si>
  <si>
    <t>16S-A-E05-L1_anaCS-Subj6-E05</t>
  </si>
  <si>
    <t>16S-A-E05-L2_anaCS-Subj5-E05</t>
  </si>
  <si>
    <t>16S-A-E05-L3_anaCS-Subj6-E05</t>
  </si>
  <si>
    <t>HS-CS5_E05_Triclosan_S437</t>
  </si>
  <si>
    <t>HS-CS6_E05_Triclosan_S533</t>
  </si>
  <si>
    <t>HS-CS5_E06_Enrofloxacin_S438</t>
  </si>
  <si>
    <t>HS-CS6_E06_Enrofloxacin_S534</t>
  </si>
  <si>
    <t>16S-A-E06-L0_anaCS-Subj5-E06</t>
  </si>
  <si>
    <t>16S-A-E06-L1_anaCS-Subj6-E06</t>
  </si>
  <si>
    <t>16S-A-E06-L2_anaCS-Subj5-E06</t>
  </si>
  <si>
    <t>16S-A-E06-L3_anaCS-Subj6-E06</t>
  </si>
  <si>
    <t>HS-CS5_E07_Fluphenazine-dihydrochloride_S439</t>
  </si>
  <si>
    <t>HS-CS6_E07_Fluphenazine-dihydrochloride_S535</t>
  </si>
  <si>
    <t>16S-A-E07-L0_anaCS-Subj5-E07</t>
  </si>
  <si>
    <t>16S-A-E07-L1_anaCS-Subj6-E07</t>
  </si>
  <si>
    <t>16S-A-E07-L2_anaCS-Subj5-E07</t>
  </si>
  <si>
    <t>16S-A-E07-L3_anaCS-Subj6-E07</t>
  </si>
  <si>
    <t>HS-CS5_E08_Aminolevulinic-acid_S440</t>
  </si>
  <si>
    <t>HS-CS6_E08_Aminolevulinic-acid_S536</t>
  </si>
  <si>
    <t>16S-A-E08-L0_anaCS-Subj5-E08</t>
  </si>
  <si>
    <t>16S-A-E08-L1_anaCS-Subj6-E08</t>
  </si>
  <si>
    <t>16S-A-E08-L2_anaCS-Subj5-E08</t>
  </si>
  <si>
    <t>16S-A-E08-L3_anaCS-Subj6-E08</t>
  </si>
  <si>
    <t>HS-CS5_E09_Masitinib_S441</t>
  </si>
  <si>
    <t>HS-CS6_E09_Masitinib_S537</t>
  </si>
  <si>
    <t>16S-A-E09-L0_anaCS-Subj5-E09</t>
  </si>
  <si>
    <t>16S-A-E09-L1_anaCS-Subj6-E09</t>
  </si>
  <si>
    <t>16S-A-E09-L2_anaCS-Subj5-E09</t>
  </si>
  <si>
    <t>16S-A-E09-L3_anaCS-Subj6-E09</t>
  </si>
  <si>
    <t>HS-CS5_E10_Methazolamide_S442</t>
  </si>
  <si>
    <t>HS-CS6_E10_Methazolamide_S538</t>
  </si>
  <si>
    <t>16S-A-E10-L0_anaCS-Subj5-E10</t>
  </si>
  <si>
    <t>16S-A-E10-L1_anaCS-Subj6-E10</t>
  </si>
  <si>
    <t>16S-A-E10-L2_anaCS-Subj5-E10</t>
  </si>
  <si>
    <t>16S-A-E10-L3_anaCS-Subj6-E10</t>
  </si>
  <si>
    <t>HS-CS5_E11_Carbidopa_S443</t>
  </si>
  <si>
    <t>HS-CS6_E11_Carbidopa_S539</t>
  </si>
  <si>
    <t>16S-A-E11-L0_anaCS-Subj5-E11</t>
  </si>
  <si>
    <t>16S-A-E11-L1_anaCS-Subj6-E11</t>
  </si>
  <si>
    <t>16S-A-E11-L2_anaCS-Subj5-E11</t>
  </si>
  <si>
    <t>16S-A-E11-L3_anaCS-Subj6-E11</t>
  </si>
  <si>
    <t>HS-CS5_E12_Methylprednisolone-acetate_S444</t>
  </si>
  <si>
    <t>HS-CS6_E12_Methylprednisolone-acetate_S540</t>
  </si>
  <si>
    <t>16S-A-E12-L0_anaCS-Subj5-E12</t>
  </si>
  <si>
    <t>16S-A-E12-L1_anaCS-Subj6-E12</t>
  </si>
  <si>
    <t>16S-A-E12-L2_anaCS-Subj5-E12</t>
  </si>
  <si>
    <t>16S-A-E12-L3_anaCS-Subj6-E12</t>
  </si>
  <si>
    <t>HS-CS5_F01_empty1_S445</t>
  </si>
  <si>
    <t>HS-CS6_F01_empty1_S541</t>
  </si>
  <si>
    <t>16S-A-F01-L0_anaCS-Subj5-F01</t>
  </si>
  <si>
    <t>16S-A-F01-L1_anaCS-Subj6-F01</t>
  </si>
  <si>
    <t>16S-A-F01-L2_anaCS-Subj5-F01</t>
  </si>
  <si>
    <t>16S-A-F01-L3_anaCS-Subj6-F01</t>
  </si>
  <si>
    <t>16S-A-F02-L0_anaCS-Subj5-F02</t>
  </si>
  <si>
    <t>16S-A-F02-L1_anaCS-Subj6-F02</t>
  </si>
  <si>
    <t>16S-A-F02-L2_anaCS-Subj5-F02</t>
  </si>
  <si>
    <t>16S-A-F02-L3_anaCS-Subj6-F02</t>
  </si>
  <si>
    <t>HS-CS5_F02_Tinidazole_S446</t>
  </si>
  <si>
    <t>HS-CS6_F02_Tinidazole_S542</t>
  </si>
  <si>
    <t>16S-A-F03-L0_anaCS-Subj5-F03</t>
  </si>
  <si>
    <t>16S-A-F03-L1_anaCS-Subj6-F03</t>
  </si>
  <si>
    <t>16S-A-F03-L2_anaCS-Subj5-F03</t>
  </si>
  <si>
    <t>16S-A-F03-L3_anaCS-Subj6-F03</t>
  </si>
  <si>
    <t>HS-CS5_F03_Rifampicin_S447</t>
  </si>
  <si>
    <t>HS-CS6_F03_Rifampicin_S543</t>
  </si>
  <si>
    <t>16S-A-F04-L0_anaCS-Subj5-F04</t>
  </si>
  <si>
    <t>16S-A-F04-L1_anaCS-Subj6-F04</t>
  </si>
  <si>
    <t>16S-A-F04-L2_anaCS-Subj5-F04</t>
  </si>
  <si>
    <t>16S-A-F04-L3_anaCS-Subj6-F04</t>
  </si>
  <si>
    <t>HS-CS5_F04_Tamoxifen_S448</t>
  </si>
  <si>
    <t>HS-CS6_F04_Tamoxifen_S544</t>
  </si>
  <si>
    <t>16S-A-F05-L0_anaCS-Subj5-F05</t>
  </si>
  <si>
    <t>16S-A-F05-L1_anaCS-Subj6-F05</t>
  </si>
  <si>
    <t>16S-A-F05-L2_anaCS-Subj5-F05</t>
  </si>
  <si>
    <t>16S-A-F05-L3_anaCS-Subj6-F05</t>
  </si>
  <si>
    <t>HS-CS5_F05_Zidovudine_S449</t>
  </si>
  <si>
    <t>HS-CS6_F05_Zidovudine_S545</t>
  </si>
  <si>
    <t>16S-A-F06-L0_anaCS-Subj5-F06</t>
  </si>
  <si>
    <t>16S-A-F06-L1_anaCS-Subj6-F06</t>
  </si>
  <si>
    <t>16S-A-F06-L2_anaCS-Subj5-F06</t>
  </si>
  <si>
    <t>16S-A-F06-L3_anaCS-Subj6-F06</t>
  </si>
  <si>
    <t>HS-CS5_F06_Ofloxacin_S450</t>
  </si>
  <si>
    <t>HS-CS6_F06_Ofloxacin_S546</t>
  </si>
  <si>
    <t>16S-A-F07-L0_anaCS-Subj5-F07</t>
  </si>
  <si>
    <t>16S-A-F07-L1_anaCS-Subj6-F07</t>
  </si>
  <si>
    <t>16S-A-F07-L2_anaCS-Subj5-F07</t>
  </si>
  <si>
    <t>16S-A-F07-L3_anaCS-Subj6-F07</t>
  </si>
  <si>
    <t>HS-CS5_F07_Nimetazepam_S451</t>
  </si>
  <si>
    <t>HS-CS6_F07_Nimetazepam_S547</t>
  </si>
  <si>
    <t>HS-CS5_F08_Ethynylestradiol_S452</t>
  </si>
  <si>
    <t>HS-CS6_F08_Ethynylestradiol_S548</t>
  </si>
  <si>
    <t>16S-A-F08-L0_anaCS-Subj5-F08</t>
  </si>
  <si>
    <t>16S-A-F08-L1_anaCS-Subj6-F08</t>
  </si>
  <si>
    <t>16S-A-F08-L2_anaCS-Subj5-F08</t>
  </si>
  <si>
    <t>16S-A-F08-L3_anaCS-Subj6-F08</t>
  </si>
  <si>
    <t>HS-CS5_F09_Halometasone-monohydrate_S453</t>
  </si>
  <si>
    <t>HS-CS6_F09_Halometasone-monohydrate_S549</t>
  </si>
  <si>
    <t>16S-A-F09-L0_anaCS-Subj5-F09</t>
  </si>
  <si>
    <t>16S-A-F09-L1_anaCS-Subj6-F09</t>
  </si>
  <si>
    <t>16S-A-F09-L2_anaCS-Subj5-F09</t>
  </si>
  <si>
    <t>16S-A-F09-L3_anaCS-Subj6-F09</t>
  </si>
  <si>
    <t>16S-A-F10-L0_anaCS-Subj5-F10</t>
  </si>
  <si>
    <t>16S-A-F10-L1_anaCS-Subj6-F10</t>
  </si>
  <si>
    <t>16S-A-F10-L2_anaCS-Subj5-F10</t>
  </si>
  <si>
    <t>16S-A-F10-L3_anaCS-Subj6-F10</t>
  </si>
  <si>
    <t>HS-CS5_F10_Prednisolone_S454</t>
  </si>
  <si>
    <t>HS-CS6_F10_Prednisolone_S550</t>
  </si>
  <si>
    <t>HS-CS5_F11_Azathioprine_S455</t>
  </si>
  <si>
    <t>HS-CS6_F11_Azathioprine_S551</t>
  </si>
  <si>
    <t>16S-A-F11-L0_anaCS-Subj5-F11</t>
  </si>
  <si>
    <t>16S-A-F11-L1_anaCS-Subj6-F11</t>
  </si>
  <si>
    <t>16S-A-F11-L2_anaCS-Subj5-F11</t>
  </si>
  <si>
    <t>16S-A-F11-L3_anaCS-Subj6-F11</t>
  </si>
  <si>
    <t>HS-CS5_F12_Miglitol_S456</t>
  </si>
  <si>
    <t>HS-CS6_F12_Miglitol_S552</t>
  </si>
  <si>
    <t>16S-A-F12-L0_anaCS-Subj5-F12</t>
  </si>
  <si>
    <t>16S-A-F12-L1_anaCS-Subj6-F12</t>
  </si>
  <si>
    <t>16S-A-F12-L2_anaCS-Subj5-F12</t>
  </si>
  <si>
    <t>16S-A-F12-L3_anaCS-Subj6-F12</t>
  </si>
  <si>
    <t>16S-A-G01-L0_anaCS-Subj5-G01</t>
  </si>
  <si>
    <t>16S-A-G01-L1_anaCS-Subj6-G01</t>
  </si>
  <si>
    <t>16S-A-G01-L2_anaCS-Subj5-G01</t>
  </si>
  <si>
    <t>16S-A-G01-L3_anaCS-Subj6-G01</t>
  </si>
  <si>
    <t>HS-CS5_G01_Tosufloxacin-tosilate_S457</t>
  </si>
  <si>
    <t>HS-CS6_G01_Tosufloxacin-tosilate_S553</t>
  </si>
  <si>
    <t>HS-CS5_G02_Bifonazole_S458</t>
  </si>
  <si>
    <t>HS-CS6_G02_Bifonazole_S554</t>
  </si>
  <si>
    <t>16S-A-G02-L0_anaCS-Subj5-G02</t>
  </si>
  <si>
    <t>16S-A-G02-L1_anaCS-Subj6-G02</t>
  </si>
  <si>
    <t>16S-A-G02-L2_anaCS-Subj5-G02</t>
  </si>
  <si>
    <t>16S-A-G02-L3_anaCS-Subj6-G02</t>
  </si>
  <si>
    <t>16S-A-G03-L0_anaCS-Subj5-G03</t>
  </si>
  <si>
    <t>16S-A-G03-L1_anaCS-Subj6-G03</t>
  </si>
  <si>
    <t>16S-A-G03-L2_anaCS-Subj5-G03</t>
  </si>
  <si>
    <t>16S-A-G03-L3_anaCS-Subj6-G03</t>
  </si>
  <si>
    <t>HS-CS5_G03_Tetracycline_S459</t>
  </si>
  <si>
    <t>HS-CS6_G03_Tetracycline_S555</t>
  </si>
  <si>
    <t>16S-A-G04-L0_anaCS-Subj5-G04</t>
  </si>
  <si>
    <t>16S-A-G04-L1_anaCS-Subj6-G04</t>
  </si>
  <si>
    <t>16S-A-G04-L2_anaCS-Subj5-G04</t>
  </si>
  <si>
    <t>16S-A-G04-L3_anaCS-Subj6-G04</t>
  </si>
  <si>
    <t>HS-CS5_G04_Toremifene-citrate_S460</t>
  </si>
  <si>
    <t>HS-CS6_G04_Toremifene-citrate_S556</t>
  </si>
  <si>
    <t>HS-CS5_G05_Acarbose_S461</t>
  </si>
  <si>
    <t>HS-CS6_G05_Acarbose_S557</t>
  </si>
  <si>
    <t>16S-A-G05-L0_anaCS-Subj5-G05</t>
  </si>
  <si>
    <t>16S-A-G05-L1_anaCS-Subj6-G05</t>
  </si>
  <si>
    <t>16S-A-G05-L2_anaCS-Subj5-G05</t>
  </si>
  <si>
    <t>16S-A-G05-L3_anaCS-Subj6-G05</t>
  </si>
  <si>
    <t>HS-CS5_G06_Gatifloxacin_S462</t>
  </si>
  <si>
    <t>HS-CS6_G06_Gatifloxacin_S558</t>
  </si>
  <si>
    <t>16S-A-G06-L0_anaCS-Subj5-G06</t>
  </si>
  <si>
    <t>16S-A-G06-L1_anaCS-Subj6-G06</t>
  </si>
  <si>
    <t>16S-A-G06-L2_anaCS-Subj5-G06</t>
  </si>
  <si>
    <t>16S-A-G06-L3_anaCS-Subj6-G06</t>
  </si>
  <si>
    <t>HS-CS5_G07_3-Pyridinemethanol_S463</t>
  </si>
  <si>
    <t>HS-CS6_G07_3-Pyridinemethanol_S559</t>
  </si>
  <si>
    <t>16S-A-G07-L0_anaCS-Subj5-G07</t>
  </si>
  <si>
    <t>16S-A-G07-L1_anaCS-Subj6-G07</t>
  </si>
  <si>
    <t>16S-A-G07-L2_anaCS-Subj5-G07</t>
  </si>
  <si>
    <t>16S-A-G07-L3_anaCS-Subj6-G07</t>
  </si>
  <si>
    <t>HS-CS5_G08_Lomerizine-dihydrochloride_S464</t>
  </si>
  <si>
    <t>HS-CS6_G08_Lomerizine-dihydrochloride_S560</t>
  </si>
  <si>
    <t>16S-A-G08-L0_anaCS-Subj5-G08</t>
  </si>
  <si>
    <t>16S-A-G08-L1_anaCS-Subj6-G08</t>
  </si>
  <si>
    <t>16S-A-G08-L2_anaCS-Subj5-G08</t>
  </si>
  <si>
    <t>16S-A-G08-L3_anaCS-Subj6-G08</t>
  </si>
  <si>
    <t>16S-A-G09-L0_anaCS-Subj5-G09</t>
  </si>
  <si>
    <t>16S-A-G09-L1_anaCS-Subj6-G09</t>
  </si>
  <si>
    <t>16S-A-G09-L2_anaCS-Subj5-G09</t>
  </si>
  <si>
    <t>16S-A-G09-L3_anaCS-Subj6-G09</t>
  </si>
  <si>
    <t>HS-CS5_G09_Tizanidine-hydrochloride_S465</t>
  </si>
  <si>
    <t>HS-CS6_G09_Tizanidine-hydrochloride_S561</t>
  </si>
  <si>
    <t>16S-A-G10-L0_anaCS-Subj5-G10</t>
  </si>
  <si>
    <t>16S-A-G10-L1_anaCS-Subj6-G10</t>
  </si>
  <si>
    <t>16S-A-G10-L2_anaCS-Subj5-G10</t>
  </si>
  <si>
    <t>16S-A-G10-L3_anaCS-Subj6-G10</t>
  </si>
  <si>
    <t>HS-CS5_G10_Prednisone_S466</t>
  </si>
  <si>
    <t>HS-CS6_G10_Prednisone_S562</t>
  </si>
  <si>
    <t>HS-CS5_G11_Methylprednisolone_S467</t>
  </si>
  <si>
    <t>HS-CS6_G11_Methylprednisolone_S563</t>
  </si>
  <si>
    <t>16S-A-G11-L0_anaCS-Subj5-G11</t>
  </si>
  <si>
    <t>16S-A-G11-L1_anaCS-Subj6-G11</t>
  </si>
  <si>
    <t>16S-A-G11-L2_anaCS-Subj5-G11</t>
  </si>
  <si>
    <t>16S-A-G11-L3_anaCS-Subj6-G11</t>
  </si>
  <si>
    <t>16S-A-G12-L0_anaCS-Subj5-G12</t>
  </si>
  <si>
    <t>16S-A-G12-L1_anaCS-Subj6-G12</t>
  </si>
  <si>
    <t>16S-A-G12-L2_anaCS-Subj5-G12</t>
  </si>
  <si>
    <t>16S-A-G12-L3_anaCS-Subj6-G12</t>
  </si>
  <si>
    <t>HS-CS5_G12_Prilocaine-hydrochloride_S468</t>
  </si>
  <si>
    <t>HS-CS6_G12_Prilocaine-hydrochloride_S564</t>
  </si>
  <si>
    <t>HS-CS5_H01_empty2_S469</t>
  </si>
  <si>
    <t>HS-CS6_H01_empty2_S565</t>
  </si>
  <si>
    <t>16S-A-H01-L0_anaCS-Subj5-H01</t>
  </si>
  <si>
    <t>16S-A-H01-L1_anaCS-Subj6-H01</t>
  </si>
  <si>
    <t>16S-A-H01-L2_anaCS-Subj5-H01</t>
  </si>
  <si>
    <t>16S-A-H01-L3_anaCS-Subj6-H01</t>
  </si>
  <si>
    <t>HS-CS5_H02_Clotrimazole_S470</t>
  </si>
  <si>
    <t>HS-CS6_H02_Clotrimazole_S566</t>
  </si>
  <si>
    <t>16S-A-H02-L0_anaCS-Subj5-H02</t>
  </si>
  <si>
    <t>16S-A-H02-L1_anaCS-Subj6-H02</t>
  </si>
  <si>
    <t>16S-A-H02-L2_anaCS-Subj5-H02</t>
  </si>
  <si>
    <t>16S-A-H02-L3_anaCS-Subj6-H02</t>
  </si>
  <si>
    <t>HS-CS5_H03_Minocycline-hydrochloride_S471</t>
  </si>
  <si>
    <t>HS-CS6_H03_Minocycline-hydrochloride_S567</t>
  </si>
  <si>
    <t>16S-A-H03-L0_anaCS-Subj5-H03</t>
  </si>
  <si>
    <t>16S-A-H03-L1_anaCS-Subj6-H03</t>
  </si>
  <si>
    <t>16S-A-H03-L2_anaCS-Subj5-H03</t>
  </si>
  <si>
    <t>16S-A-H03-L3_anaCS-Subj6-H03</t>
  </si>
  <si>
    <t>HS-CS5_H04_Estradiol-valerate_S472</t>
  </si>
  <si>
    <t>HS-CS6_H04_Estradiol-valerate_S568</t>
  </si>
  <si>
    <t>16S-A-H04-L0_anaCS-Subj5-H04</t>
  </si>
  <si>
    <t>16S-A-H04-L1_anaCS-Subj6-H04</t>
  </si>
  <si>
    <t>16S-A-H04-L2_anaCS-Subj5-H04</t>
  </si>
  <si>
    <t>16S-A-H04-L3_anaCS-Subj6-H04</t>
  </si>
  <si>
    <t>HS-CS5_H05_Loperamide-hydrochloride_S473</t>
  </si>
  <si>
    <t>HS-CS6_H05_Loperamide-hydrochloride_S569</t>
  </si>
  <si>
    <t>16S-A-H05-L0_anaCS-Subj5-H05</t>
  </si>
  <si>
    <t>16S-A-H05-L1_anaCS-Subj6-H05</t>
  </si>
  <si>
    <t>16S-A-H05-L2_anaCS-Subj5-H05</t>
  </si>
  <si>
    <t>16S-A-H05-L3_anaCS-Subj6-H05</t>
  </si>
  <si>
    <t>HS-CS5_H06_Amoxicillin_S474</t>
  </si>
  <si>
    <t>HS-CS6_H06_Amoxicillin_S570</t>
  </si>
  <si>
    <t>16S-A-H06-L0_anaCS-Subj5-H06</t>
  </si>
  <si>
    <t>16S-A-H06-L1_anaCS-Subj6-H06</t>
  </si>
  <si>
    <t>16S-A-H06-L2_anaCS-Subj5-H06</t>
  </si>
  <si>
    <t>16S-A-H06-L3_anaCS-Subj6-H06</t>
  </si>
  <si>
    <t>16S-A-H07-L0_anaCS-Subj5-H07</t>
  </si>
  <si>
    <t>16S-A-H07-L1_anaCS-Subj6-H07</t>
  </si>
  <si>
    <t>16S-A-H07-L2_anaCS-Subj5-H07</t>
  </si>
  <si>
    <t>16S-A-H07-L3_anaCS-Subj6-H07</t>
  </si>
  <si>
    <t>HS-CS5_H07_Ursodeoxycholic-acid_S475</t>
  </si>
  <si>
    <t>HS-CS6_H07_Ursodeoxycholic-acid_S571</t>
  </si>
  <si>
    <t>HS-CS5_H08_Cladribine_S476</t>
  </si>
  <si>
    <t>HS-CS6_H08_Cladribine_S572</t>
  </si>
  <si>
    <t>16S-A-H08-L0_anaCS-Subj5-H08</t>
  </si>
  <si>
    <t>16S-A-H08-L1_anaCS-Subj6-H08</t>
  </si>
  <si>
    <t>16S-A-H08-L2_anaCS-Subj5-H08</t>
  </si>
  <si>
    <t>16S-A-H08-L3_anaCS-Subj6-H08</t>
  </si>
  <si>
    <t>HS-CS5_H09_Medrysone_S477</t>
  </si>
  <si>
    <t>HS-CS6_H09_Medrysone_S573</t>
  </si>
  <si>
    <t>16S-A-H09-L0_anaCS-Subj5-H09</t>
  </si>
  <si>
    <t>16S-A-H09-L1_anaCS-Subj6-H09</t>
  </si>
  <si>
    <t>16S-A-H09-L2_anaCS-Subj5-H09</t>
  </si>
  <si>
    <t>16S-A-H09-L3_anaCS-Subj6-H09</t>
  </si>
  <si>
    <t>HS-CS5_H10_L-Thyroxine_S478</t>
  </si>
  <si>
    <t>HS-CS6_H10_L-Thyroxine_S574</t>
  </si>
  <si>
    <t>16S-A-H10-L0_anaCS-Subj5-H10</t>
  </si>
  <si>
    <t>16S-A-H10-L1_anaCS-Subj6-H10</t>
  </si>
  <si>
    <t>16S-A-H10-L2_anaCS-Subj5-H10</t>
  </si>
  <si>
    <t>16S-A-H10-L3_anaCS-Subj6-H10</t>
  </si>
  <si>
    <t>16S-A-H11-L0_anaCS-Subj5-H11</t>
  </si>
  <si>
    <t>16S-A-H11-L1_anaCS-Subj6-H11</t>
  </si>
  <si>
    <t>16S-A-H11-L2_anaCS-Subj5-H11</t>
  </si>
  <si>
    <t>16S-A-H11-L3_anaCS-Subj6-H11</t>
  </si>
  <si>
    <t>HS-CS5_H11_Raloxifene-hydrochloride_S479</t>
  </si>
  <si>
    <t>HS-CS6_H11_Raloxifene-hydrochloride_S575</t>
  </si>
  <si>
    <t>HS-CS5_H12_empty3_S480</t>
  </si>
  <si>
    <t>HS-CS6_H12_empty3_S576</t>
  </si>
  <si>
    <t>16S-A-H12-L0_anaCS-Subj5-H12</t>
  </si>
  <si>
    <t>16S-A-H12-L1_anaCS-Subj6-H12</t>
  </si>
  <si>
    <t>16S-A-H12-L2_anaCS-Subj5-H12</t>
  </si>
  <si>
    <t>16S-A-H12-L3_anaCS-Subj6-H12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</si>
</sst>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000000"/>
      <name val="Helvetica"/>
      <family val="2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3807-CED6-A148-92FF-1F5D68999015}">
  <dimension ref="A1:T589"/>
  <sheetViews>
    <sheetView tabSelected="1" zoomScale="87" zoomScaleNormal="8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6" sqref="L16"/>
    </sheetView>
  </sheetViews>
  <sheetFormatPr baseColWidth="10" defaultRowHeight="16" x14ac:dyDescent="0.2"/>
  <cols>
    <col min="1" max="1" width="61.83203125" bestFit="1" customWidth="1"/>
    <col min="2" max="2" width="61.83203125" customWidth="1"/>
    <col min="3" max="3" width="8.33203125" bestFit="1" customWidth="1"/>
    <col min="4" max="4" width="4.6640625" bestFit="1" customWidth="1"/>
    <col min="5" max="5" width="13" bestFit="1" customWidth="1"/>
    <col min="6" max="6" width="12.1640625" bestFit="1" customWidth="1"/>
    <col min="7" max="7" width="6.33203125" bestFit="1" customWidth="1"/>
    <col min="10" max="10" width="5" bestFit="1" customWidth="1"/>
    <col min="17" max="17" width="28.83203125" bestFit="1" customWidth="1"/>
  </cols>
  <sheetData>
    <row r="1" spans="1:20" x14ac:dyDescent="0.2">
      <c r="A1" s="1" t="s">
        <v>0</v>
      </c>
      <c r="B1" s="1" t="s">
        <v>238</v>
      </c>
      <c r="C1" s="1" t="s">
        <v>5</v>
      </c>
      <c r="D1" s="1" t="s">
        <v>6</v>
      </c>
      <c r="E1" s="2" t="s">
        <v>2</v>
      </c>
      <c r="F1" s="2" t="s">
        <v>1</v>
      </c>
      <c r="G1" s="2" t="s">
        <v>4</v>
      </c>
      <c r="H1" s="2" t="s">
        <v>12</v>
      </c>
      <c r="I1" s="2" t="s">
        <v>14</v>
      </c>
      <c r="J1" s="2" t="s">
        <v>15</v>
      </c>
      <c r="K1" s="2" t="s">
        <v>16</v>
      </c>
      <c r="L1" s="2" t="s">
        <v>228</v>
      </c>
      <c r="M1" s="4" t="s">
        <v>230</v>
      </c>
      <c r="N1" s="4" t="s">
        <v>231</v>
      </c>
      <c r="O1" s="4" t="s">
        <v>232</v>
      </c>
      <c r="P1" s="4" t="s">
        <v>233</v>
      </c>
      <c r="Q1" s="4" t="s">
        <v>234</v>
      </c>
      <c r="R1" s="4" t="s">
        <v>235</v>
      </c>
      <c r="S1" s="4" t="s">
        <v>236</v>
      </c>
      <c r="T1" s="4" t="s">
        <v>237</v>
      </c>
    </row>
    <row r="2" spans="1:20" x14ac:dyDescent="0.2">
      <c r="A2" t="str">
        <f>_xlfn.CONCAT("sample_",B2)</f>
        <v>sample_HS-CS5_A01_DMSO_S385</v>
      </c>
      <c r="B2" t="s">
        <v>239</v>
      </c>
      <c r="C2" s="3" t="s">
        <v>10</v>
      </c>
      <c r="D2" s="3" t="s">
        <v>8</v>
      </c>
      <c r="E2" s="3" t="s">
        <v>11</v>
      </c>
      <c r="F2" s="3" t="s">
        <v>11</v>
      </c>
      <c r="G2" s="3" t="s">
        <v>11</v>
      </c>
      <c r="H2" s="3" t="s">
        <v>13</v>
      </c>
      <c r="I2" s="3" t="s">
        <v>19</v>
      </c>
      <c r="J2" s="3" t="s">
        <v>17</v>
      </c>
      <c r="K2" s="3" t="s">
        <v>119</v>
      </c>
      <c r="L2" s="3">
        <v>1</v>
      </c>
      <c r="M2">
        <v>20098</v>
      </c>
      <c r="N2">
        <v>20156</v>
      </c>
      <c r="O2">
        <v>19653</v>
      </c>
      <c r="P2">
        <v>19177</v>
      </c>
      <c r="Q2" s="3">
        <v>0.97577977916857495</v>
      </c>
      <c r="R2" s="3">
        <v>44</v>
      </c>
      <c r="S2">
        <v>2.3594266058008202</v>
      </c>
      <c r="T2">
        <v>0.62349586940699897</v>
      </c>
    </row>
    <row r="3" spans="1:20" x14ac:dyDescent="0.2">
      <c r="A3" t="str">
        <f t="shared" ref="A3:A66" si="0">_xlfn.CONCAT("sample_",B3)</f>
        <v>sample_HS-CS6_A01_DMSO_S481</v>
      </c>
      <c r="B3" t="s">
        <v>240</v>
      </c>
      <c r="C3" s="3" t="s">
        <v>10</v>
      </c>
      <c r="D3" s="3" t="s">
        <v>8</v>
      </c>
      <c r="E3" s="3" t="s">
        <v>11</v>
      </c>
      <c r="F3" s="3" t="s">
        <v>11</v>
      </c>
      <c r="G3" s="3" t="s">
        <v>11</v>
      </c>
      <c r="H3" s="3" t="s">
        <v>13</v>
      </c>
      <c r="I3" s="3" t="s">
        <v>21</v>
      </c>
      <c r="J3" s="3" t="s">
        <v>17</v>
      </c>
      <c r="K3" s="3" t="s">
        <v>119</v>
      </c>
      <c r="L3" s="3">
        <v>1</v>
      </c>
      <c r="M3">
        <v>12584</v>
      </c>
      <c r="N3">
        <v>12616</v>
      </c>
      <c r="O3">
        <v>12247</v>
      </c>
      <c r="P3">
        <v>12092</v>
      </c>
      <c r="Q3" s="3">
        <v>0.98734383930758596</v>
      </c>
      <c r="R3" s="3">
        <v>28</v>
      </c>
      <c r="S3">
        <v>1.3487032734618101</v>
      </c>
      <c r="T3">
        <v>0.40474804872972697</v>
      </c>
    </row>
    <row r="4" spans="1:20" x14ac:dyDescent="0.2">
      <c r="A4" t="str">
        <f t="shared" si="0"/>
        <v>sample_16S-A-A01-L0_anaCS-Subj5-A01</v>
      </c>
      <c r="B4" t="s">
        <v>241</v>
      </c>
      <c r="C4" s="3" t="s">
        <v>9</v>
      </c>
      <c r="D4" s="3" t="s">
        <v>7</v>
      </c>
      <c r="E4" s="3" t="s">
        <v>3</v>
      </c>
      <c r="F4" s="3" t="s">
        <v>17</v>
      </c>
      <c r="G4" s="3" t="s">
        <v>18</v>
      </c>
      <c r="H4" s="3" t="s">
        <v>13</v>
      </c>
      <c r="I4" s="3" t="s">
        <v>19</v>
      </c>
      <c r="J4" s="3" t="s">
        <v>17</v>
      </c>
      <c r="K4" s="3" t="s">
        <v>119</v>
      </c>
      <c r="L4" s="3">
        <v>1</v>
      </c>
      <c r="M4">
        <v>85845</v>
      </c>
      <c r="N4">
        <v>85954</v>
      </c>
      <c r="O4">
        <v>84003</v>
      </c>
      <c r="P4">
        <v>78242</v>
      </c>
      <c r="Q4" s="3">
        <v>0.93141911598395299</v>
      </c>
      <c r="R4" s="3">
        <v>68</v>
      </c>
      <c r="S4">
        <v>2.7679744914825002</v>
      </c>
      <c r="T4">
        <v>0.65599465266694601</v>
      </c>
    </row>
    <row r="5" spans="1:20" x14ac:dyDescent="0.2">
      <c r="A5" t="str">
        <f t="shared" si="0"/>
        <v>sample_16S-A-A01-L1_anaCS-Subj6-A01</v>
      </c>
      <c r="B5" t="s">
        <v>242</v>
      </c>
      <c r="C5" s="3" t="s">
        <v>9</v>
      </c>
      <c r="D5" s="3" t="s">
        <v>7</v>
      </c>
      <c r="E5" s="3" t="s">
        <v>3</v>
      </c>
      <c r="F5" s="3" t="s">
        <v>17</v>
      </c>
      <c r="G5" s="3" t="s">
        <v>20</v>
      </c>
      <c r="H5" s="3" t="s">
        <v>13</v>
      </c>
      <c r="I5" s="3" t="s">
        <v>21</v>
      </c>
      <c r="J5" s="3" t="s">
        <v>17</v>
      </c>
      <c r="K5" s="3" t="s">
        <v>119</v>
      </c>
      <c r="L5" s="3">
        <v>1</v>
      </c>
      <c r="M5">
        <v>75199</v>
      </c>
      <c r="N5">
        <v>75220</v>
      </c>
      <c r="O5">
        <v>73549</v>
      </c>
      <c r="P5">
        <v>68533</v>
      </c>
      <c r="Q5" s="3">
        <v>0.93180056832859703</v>
      </c>
      <c r="R5" s="3">
        <v>72</v>
      </c>
      <c r="S5">
        <v>2.6033418247761002</v>
      </c>
      <c r="T5">
        <v>0.60873160362003198</v>
      </c>
    </row>
    <row r="6" spans="1:20" x14ac:dyDescent="0.2">
      <c r="A6" t="str">
        <f t="shared" si="0"/>
        <v>sample_16S-A-A01-L2_anaCS-Subj5-A01</v>
      </c>
      <c r="B6" t="s">
        <v>243</v>
      </c>
      <c r="C6" s="3" t="s">
        <v>9</v>
      </c>
      <c r="D6" s="3" t="s">
        <v>7</v>
      </c>
      <c r="E6" s="3" t="s">
        <v>3</v>
      </c>
      <c r="F6" s="3" t="s">
        <v>17</v>
      </c>
      <c r="G6" s="3" t="s">
        <v>22</v>
      </c>
      <c r="H6" s="3" t="s">
        <v>13</v>
      </c>
      <c r="I6" s="3" t="s">
        <v>19</v>
      </c>
      <c r="J6" s="3" t="s">
        <v>17</v>
      </c>
      <c r="K6" s="3" t="s">
        <v>119</v>
      </c>
      <c r="L6" s="3">
        <v>1</v>
      </c>
      <c r="M6">
        <v>51229</v>
      </c>
      <c r="N6">
        <v>51261</v>
      </c>
      <c r="O6">
        <v>49515</v>
      </c>
      <c r="P6">
        <v>44790</v>
      </c>
      <c r="Q6" s="3">
        <v>0.90457437140260499</v>
      </c>
      <c r="R6" s="3">
        <v>63</v>
      </c>
      <c r="S6">
        <v>2.6837465468186399</v>
      </c>
      <c r="T6">
        <v>0.64775748896682595</v>
      </c>
    </row>
    <row r="7" spans="1:20" x14ac:dyDescent="0.2">
      <c r="A7" t="str">
        <f t="shared" si="0"/>
        <v>sample_16S-A-A01-L3_anaCS-Subj6-A01</v>
      </c>
      <c r="B7" t="s">
        <v>244</v>
      </c>
      <c r="C7" s="3" t="s">
        <v>9</v>
      </c>
      <c r="D7" s="3" t="s">
        <v>7</v>
      </c>
      <c r="E7" s="3" t="s">
        <v>3</v>
      </c>
      <c r="F7" s="3" t="s">
        <v>17</v>
      </c>
      <c r="G7" s="3" t="s">
        <v>23</v>
      </c>
      <c r="H7" s="3" t="s">
        <v>13</v>
      </c>
      <c r="I7" s="3" t="s">
        <v>21</v>
      </c>
      <c r="J7" s="3" t="s">
        <v>17</v>
      </c>
      <c r="K7" s="3" t="s">
        <v>119</v>
      </c>
      <c r="L7" s="3">
        <v>1</v>
      </c>
      <c r="M7">
        <v>76457</v>
      </c>
      <c r="N7">
        <v>76561</v>
      </c>
      <c r="O7">
        <v>74450</v>
      </c>
      <c r="P7">
        <v>67721</v>
      </c>
      <c r="Q7" s="3">
        <v>0.90961719274680997</v>
      </c>
      <c r="R7" s="3">
        <v>66</v>
      </c>
      <c r="S7">
        <v>2.46528581491933</v>
      </c>
      <c r="T7">
        <v>0.58842218911024902</v>
      </c>
    </row>
    <row r="8" spans="1:20" x14ac:dyDescent="0.2">
      <c r="A8" t="str">
        <f t="shared" si="0"/>
        <v>sample_HS-CS5_A02_Kitasamycin_S386</v>
      </c>
      <c r="B8" t="s">
        <v>245</v>
      </c>
      <c r="C8" s="3" t="s">
        <v>10</v>
      </c>
      <c r="D8" s="3" t="s">
        <v>8</v>
      </c>
      <c r="E8" s="3" t="s">
        <v>11</v>
      </c>
      <c r="F8" s="3" t="s">
        <v>11</v>
      </c>
      <c r="G8" s="3" t="s">
        <v>11</v>
      </c>
      <c r="H8" s="3" t="s">
        <v>13</v>
      </c>
      <c r="I8" s="3" t="s">
        <v>19</v>
      </c>
      <c r="J8" s="3" t="s">
        <v>24</v>
      </c>
      <c r="K8" s="3" t="s">
        <v>120</v>
      </c>
      <c r="L8" s="3">
        <v>2</v>
      </c>
      <c r="M8">
        <v>42596</v>
      </c>
      <c r="N8">
        <v>42632</v>
      </c>
      <c r="O8">
        <v>41746</v>
      </c>
      <c r="P8">
        <v>40259</v>
      </c>
      <c r="Q8" s="3">
        <v>0.96437982082115603</v>
      </c>
      <c r="R8" s="3">
        <v>18</v>
      </c>
      <c r="S8">
        <v>1.1573209285033299</v>
      </c>
      <c r="T8">
        <v>0.40040556213631001</v>
      </c>
    </row>
    <row r="9" spans="1:20" x14ac:dyDescent="0.2">
      <c r="A9" t="str">
        <f t="shared" si="0"/>
        <v>sample_HS-CS6_A02_Kitasamycin_S482</v>
      </c>
      <c r="B9" t="s">
        <v>246</v>
      </c>
      <c r="C9" s="3" t="s">
        <v>10</v>
      </c>
      <c r="D9" s="3" t="s">
        <v>8</v>
      </c>
      <c r="E9" s="3" t="s">
        <v>11</v>
      </c>
      <c r="F9" s="3" t="s">
        <v>11</v>
      </c>
      <c r="G9" s="3" t="s">
        <v>11</v>
      </c>
      <c r="H9" s="3" t="s">
        <v>13</v>
      </c>
      <c r="I9" s="3" t="s">
        <v>21</v>
      </c>
      <c r="J9" s="3" t="s">
        <v>24</v>
      </c>
      <c r="K9" s="3" t="s">
        <v>120</v>
      </c>
      <c r="L9" s="3">
        <v>2</v>
      </c>
      <c r="M9">
        <v>16373</v>
      </c>
      <c r="N9">
        <v>16409</v>
      </c>
      <c r="O9">
        <v>16110</v>
      </c>
      <c r="P9">
        <v>15950</v>
      </c>
      <c r="Q9" s="3">
        <v>0.99006828057107399</v>
      </c>
      <c r="R9" s="3">
        <v>16</v>
      </c>
      <c r="S9">
        <v>0.53360259412002198</v>
      </c>
      <c r="T9">
        <v>0.19245645408561099</v>
      </c>
    </row>
    <row r="10" spans="1:20" x14ac:dyDescent="0.2">
      <c r="A10" t="str">
        <f t="shared" si="0"/>
        <v>sample_16S-A-A02-L0_anaCS-Subj5-A02</v>
      </c>
      <c r="B10" t="s">
        <v>247</v>
      </c>
      <c r="C10" s="3" t="s">
        <v>9</v>
      </c>
      <c r="D10" s="3" t="s">
        <v>7</v>
      </c>
      <c r="E10" s="3" t="s">
        <v>3</v>
      </c>
      <c r="F10" s="3" t="s">
        <v>24</v>
      </c>
      <c r="G10" s="3" t="s">
        <v>18</v>
      </c>
      <c r="H10" s="3" t="s">
        <v>13</v>
      </c>
      <c r="I10" s="3" t="s">
        <v>19</v>
      </c>
      <c r="J10" s="3" t="s">
        <v>24</v>
      </c>
      <c r="K10" s="3" t="s">
        <v>120</v>
      </c>
      <c r="L10" s="3">
        <v>2</v>
      </c>
      <c r="M10">
        <v>64381</v>
      </c>
      <c r="N10">
        <v>64349</v>
      </c>
      <c r="O10">
        <v>64046</v>
      </c>
      <c r="P10">
        <v>60383</v>
      </c>
      <c r="Q10" s="3">
        <v>0.94280673266089998</v>
      </c>
      <c r="R10" s="3">
        <v>19</v>
      </c>
      <c r="S10">
        <v>1.5448348442850901</v>
      </c>
      <c r="T10">
        <v>0.52466186435367201</v>
      </c>
    </row>
    <row r="11" spans="1:20" x14ac:dyDescent="0.2">
      <c r="A11" t="str">
        <f t="shared" si="0"/>
        <v>sample_16S-A-A02-L1_anaCS-Subj6-A02</v>
      </c>
      <c r="B11" t="s">
        <v>248</v>
      </c>
      <c r="C11" s="3" t="s">
        <v>9</v>
      </c>
      <c r="D11" s="3" t="s">
        <v>7</v>
      </c>
      <c r="E11" s="3" t="s">
        <v>3</v>
      </c>
      <c r="F11" s="3" t="s">
        <v>24</v>
      </c>
      <c r="G11" s="3" t="s">
        <v>20</v>
      </c>
      <c r="H11" s="3" t="s">
        <v>13</v>
      </c>
      <c r="I11" s="3" t="s">
        <v>21</v>
      </c>
      <c r="J11" s="3" t="s">
        <v>24</v>
      </c>
      <c r="K11" s="3" t="s">
        <v>120</v>
      </c>
      <c r="L11" s="3">
        <v>2</v>
      </c>
      <c r="M11">
        <v>74035</v>
      </c>
      <c r="N11">
        <v>74059</v>
      </c>
      <c r="O11">
        <v>73397</v>
      </c>
      <c r="P11">
        <v>70188</v>
      </c>
      <c r="Q11" s="3">
        <v>0.95627886698366404</v>
      </c>
      <c r="R11" s="3">
        <v>28</v>
      </c>
      <c r="S11">
        <v>1.6121072682903099</v>
      </c>
      <c r="T11">
        <v>0.48379601653127302</v>
      </c>
    </row>
    <row r="12" spans="1:20" x14ac:dyDescent="0.2">
      <c r="A12" t="str">
        <f t="shared" si="0"/>
        <v>sample_16S-A-A02-L2_anaCS-Subj5-A02</v>
      </c>
      <c r="B12" t="s">
        <v>249</v>
      </c>
      <c r="C12" s="3" t="s">
        <v>9</v>
      </c>
      <c r="D12" s="3" t="s">
        <v>7</v>
      </c>
      <c r="E12" s="3" t="s">
        <v>3</v>
      </c>
      <c r="F12" s="3" t="s">
        <v>24</v>
      </c>
      <c r="G12" s="3" t="s">
        <v>22</v>
      </c>
      <c r="H12" s="3" t="s">
        <v>13</v>
      </c>
      <c r="I12" s="3" t="s">
        <v>19</v>
      </c>
      <c r="J12" s="3" t="s">
        <v>24</v>
      </c>
      <c r="K12" s="3" t="s">
        <v>120</v>
      </c>
      <c r="L12" s="3">
        <v>2</v>
      </c>
      <c r="M12">
        <v>26976</v>
      </c>
      <c r="N12">
        <v>26969</v>
      </c>
      <c r="O12">
        <v>26775</v>
      </c>
      <c r="P12">
        <v>24947</v>
      </c>
      <c r="Q12" s="3">
        <v>0.93172735760971104</v>
      </c>
      <c r="R12" s="3">
        <v>15</v>
      </c>
      <c r="S12">
        <v>1.42233067646879</v>
      </c>
      <c r="T12">
        <v>0.52522315719623103</v>
      </c>
    </row>
    <row r="13" spans="1:20" x14ac:dyDescent="0.2">
      <c r="A13" t="str">
        <f t="shared" si="0"/>
        <v>sample_16S-A-A02-L3_anaCS-Subj6-A02</v>
      </c>
      <c r="B13" t="s">
        <v>250</v>
      </c>
      <c r="C13" s="3" t="s">
        <v>9</v>
      </c>
      <c r="D13" s="3" t="s">
        <v>7</v>
      </c>
      <c r="E13" s="3" t="s">
        <v>3</v>
      </c>
      <c r="F13" s="3" t="s">
        <v>24</v>
      </c>
      <c r="G13" s="3" t="s">
        <v>23</v>
      </c>
      <c r="H13" s="3" t="s">
        <v>13</v>
      </c>
      <c r="I13" s="3" t="s">
        <v>21</v>
      </c>
      <c r="J13" s="3" t="s">
        <v>24</v>
      </c>
      <c r="K13" s="3" t="s">
        <v>120</v>
      </c>
      <c r="L13" s="3">
        <v>2</v>
      </c>
      <c r="M13">
        <v>32848</v>
      </c>
      <c r="N13">
        <v>32859</v>
      </c>
      <c r="O13">
        <v>32509</v>
      </c>
      <c r="P13">
        <v>31223</v>
      </c>
      <c r="Q13" s="3">
        <v>0.960441723830324</v>
      </c>
      <c r="R13" s="3">
        <v>23</v>
      </c>
      <c r="S13">
        <v>1.28110120753377</v>
      </c>
      <c r="T13">
        <v>0.40858031280218499</v>
      </c>
    </row>
    <row r="14" spans="1:20" x14ac:dyDescent="0.2">
      <c r="A14" t="str">
        <f t="shared" si="0"/>
        <v>sample_16S-A-A03-L0_anaCS-Subj5-A03</v>
      </c>
      <c r="B14" t="s">
        <v>251</v>
      </c>
      <c r="C14" s="3" t="s">
        <v>9</v>
      </c>
      <c r="D14" s="3" t="s">
        <v>7</v>
      </c>
      <c r="E14" s="3" t="s">
        <v>3</v>
      </c>
      <c r="F14" s="3" t="s">
        <v>25</v>
      </c>
      <c r="G14" s="3" t="s">
        <v>18</v>
      </c>
      <c r="H14" s="3" t="s">
        <v>13</v>
      </c>
      <c r="I14" s="3" t="s">
        <v>19</v>
      </c>
      <c r="J14" s="3" t="s">
        <v>25</v>
      </c>
      <c r="K14" s="3" t="s">
        <v>121</v>
      </c>
      <c r="L14" s="3">
        <v>3</v>
      </c>
      <c r="M14">
        <v>66944</v>
      </c>
      <c r="N14">
        <v>66969</v>
      </c>
      <c r="O14">
        <v>66424</v>
      </c>
      <c r="P14">
        <v>61135</v>
      </c>
      <c r="Q14" s="3">
        <v>0.92037516560279398</v>
      </c>
      <c r="R14" s="3">
        <v>21</v>
      </c>
      <c r="S14">
        <v>1.3510070057925101</v>
      </c>
      <c r="T14">
        <v>0.44375005716914401</v>
      </c>
    </row>
    <row r="15" spans="1:20" x14ac:dyDescent="0.2">
      <c r="A15" t="str">
        <f t="shared" si="0"/>
        <v>sample_16S-A-A03-L1_anaCS-Subj6-A03</v>
      </c>
      <c r="B15" t="s">
        <v>252</v>
      </c>
      <c r="C15" s="3" t="s">
        <v>9</v>
      </c>
      <c r="D15" s="3" t="s">
        <v>7</v>
      </c>
      <c r="E15" s="3" t="s">
        <v>3</v>
      </c>
      <c r="F15" s="3" t="s">
        <v>25</v>
      </c>
      <c r="G15" s="3" t="s">
        <v>20</v>
      </c>
      <c r="H15" s="3" t="s">
        <v>13</v>
      </c>
      <c r="I15" s="3" t="s">
        <v>21</v>
      </c>
      <c r="J15" s="3" t="s">
        <v>25</v>
      </c>
      <c r="K15" s="3" t="s">
        <v>121</v>
      </c>
      <c r="L15" s="3">
        <v>3</v>
      </c>
      <c r="M15">
        <v>63086</v>
      </c>
      <c r="N15">
        <v>63124</v>
      </c>
      <c r="O15">
        <v>62450</v>
      </c>
      <c r="P15">
        <v>55527</v>
      </c>
      <c r="Q15" s="3">
        <v>0.88914331465172103</v>
      </c>
      <c r="R15" s="3">
        <v>22</v>
      </c>
      <c r="S15">
        <v>1.0510821402742301</v>
      </c>
      <c r="T15">
        <v>0.340041314907293</v>
      </c>
    </row>
    <row r="16" spans="1:20" x14ac:dyDescent="0.2">
      <c r="A16" t="str">
        <f t="shared" si="0"/>
        <v>sample_16S-A-A03-L2_anaCS-Subj5-A03</v>
      </c>
      <c r="B16" t="s">
        <v>253</v>
      </c>
      <c r="C16" s="3" t="s">
        <v>9</v>
      </c>
      <c r="D16" s="3" t="s">
        <v>7</v>
      </c>
      <c r="E16" s="3" t="s">
        <v>3</v>
      </c>
      <c r="F16" s="3" t="s">
        <v>25</v>
      </c>
      <c r="G16" s="3" t="s">
        <v>22</v>
      </c>
      <c r="H16" s="3" t="s">
        <v>13</v>
      </c>
      <c r="I16" s="3" t="s">
        <v>19</v>
      </c>
      <c r="J16" s="3" t="s">
        <v>25</v>
      </c>
      <c r="K16" s="3" t="s">
        <v>121</v>
      </c>
      <c r="L16" s="3">
        <v>3</v>
      </c>
      <c r="M16">
        <v>43933</v>
      </c>
      <c r="N16">
        <v>43965</v>
      </c>
      <c r="O16">
        <v>43485</v>
      </c>
      <c r="P16">
        <v>39594</v>
      </c>
      <c r="Q16" s="3">
        <v>0.91052086926526399</v>
      </c>
      <c r="R16" s="3">
        <v>21</v>
      </c>
      <c r="S16">
        <v>1.3327378260823799</v>
      </c>
      <c r="T16">
        <v>0.43774938544350001</v>
      </c>
    </row>
    <row r="17" spans="1:20" x14ac:dyDescent="0.2">
      <c r="A17" t="str">
        <f t="shared" si="0"/>
        <v>sample_16S-A-A03-L3_anaCS-Subj6-A03</v>
      </c>
      <c r="B17" t="s">
        <v>254</v>
      </c>
      <c r="C17" s="3" t="s">
        <v>9</v>
      </c>
      <c r="D17" s="3" t="s">
        <v>7</v>
      </c>
      <c r="E17" s="3" t="s">
        <v>3</v>
      </c>
      <c r="F17" s="3" t="s">
        <v>25</v>
      </c>
      <c r="G17" s="3" t="s">
        <v>23</v>
      </c>
      <c r="H17" s="3" t="s">
        <v>13</v>
      </c>
      <c r="I17" s="3" t="s">
        <v>21</v>
      </c>
      <c r="J17" s="3" t="s">
        <v>25</v>
      </c>
      <c r="K17" s="3" t="s">
        <v>121</v>
      </c>
      <c r="L17" s="3">
        <v>3</v>
      </c>
      <c r="M17">
        <v>43449</v>
      </c>
      <c r="N17">
        <v>43480</v>
      </c>
      <c r="O17">
        <v>42880</v>
      </c>
      <c r="P17">
        <v>39198</v>
      </c>
      <c r="Q17" s="3">
        <v>0.914132462686567</v>
      </c>
      <c r="R17" s="3">
        <v>19</v>
      </c>
      <c r="S17">
        <v>0.908622214483086</v>
      </c>
      <c r="T17">
        <v>0.30858924939932503</v>
      </c>
    </row>
    <row r="18" spans="1:20" x14ac:dyDescent="0.2">
      <c r="A18" t="str">
        <f t="shared" si="0"/>
        <v>sample_HS-CS5_A03_Oxiconazole-nitrate_S387</v>
      </c>
      <c r="B18" t="s">
        <v>255</v>
      </c>
      <c r="C18" s="3" t="s">
        <v>10</v>
      </c>
      <c r="D18" s="3" t="s">
        <v>8</v>
      </c>
      <c r="E18" s="3" t="s">
        <v>11</v>
      </c>
      <c r="F18" s="3" t="s">
        <v>11</v>
      </c>
      <c r="G18" s="3" t="s">
        <v>11</v>
      </c>
      <c r="H18" s="3" t="s">
        <v>13</v>
      </c>
      <c r="I18" s="3" t="s">
        <v>19</v>
      </c>
      <c r="J18" s="3" t="s">
        <v>25</v>
      </c>
      <c r="K18" s="3" t="s">
        <v>121</v>
      </c>
      <c r="L18" s="3">
        <v>3</v>
      </c>
      <c r="M18">
        <v>29711</v>
      </c>
      <c r="N18">
        <v>29786</v>
      </c>
      <c r="O18">
        <v>29152</v>
      </c>
      <c r="P18">
        <v>27872</v>
      </c>
      <c r="Q18" s="3">
        <v>0.95609220636662995</v>
      </c>
      <c r="R18" s="3">
        <v>16</v>
      </c>
      <c r="S18">
        <v>0.82546582618606501</v>
      </c>
      <c r="T18">
        <v>0.29772386346548702</v>
      </c>
    </row>
    <row r="19" spans="1:20" x14ac:dyDescent="0.2">
      <c r="A19" t="str">
        <f t="shared" si="0"/>
        <v>sample_HS-CS6_A03_Oxiconazole-nitrate_S483</v>
      </c>
      <c r="B19" t="s">
        <v>256</v>
      </c>
      <c r="C19" s="3" t="s">
        <v>10</v>
      </c>
      <c r="D19" s="3" t="s">
        <v>8</v>
      </c>
      <c r="E19" s="3" t="s">
        <v>11</v>
      </c>
      <c r="F19" s="3" t="s">
        <v>11</v>
      </c>
      <c r="G19" s="3" t="s">
        <v>11</v>
      </c>
      <c r="H19" s="3" t="s">
        <v>13</v>
      </c>
      <c r="I19" s="3" t="s">
        <v>21</v>
      </c>
      <c r="J19" s="3" t="s">
        <v>25</v>
      </c>
      <c r="K19" s="3" t="s">
        <v>121</v>
      </c>
      <c r="L19" s="3">
        <v>3</v>
      </c>
      <c r="M19">
        <v>17004</v>
      </c>
      <c r="N19">
        <v>17083</v>
      </c>
      <c r="O19">
        <v>16480</v>
      </c>
      <c r="P19">
        <v>16073</v>
      </c>
      <c r="Q19" s="3">
        <v>0.97530339805825195</v>
      </c>
      <c r="R19" s="3">
        <v>10</v>
      </c>
      <c r="S19">
        <v>0.56560805464282105</v>
      </c>
      <c r="T19">
        <v>0.24564045705140999</v>
      </c>
    </row>
    <row r="20" spans="1:20" x14ac:dyDescent="0.2">
      <c r="A20" t="str">
        <f t="shared" si="0"/>
        <v>sample_16S-A-A04-L0_anaCS-Subj5-A04</v>
      </c>
      <c r="B20" t="s">
        <v>257</v>
      </c>
      <c r="C20" s="3" t="s">
        <v>9</v>
      </c>
      <c r="D20" s="3" t="s">
        <v>7</v>
      </c>
      <c r="E20" s="3" t="s">
        <v>3</v>
      </c>
      <c r="F20" s="3" t="s">
        <v>26</v>
      </c>
      <c r="G20" s="3" t="s">
        <v>18</v>
      </c>
      <c r="H20" s="3" t="s">
        <v>13</v>
      </c>
      <c r="I20" s="3" t="s">
        <v>19</v>
      </c>
      <c r="J20" s="3" t="s">
        <v>26</v>
      </c>
      <c r="K20" s="3" t="s">
        <v>122</v>
      </c>
      <c r="L20" s="3">
        <v>4</v>
      </c>
      <c r="M20">
        <v>66719</v>
      </c>
      <c r="N20">
        <v>66727</v>
      </c>
      <c r="O20">
        <v>65572</v>
      </c>
      <c r="P20">
        <v>60569</v>
      </c>
      <c r="Q20" s="3">
        <v>0.92370218995912901</v>
      </c>
      <c r="R20" s="3">
        <v>49</v>
      </c>
      <c r="S20">
        <v>2.7227320349344</v>
      </c>
      <c r="T20">
        <v>0.69960373973490397</v>
      </c>
    </row>
    <row r="21" spans="1:20" x14ac:dyDescent="0.2">
      <c r="A21" t="str">
        <f t="shared" si="0"/>
        <v>sample_16S-A-A04-L1_anaCS-Subj6-A04</v>
      </c>
      <c r="B21" t="s">
        <v>258</v>
      </c>
      <c r="C21" s="3" t="s">
        <v>9</v>
      </c>
      <c r="D21" s="3" t="s">
        <v>7</v>
      </c>
      <c r="E21" s="3" t="s">
        <v>3</v>
      </c>
      <c r="F21" s="3" t="s">
        <v>26</v>
      </c>
      <c r="G21" s="3" t="s">
        <v>20</v>
      </c>
      <c r="H21" s="3" t="s">
        <v>13</v>
      </c>
      <c r="I21" s="3" t="s">
        <v>21</v>
      </c>
      <c r="J21" s="3" t="s">
        <v>26</v>
      </c>
      <c r="K21" s="3" t="s">
        <v>122</v>
      </c>
      <c r="L21" s="3">
        <v>4</v>
      </c>
      <c r="M21">
        <v>72625</v>
      </c>
      <c r="N21">
        <v>72449</v>
      </c>
      <c r="O21">
        <v>71663</v>
      </c>
      <c r="P21">
        <v>64552</v>
      </c>
      <c r="Q21" s="3">
        <v>0.90077166738763403</v>
      </c>
      <c r="R21" s="3">
        <v>52</v>
      </c>
      <c r="S21">
        <v>2.0569372065993501</v>
      </c>
      <c r="T21">
        <v>0.52057968404384503</v>
      </c>
    </row>
    <row r="22" spans="1:20" x14ac:dyDescent="0.2">
      <c r="A22" t="str">
        <f t="shared" si="0"/>
        <v>sample_16S-A-A04-L2_anaCS-Subj5-A04</v>
      </c>
      <c r="B22" t="s">
        <v>259</v>
      </c>
      <c r="C22" s="3" t="s">
        <v>9</v>
      </c>
      <c r="D22" s="3" t="s">
        <v>7</v>
      </c>
      <c r="E22" s="3" t="s">
        <v>3</v>
      </c>
      <c r="F22" s="3" t="s">
        <v>26</v>
      </c>
      <c r="G22" s="3" t="s">
        <v>22</v>
      </c>
      <c r="H22" s="3" t="s">
        <v>13</v>
      </c>
      <c r="I22" s="3" t="s">
        <v>19</v>
      </c>
      <c r="J22" s="3" t="s">
        <v>26</v>
      </c>
      <c r="K22" s="3" t="s">
        <v>122</v>
      </c>
      <c r="L22" s="3">
        <v>4</v>
      </c>
      <c r="M22">
        <v>92133</v>
      </c>
      <c r="N22">
        <v>92171</v>
      </c>
      <c r="O22">
        <v>90316</v>
      </c>
      <c r="P22">
        <v>77143</v>
      </c>
      <c r="Q22" s="3">
        <v>0.85414544488241295</v>
      </c>
      <c r="R22" s="3">
        <v>48</v>
      </c>
      <c r="S22">
        <v>2.70519675368074</v>
      </c>
      <c r="T22">
        <v>0.69880038418524504</v>
      </c>
    </row>
    <row r="23" spans="1:20" x14ac:dyDescent="0.2">
      <c r="A23" t="str">
        <f t="shared" si="0"/>
        <v>sample_16S-A-A04-L3_anaCS-Subj6-A04</v>
      </c>
      <c r="B23" t="s">
        <v>260</v>
      </c>
      <c r="C23" s="3" t="s">
        <v>9</v>
      </c>
      <c r="D23" s="3" t="s">
        <v>7</v>
      </c>
      <c r="E23" s="3" t="s">
        <v>3</v>
      </c>
      <c r="F23" s="3" t="s">
        <v>26</v>
      </c>
      <c r="G23" s="3" t="s">
        <v>23</v>
      </c>
      <c r="H23" s="3" t="s">
        <v>13</v>
      </c>
      <c r="I23" s="3" t="s">
        <v>21</v>
      </c>
      <c r="J23" s="3" t="s">
        <v>26</v>
      </c>
      <c r="K23" s="3" t="s">
        <v>122</v>
      </c>
      <c r="L23" s="3">
        <v>4</v>
      </c>
      <c r="M23">
        <v>63376</v>
      </c>
      <c r="N23">
        <v>63147</v>
      </c>
      <c r="O23">
        <v>62361</v>
      </c>
      <c r="P23">
        <v>56491</v>
      </c>
      <c r="Q23" s="3">
        <v>0.90587065633969999</v>
      </c>
      <c r="R23" s="3">
        <v>47</v>
      </c>
      <c r="S23">
        <v>1.8785516028504401</v>
      </c>
      <c r="T23">
        <v>0.48791677545454998</v>
      </c>
    </row>
    <row r="24" spans="1:20" x14ac:dyDescent="0.2">
      <c r="A24" t="str">
        <f t="shared" si="0"/>
        <v>sample_HS-CS5_A04_Rolitetracycline_S388</v>
      </c>
      <c r="B24" t="s">
        <v>261</v>
      </c>
      <c r="C24" s="3" t="s">
        <v>10</v>
      </c>
      <c r="D24" s="3" t="s">
        <v>8</v>
      </c>
      <c r="E24" s="3" t="s">
        <v>11</v>
      </c>
      <c r="F24" s="3" t="s">
        <v>11</v>
      </c>
      <c r="G24" s="3" t="s">
        <v>11</v>
      </c>
      <c r="H24" s="3" t="s">
        <v>13</v>
      </c>
      <c r="I24" s="3" t="s">
        <v>19</v>
      </c>
      <c r="J24" s="3" t="s">
        <v>26</v>
      </c>
      <c r="K24" s="3" t="s">
        <v>122</v>
      </c>
      <c r="L24" s="3">
        <v>4</v>
      </c>
      <c r="M24">
        <v>18049</v>
      </c>
      <c r="N24">
        <v>18053</v>
      </c>
      <c r="O24">
        <v>17742</v>
      </c>
      <c r="P24">
        <v>16958</v>
      </c>
      <c r="Q24" s="3">
        <v>0.95581106977792796</v>
      </c>
      <c r="R24" s="3">
        <v>37</v>
      </c>
      <c r="S24">
        <v>2.54080929814263</v>
      </c>
      <c r="T24">
        <v>0.70364637458125701</v>
      </c>
    </row>
    <row r="25" spans="1:20" x14ac:dyDescent="0.2">
      <c r="A25" t="str">
        <f t="shared" si="0"/>
        <v>sample_HS-CS6_A04_Rolitetracycline_S484</v>
      </c>
      <c r="B25" t="s">
        <v>262</v>
      </c>
      <c r="C25" s="3" t="s">
        <v>10</v>
      </c>
      <c r="D25" s="3" t="s">
        <v>8</v>
      </c>
      <c r="E25" s="3" t="s">
        <v>11</v>
      </c>
      <c r="F25" s="3" t="s">
        <v>11</v>
      </c>
      <c r="G25" s="3" t="s">
        <v>11</v>
      </c>
      <c r="H25" s="3" t="s">
        <v>13</v>
      </c>
      <c r="I25" s="3" t="s">
        <v>21</v>
      </c>
      <c r="J25" s="3" t="s">
        <v>26</v>
      </c>
      <c r="K25" s="3" t="s">
        <v>122</v>
      </c>
      <c r="L25" s="3">
        <v>4</v>
      </c>
      <c r="M25">
        <v>16734</v>
      </c>
      <c r="N25">
        <v>16770</v>
      </c>
      <c r="O25">
        <v>16303</v>
      </c>
      <c r="P25">
        <v>16088</v>
      </c>
      <c r="Q25" s="3">
        <v>0.98681224314543303</v>
      </c>
      <c r="R25" s="3">
        <v>17</v>
      </c>
      <c r="S25">
        <v>0.75960590769421199</v>
      </c>
      <c r="T25">
        <v>0.26810755684452298</v>
      </c>
    </row>
    <row r="26" spans="1:20" x14ac:dyDescent="0.2">
      <c r="A26" t="str">
        <f t="shared" si="0"/>
        <v>sample_HS-CS5_A05_Ampicillin-sodium_S389</v>
      </c>
      <c r="B26" t="s">
        <v>263</v>
      </c>
      <c r="C26" s="3" t="s">
        <v>10</v>
      </c>
      <c r="D26" s="3" t="s">
        <v>8</v>
      </c>
      <c r="E26" s="3" t="s">
        <v>11</v>
      </c>
      <c r="F26" s="3" t="s">
        <v>11</v>
      </c>
      <c r="G26" s="3" t="s">
        <v>11</v>
      </c>
      <c r="H26" s="3" t="s">
        <v>13</v>
      </c>
      <c r="I26" s="3" t="s">
        <v>19</v>
      </c>
      <c r="J26" s="3" t="s">
        <v>27</v>
      </c>
      <c r="K26" s="3" t="s">
        <v>123</v>
      </c>
      <c r="L26" s="3">
        <v>5</v>
      </c>
      <c r="M26">
        <v>35283</v>
      </c>
      <c r="N26">
        <v>35338</v>
      </c>
      <c r="O26">
        <v>34479</v>
      </c>
      <c r="P26">
        <v>31669</v>
      </c>
      <c r="Q26" s="3">
        <v>0.91850111662171197</v>
      </c>
      <c r="R26" s="3">
        <v>43</v>
      </c>
      <c r="S26">
        <v>2.2072925346576699</v>
      </c>
      <c r="T26">
        <v>0.58685857353023196</v>
      </c>
    </row>
    <row r="27" spans="1:20" x14ac:dyDescent="0.2">
      <c r="A27" t="str">
        <f t="shared" si="0"/>
        <v>sample_HS-CS6_A05_Ampicillin-sodium_S485</v>
      </c>
      <c r="B27" t="s">
        <v>264</v>
      </c>
      <c r="C27" s="3" t="s">
        <v>10</v>
      </c>
      <c r="D27" s="3" t="s">
        <v>8</v>
      </c>
      <c r="E27" s="3" t="s">
        <v>11</v>
      </c>
      <c r="F27" s="3" t="s">
        <v>11</v>
      </c>
      <c r="G27" s="3" t="s">
        <v>11</v>
      </c>
      <c r="H27" s="3" t="s">
        <v>13</v>
      </c>
      <c r="I27" s="3" t="s">
        <v>21</v>
      </c>
      <c r="J27" s="3" t="s">
        <v>27</v>
      </c>
      <c r="K27" s="3" t="s">
        <v>123</v>
      </c>
      <c r="L27" s="3">
        <v>5</v>
      </c>
      <c r="M27">
        <v>13538</v>
      </c>
      <c r="N27">
        <v>13604</v>
      </c>
      <c r="O27">
        <v>13126</v>
      </c>
      <c r="P27">
        <v>12507</v>
      </c>
      <c r="Q27" s="3">
        <v>0.95284168825232396</v>
      </c>
      <c r="R27" s="3">
        <v>26</v>
      </c>
      <c r="S27">
        <v>1.6738626425496099</v>
      </c>
      <c r="T27">
        <v>0.51375477154095595</v>
      </c>
    </row>
    <row r="28" spans="1:20" x14ac:dyDescent="0.2">
      <c r="A28" t="str">
        <f t="shared" si="0"/>
        <v>sample_16S-A-A05-L0_anaCS-Subj5-A05</v>
      </c>
      <c r="B28" t="s">
        <v>265</v>
      </c>
      <c r="C28" s="3" t="s">
        <v>9</v>
      </c>
      <c r="D28" s="3" t="s">
        <v>7</v>
      </c>
      <c r="E28" s="3" t="s">
        <v>3</v>
      </c>
      <c r="F28" s="3" t="s">
        <v>27</v>
      </c>
      <c r="G28" s="3" t="s">
        <v>18</v>
      </c>
      <c r="H28" s="3" t="s">
        <v>13</v>
      </c>
      <c r="I28" s="3" t="s">
        <v>19</v>
      </c>
      <c r="J28" s="3" t="s">
        <v>27</v>
      </c>
      <c r="K28" s="3" t="s">
        <v>123</v>
      </c>
      <c r="L28" s="3">
        <v>5</v>
      </c>
      <c r="M28">
        <v>71725</v>
      </c>
      <c r="N28">
        <v>71715</v>
      </c>
      <c r="O28">
        <v>70886</v>
      </c>
      <c r="P28">
        <v>63160</v>
      </c>
      <c r="Q28" s="3">
        <v>0.89100809750867604</v>
      </c>
      <c r="R28" s="3">
        <v>58</v>
      </c>
      <c r="S28">
        <v>2.5991549283228701</v>
      </c>
      <c r="T28">
        <v>0.64011609609393305</v>
      </c>
    </row>
    <row r="29" spans="1:20" x14ac:dyDescent="0.2">
      <c r="A29" t="str">
        <f t="shared" si="0"/>
        <v>sample_16S-A-A05-L1_anaCS-Subj6-A05</v>
      </c>
      <c r="B29" t="s">
        <v>266</v>
      </c>
      <c r="C29" s="3" t="s">
        <v>9</v>
      </c>
      <c r="D29" s="3" t="s">
        <v>7</v>
      </c>
      <c r="E29" s="3" t="s">
        <v>3</v>
      </c>
      <c r="F29" s="3" t="s">
        <v>27</v>
      </c>
      <c r="G29" s="3" t="s">
        <v>20</v>
      </c>
      <c r="H29" s="3" t="s">
        <v>13</v>
      </c>
      <c r="I29" s="3" t="s">
        <v>21</v>
      </c>
      <c r="J29" s="3" t="s">
        <v>27</v>
      </c>
      <c r="K29" s="3" t="s">
        <v>123</v>
      </c>
      <c r="L29" s="3">
        <v>5</v>
      </c>
      <c r="M29">
        <v>69366</v>
      </c>
      <c r="N29">
        <v>69470</v>
      </c>
      <c r="O29">
        <v>68057</v>
      </c>
      <c r="P29">
        <v>59304</v>
      </c>
      <c r="Q29" s="3">
        <v>0.87138721953656495</v>
      </c>
      <c r="R29" s="3">
        <v>69</v>
      </c>
      <c r="S29">
        <v>2.5517259350685801</v>
      </c>
      <c r="T29">
        <v>0.602659836803348</v>
      </c>
    </row>
    <row r="30" spans="1:20" x14ac:dyDescent="0.2">
      <c r="A30" t="str">
        <f t="shared" si="0"/>
        <v>sample_16S-A-A05-L2_anaCS-Subj5-A05</v>
      </c>
      <c r="B30" t="s">
        <v>267</v>
      </c>
      <c r="C30" s="3" t="s">
        <v>9</v>
      </c>
      <c r="D30" s="3" t="s">
        <v>7</v>
      </c>
      <c r="E30" s="3" t="s">
        <v>3</v>
      </c>
      <c r="F30" s="3" t="s">
        <v>27</v>
      </c>
      <c r="G30" s="3" t="s">
        <v>22</v>
      </c>
      <c r="H30" s="3" t="s">
        <v>13</v>
      </c>
      <c r="I30" s="3" t="s">
        <v>19</v>
      </c>
      <c r="J30" s="3" t="s">
        <v>27</v>
      </c>
      <c r="K30" s="3" t="s">
        <v>123</v>
      </c>
      <c r="L30" s="3">
        <v>5</v>
      </c>
      <c r="M30">
        <v>41306</v>
      </c>
      <c r="N30">
        <v>41301</v>
      </c>
      <c r="O30">
        <v>40615</v>
      </c>
      <c r="P30">
        <v>34182</v>
      </c>
      <c r="Q30" s="3">
        <v>0.84161024252123595</v>
      </c>
      <c r="R30" s="3">
        <v>52</v>
      </c>
      <c r="S30">
        <v>2.5719538210667001</v>
      </c>
      <c r="T30">
        <v>0.65092259659196094</v>
      </c>
    </row>
    <row r="31" spans="1:20" x14ac:dyDescent="0.2">
      <c r="A31" t="str">
        <f t="shared" si="0"/>
        <v>sample_16S-A-A05-L3_anaCS-Subj6-A05</v>
      </c>
      <c r="B31" t="s">
        <v>268</v>
      </c>
      <c r="C31" s="3" t="s">
        <v>9</v>
      </c>
      <c r="D31" s="3" t="s">
        <v>7</v>
      </c>
      <c r="E31" s="3" t="s">
        <v>3</v>
      </c>
      <c r="F31" s="3" t="s">
        <v>27</v>
      </c>
      <c r="G31" s="3" t="s">
        <v>23</v>
      </c>
      <c r="H31" s="3" t="s">
        <v>13</v>
      </c>
      <c r="I31" s="3" t="s">
        <v>21</v>
      </c>
      <c r="J31" s="3" t="s">
        <v>27</v>
      </c>
      <c r="K31" s="3" t="s">
        <v>123</v>
      </c>
      <c r="L31" s="3">
        <v>5</v>
      </c>
      <c r="M31">
        <v>50607</v>
      </c>
      <c r="N31">
        <v>50648</v>
      </c>
      <c r="O31">
        <v>49440</v>
      </c>
      <c r="P31">
        <v>42970</v>
      </c>
      <c r="Q31" s="3">
        <v>0.86913430420712001</v>
      </c>
      <c r="R31" s="3">
        <v>62</v>
      </c>
      <c r="S31">
        <v>2.3547626335643099</v>
      </c>
      <c r="T31">
        <v>0.57055632646635501</v>
      </c>
    </row>
    <row r="32" spans="1:20" x14ac:dyDescent="0.2">
      <c r="A32" t="str">
        <f t="shared" si="0"/>
        <v>sample_16S-A-A06-L0_anaCS-Subj5-A06</v>
      </c>
      <c r="B32" t="s">
        <v>269</v>
      </c>
      <c r="C32" s="3" t="s">
        <v>9</v>
      </c>
      <c r="D32" s="3" t="s">
        <v>7</v>
      </c>
      <c r="E32" s="3" t="s">
        <v>3</v>
      </c>
      <c r="F32" s="3" t="s">
        <v>28</v>
      </c>
      <c r="G32" s="3" t="s">
        <v>18</v>
      </c>
      <c r="H32" s="3" t="s">
        <v>13</v>
      </c>
      <c r="I32" s="3" t="s">
        <v>19</v>
      </c>
      <c r="J32" s="3" t="s">
        <v>28</v>
      </c>
      <c r="K32" s="3" t="s">
        <v>124</v>
      </c>
      <c r="L32" s="3">
        <v>6</v>
      </c>
      <c r="M32">
        <v>99938</v>
      </c>
      <c r="N32">
        <v>99890</v>
      </c>
      <c r="O32">
        <v>97527</v>
      </c>
      <c r="P32">
        <v>89446</v>
      </c>
      <c r="Q32" s="3">
        <v>0.91714089431644596</v>
      </c>
      <c r="R32" s="3">
        <v>75</v>
      </c>
      <c r="S32">
        <v>2.9572880064791098</v>
      </c>
      <c r="T32">
        <v>0.68495567994902795</v>
      </c>
    </row>
    <row r="33" spans="1:20" x14ac:dyDescent="0.2">
      <c r="A33" t="str">
        <f t="shared" si="0"/>
        <v>sample_16S-A-A06-L1_anaCS-Subj6-A06</v>
      </c>
      <c r="B33" t="s">
        <v>270</v>
      </c>
      <c r="C33" s="3" t="s">
        <v>9</v>
      </c>
      <c r="D33" s="3" t="s">
        <v>7</v>
      </c>
      <c r="E33" s="3" t="s">
        <v>3</v>
      </c>
      <c r="F33" s="3" t="s">
        <v>28</v>
      </c>
      <c r="G33" s="3" t="s">
        <v>20</v>
      </c>
      <c r="H33" s="3" t="s">
        <v>13</v>
      </c>
      <c r="I33" s="3" t="s">
        <v>21</v>
      </c>
      <c r="J33" s="3" t="s">
        <v>28</v>
      </c>
      <c r="K33" s="3" t="s">
        <v>124</v>
      </c>
      <c r="L33" s="3">
        <v>6</v>
      </c>
      <c r="M33">
        <v>91833</v>
      </c>
      <c r="N33">
        <v>91940</v>
      </c>
      <c r="O33">
        <v>89686</v>
      </c>
      <c r="P33">
        <v>82715</v>
      </c>
      <c r="Q33" s="3">
        <v>0.92227326450059099</v>
      </c>
      <c r="R33" s="3">
        <v>80</v>
      </c>
      <c r="S33">
        <v>2.9316127041249902</v>
      </c>
      <c r="T33">
        <v>0.669008417458687</v>
      </c>
    </row>
    <row r="34" spans="1:20" x14ac:dyDescent="0.2">
      <c r="A34" t="str">
        <f t="shared" si="0"/>
        <v>sample_16S-A-A06-L2_anaCS-Subj5-A06</v>
      </c>
      <c r="B34" t="s">
        <v>271</v>
      </c>
      <c r="C34" s="3" t="s">
        <v>9</v>
      </c>
      <c r="D34" s="3" t="s">
        <v>7</v>
      </c>
      <c r="E34" s="3" t="s">
        <v>3</v>
      </c>
      <c r="F34" s="3" t="s">
        <v>28</v>
      </c>
      <c r="G34" s="3" t="s">
        <v>22</v>
      </c>
      <c r="H34" s="3" t="s">
        <v>13</v>
      </c>
      <c r="I34" s="3" t="s">
        <v>19</v>
      </c>
      <c r="J34" s="3" t="s">
        <v>28</v>
      </c>
      <c r="K34" s="3" t="s">
        <v>124</v>
      </c>
      <c r="L34" s="3">
        <v>6</v>
      </c>
      <c r="M34">
        <v>72923</v>
      </c>
      <c r="N34">
        <v>72967</v>
      </c>
      <c r="O34">
        <v>70562</v>
      </c>
      <c r="P34">
        <v>62289</v>
      </c>
      <c r="Q34" s="3">
        <v>0.88275559082792399</v>
      </c>
      <c r="R34" s="3">
        <v>69</v>
      </c>
      <c r="S34">
        <v>2.9425331939569901</v>
      </c>
      <c r="T34">
        <v>0.69495965459585896</v>
      </c>
    </row>
    <row r="35" spans="1:20" x14ac:dyDescent="0.2">
      <c r="A35" t="str">
        <f t="shared" si="0"/>
        <v>sample_16S-A-A06-L3_anaCS-Subj6-A06</v>
      </c>
      <c r="B35" t="s">
        <v>272</v>
      </c>
      <c r="C35" s="3" t="s">
        <v>9</v>
      </c>
      <c r="D35" s="3" t="s">
        <v>7</v>
      </c>
      <c r="E35" s="3" t="s">
        <v>3</v>
      </c>
      <c r="F35" s="3" t="s">
        <v>28</v>
      </c>
      <c r="G35" s="3" t="s">
        <v>23</v>
      </c>
      <c r="H35" s="3" t="s">
        <v>13</v>
      </c>
      <c r="I35" s="3" t="s">
        <v>21</v>
      </c>
      <c r="J35" s="3" t="s">
        <v>28</v>
      </c>
      <c r="K35" s="3" t="s">
        <v>124</v>
      </c>
      <c r="L35" s="3">
        <v>6</v>
      </c>
      <c r="M35">
        <v>100794</v>
      </c>
      <c r="N35">
        <v>100967</v>
      </c>
      <c r="O35">
        <v>98080</v>
      </c>
      <c r="P35">
        <v>89317</v>
      </c>
      <c r="Q35" s="3">
        <v>0.91065456769983699</v>
      </c>
      <c r="R35" s="3">
        <v>77</v>
      </c>
      <c r="S35">
        <v>2.8493586451746</v>
      </c>
      <c r="T35">
        <v>0.65595908850785001</v>
      </c>
    </row>
    <row r="36" spans="1:20" x14ac:dyDescent="0.2">
      <c r="A36" t="str">
        <f t="shared" si="0"/>
        <v>sample_HS-CS5_A06_Rufloxacin-hydrochloride_S390</v>
      </c>
      <c r="B36" t="s">
        <v>273</v>
      </c>
      <c r="C36" s="3" t="s">
        <v>10</v>
      </c>
      <c r="D36" s="3" t="s">
        <v>8</v>
      </c>
      <c r="E36" s="3" t="s">
        <v>11</v>
      </c>
      <c r="F36" s="3" t="s">
        <v>11</v>
      </c>
      <c r="G36" s="3" t="s">
        <v>11</v>
      </c>
      <c r="H36" s="3" t="s">
        <v>13</v>
      </c>
      <c r="I36" s="3" t="s">
        <v>19</v>
      </c>
      <c r="J36" s="3" t="s">
        <v>28</v>
      </c>
      <c r="K36" s="3" t="s">
        <v>124</v>
      </c>
      <c r="L36" s="3">
        <v>6</v>
      </c>
      <c r="M36">
        <v>22477</v>
      </c>
      <c r="N36">
        <v>22506</v>
      </c>
      <c r="O36">
        <v>21825</v>
      </c>
      <c r="P36">
        <v>21235</v>
      </c>
      <c r="Q36" s="3">
        <v>0.97296678121420399</v>
      </c>
      <c r="R36" s="3">
        <v>47</v>
      </c>
      <c r="S36">
        <v>2.75425875711186</v>
      </c>
      <c r="T36">
        <v>0.71536445924529002</v>
      </c>
    </row>
    <row r="37" spans="1:20" x14ac:dyDescent="0.2">
      <c r="A37" t="str">
        <f t="shared" si="0"/>
        <v>sample_HS-CS6_A06_Rufloxacin-hydrochloride_S486</v>
      </c>
      <c r="B37" t="s">
        <v>274</v>
      </c>
      <c r="C37" s="3" t="s">
        <v>10</v>
      </c>
      <c r="D37" s="3" t="s">
        <v>8</v>
      </c>
      <c r="E37" s="3" t="s">
        <v>11</v>
      </c>
      <c r="F37" s="3" t="s">
        <v>11</v>
      </c>
      <c r="G37" s="3" t="s">
        <v>11</v>
      </c>
      <c r="H37" s="3" t="s">
        <v>13</v>
      </c>
      <c r="I37" s="3" t="s">
        <v>21</v>
      </c>
      <c r="J37" s="3" t="s">
        <v>28</v>
      </c>
      <c r="K37" s="3" t="s">
        <v>124</v>
      </c>
      <c r="L37" s="3">
        <v>6</v>
      </c>
      <c r="M37">
        <v>9663</v>
      </c>
      <c r="N37">
        <v>9695</v>
      </c>
      <c r="O37">
        <v>9417</v>
      </c>
      <c r="P37">
        <v>9259</v>
      </c>
      <c r="Q37" s="3">
        <v>0.98322183285547404</v>
      </c>
      <c r="R37" s="3" t="s">
        <v>11</v>
      </c>
      <c r="S37" t="s">
        <v>11</v>
      </c>
      <c r="T37" t="s">
        <v>11</v>
      </c>
    </row>
    <row r="38" spans="1:20" x14ac:dyDescent="0.2">
      <c r="A38" t="str">
        <f t="shared" si="0"/>
        <v>sample_HS-CS5_A07_Letrozole_S391</v>
      </c>
      <c r="B38" t="s">
        <v>275</v>
      </c>
      <c r="C38" s="3" t="s">
        <v>10</v>
      </c>
      <c r="D38" s="3" t="s">
        <v>8</v>
      </c>
      <c r="E38" s="3" t="s">
        <v>11</v>
      </c>
      <c r="F38" s="3" t="s">
        <v>11</v>
      </c>
      <c r="G38" s="3" t="s">
        <v>11</v>
      </c>
      <c r="H38" s="3" t="s">
        <v>13</v>
      </c>
      <c r="I38" s="3" t="s">
        <v>19</v>
      </c>
      <c r="J38" s="3" t="s">
        <v>29</v>
      </c>
      <c r="K38" s="3" t="s">
        <v>125</v>
      </c>
      <c r="L38" s="3">
        <v>7</v>
      </c>
      <c r="M38">
        <v>26477</v>
      </c>
      <c r="N38">
        <v>26579</v>
      </c>
      <c r="O38">
        <v>25818</v>
      </c>
      <c r="P38">
        <v>25130</v>
      </c>
      <c r="Q38" s="3">
        <v>0.97335192501355605</v>
      </c>
      <c r="R38" s="3">
        <v>49</v>
      </c>
      <c r="S38">
        <v>2.4533030384152998</v>
      </c>
      <c r="T38">
        <v>0.63037418238614795</v>
      </c>
    </row>
    <row r="39" spans="1:20" x14ac:dyDescent="0.2">
      <c r="A39" t="str">
        <f t="shared" si="0"/>
        <v>sample_HS-CS6_A07_Letrozole_S487</v>
      </c>
      <c r="B39" t="s">
        <v>276</v>
      </c>
      <c r="C39" s="3" t="s">
        <v>10</v>
      </c>
      <c r="D39" s="3" t="s">
        <v>8</v>
      </c>
      <c r="E39" s="3" t="s">
        <v>11</v>
      </c>
      <c r="F39" s="3" t="s">
        <v>11</v>
      </c>
      <c r="G39" s="3" t="s">
        <v>11</v>
      </c>
      <c r="H39" s="3" t="s">
        <v>13</v>
      </c>
      <c r="I39" s="3" t="s">
        <v>21</v>
      </c>
      <c r="J39" s="3" t="s">
        <v>29</v>
      </c>
      <c r="K39" s="3" t="s">
        <v>125</v>
      </c>
      <c r="L39" s="3">
        <v>7</v>
      </c>
      <c r="M39">
        <v>11243</v>
      </c>
      <c r="N39">
        <v>11280</v>
      </c>
      <c r="O39">
        <v>10971</v>
      </c>
      <c r="P39">
        <v>10821</v>
      </c>
      <c r="Q39" s="3">
        <v>0.98632759092152</v>
      </c>
      <c r="R39" s="3">
        <v>28</v>
      </c>
      <c r="S39">
        <v>1.3772191728849501</v>
      </c>
      <c r="T39">
        <v>0.413305716584767</v>
      </c>
    </row>
    <row r="40" spans="1:20" x14ac:dyDescent="0.2">
      <c r="A40" t="str">
        <f t="shared" si="0"/>
        <v>sample_16S-A-A07-L0_anaCS-Subj5-A07</v>
      </c>
      <c r="B40" t="s">
        <v>277</v>
      </c>
      <c r="C40" s="3" t="s">
        <v>9</v>
      </c>
      <c r="D40" s="3" t="s">
        <v>7</v>
      </c>
      <c r="E40" s="3" t="s">
        <v>3</v>
      </c>
      <c r="F40" s="3" t="s">
        <v>29</v>
      </c>
      <c r="G40" s="3" t="s">
        <v>18</v>
      </c>
      <c r="H40" s="3" t="s">
        <v>13</v>
      </c>
      <c r="I40" s="3" t="s">
        <v>19</v>
      </c>
      <c r="J40" s="3" t="s">
        <v>29</v>
      </c>
      <c r="K40" s="3" t="s">
        <v>125</v>
      </c>
      <c r="L40" s="3">
        <v>7</v>
      </c>
      <c r="M40">
        <v>79122</v>
      </c>
      <c r="N40">
        <v>79232</v>
      </c>
      <c r="O40">
        <v>77309</v>
      </c>
      <c r="P40">
        <v>72002</v>
      </c>
      <c r="Q40" s="3">
        <v>0.93135339999223898</v>
      </c>
      <c r="R40" s="3">
        <v>64</v>
      </c>
      <c r="S40">
        <v>2.7799921889247301</v>
      </c>
      <c r="T40">
        <v>0.66844682411195999</v>
      </c>
    </row>
    <row r="41" spans="1:20" x14ac:dyDescent="0.2">
      <c r="A41" t="str">
        <f t="shared" si="0"/>
        <v>sample_16S-A-A07-L1_anaCS-Subj6-A07</v>
      </c>
      <c r="B41" t="s">
        <v>278</v>
      </c>
      <c r="C41" s="3" t="s">
        <v>9</v>
      </c>
      <c r="D41" s="3" t="s">
        <v>7</v>
      </c>
      <c r="E41" s="3" t="s">
        <v>3</v>
      </c>
      <c r="F41" s="3" t="s">
        <v>29</v>
      </c>
      <c r="G41" s="3" t="s">
        <v>20</v>
      </c>
      <c r="H41" s="3" t="s">
        <v>13</v>
      </c>
      <c r="I41" s="3" t="s">
        <v>21</v>
      </c>
      <c r="J41" s="3" t="s">
        <v>29</v>
      </c>
      <c r="K41" s="3" t="s">
        <v>125</v>
      </c>
      <c r="L41" s="3">
        <v>7</v>
      </c>
      <c r="M41">
        <v>83707</v>
      </c>
      <c r="N41">
        <v>83769</v>
      </c>
      <c r="O41">
        <v>81721</v>
      </c>
      <c r="P41">
        <v>74735</v>
      </c>
      <c r="Q41" s="3">
        <v>0.91451401720488001</v>
      </c>
      <c r="R41" s="3">
        <v>72</v>
      </c>
      <c r="S41">
        <v>2.7046415122329002</v>
      </c>
      <c r="T41">
        <v>0.63241820543502403</v>
      </c>
    </row>
    <row r="42" spans="1:20" x14ac:dyDescent="0.2">
      <c r="A42" t="str">
        <f t="shared" si="0"/>
        <v>sample_16S-A-A07-L2_anaCS-Subj5-A07</v>
      </c>
      <c r="B42" t="s">
        <v>279</v>
      </c>
      <c r="C42" s="3" t="s">
        <v>9</v>
      </c>
      <c r="D42" s="3" t="s">
        <v>7</v>
      </c>
      <c r="E42" s="3" t="s">
        <v>3</v>
      </c>
      <c r="F42" s="3" t="s">
        <v>29</v>
      </c>
      <c r="G42" s="3" t="s">
        <v>22</v>
      </c>
      <c r="H42" s="3" t="s">
        <v>13</v>
      </c>
      <c r="I42" s="3" t="s">
        <v>19</v>
      </c>
      <c r="J42" s="3" t="s">
        <v>29</v>
      </c>
      <c r="K42" s="3" t="s">
        <v>125</v>
      </c>
      <c r="L42" s="3">
        <v>7</v>
      </c>
      <c r="M42">
        <v>49032</v>
      </c>
      <c r="N42">
        <v>49129</v>
      </c>
      <c r="O42">
        <v>47522</v>
      </c>
      <c r="P42">
        <v>43268</v>
      </c>
      <c r="Q42" s="3">
        <v>0.910483565506502</v>
      </c>
      <c r="R42" s="3">
        <v>65</v>
      </c>
      <c r="S42">
        <v>2.72846928845019</v>
      </c>
      <c r="T42">
        <v>0.65362150467615798</v>
      </c>
    </row>
    <row r="43" spans="1:20" x14ac:dyDescent="0.2">
      <c r="A43" t="str">
        <f t="shared" si="0"/>
        <v>sample_16S-A-A07-L3_anaCS-Subj6-A07</v>
      </c>
      <c r="B43" t="s">
        <v>280</v>
      </c>
      <c r="C43" s="3" t="s">
        <v>9</v>
      </c>
      <c r="D43" s="3" t="s">
        <v>7</v>
      </c>
      <c r="E43" s="3" t="s">
        <v>3</v>
      </c>
      <c r="F43" s="3" t="s">
        <v>29</v>
      </c>
      <c r="G43" s="3" t="s">
        <v>23</v>
      </c>
      <c r="H43" s="3" t="s">
        <v>13</v>
      </c>
      <c r="I43" s="3" t="s">
        <v>21</v>
      </c>
      <c r="J43" s="3" t="s">
        <v>29</v>
      </c>
      <c r="K43" s="3" t="s">
        <v>125</v>
      </c>
      <c r="L43" s="3">
        <v>7</v>
      </c>
      <c r="M43">
        <v>78815</v>
      </c>
      <c r="N43">
        <v>78949</v>
      </c>
      <c r="O43">
        <v>76636</v>
      </c>
      <c r="P43">
        <v>68575</v>
      </c>
      <c r="Q43" s="3">
        <v>0.89481444751813799</v>
      </c>
      <c r="R43" s="3">
        <v>74</v>
      </c>
      <c r="S43">
        <v>2.5563711806870399</v>
      </c>
      <c r="T43">
        <v>0.59394342913711595</v>
      </c>
    </row>
    <row r="44" spans="1:20" x14ac:dyDescent="0.2">
      <c r="A44" t="str">
        <f t="shared" si="0"/>
        <v>sample_16S-A-A08-L0_anaCS-Subj5-A08</v>
      </c>
      <c r="B44" t="s">
        <v>281</v>
      </c>
      <c r="C44" s="3" t="s">
        <v>9</v>
      </c>
      <c r="D44" s="3" t="s">
        <v>7</v>
      </c>
      <c r="E44" s="3" t="s">
        <v>3</v>
      </c>
      <c r="F44" s="3" t="s">
        <v>30</v>
      </c>
      <c r="G44" s="3" t="s">
        <v>18</v>
      </c>
      <c r="H44" s="3" t="s">
        <v>13</v>
      </c>
      <c r="I44" s="3" t="s">
        <v>19</v>
      </c>
      <c r="J44" s="3" t="s">
        <v>30</v>
      </c>
      <c r="K44" s="3" t="s">
        <v>126</v>
      </c>
      <c r="L44" s="3">
        <v>8</v>
      </c>
      <c r="M44">
        <v>75300</v>
      </c>
      <c r="N44">
        <v>75393</v>
      </c>
      <c r="O44">
        <v>73490</v>
      </c>
      <c r="P44">
        <v>68140</v>
      </c>
      <c r="Q44" s="3">
        <v>0.92720097972513305</v>
      </c>
      <c r="R44" s="3">
        <v>65</v>
      </c>
      <c r="S44">
        <v>2.80974206515722</v>
      </c>
      <c r="T44">
        <v>0.67309089538007005</v>
      </c>
    </row>
    <row r="45" spans="1:20" x14ac:dyDescent="0.2">
      <c r="A45" t="str">
        <f t="shared" si="0"/>
        <v>sample_16S-A-A08-L1_anaCS-Subj6-A08</v>
      </c>
      <c r="B45" t="s">
        <v>282</v>
      </c>
      <c r="C45" s="3" t="s">
        <v>9</v>
      </c>
      <c r="D45" s="3" t="s">
        <v>7</v>
      </c>
      <c r="E45" s="3" t="s">
        <v>3</v>
      </c>
      <c r="F45" s="3" t="s">
        <v>30</v>
      </c>
      <c r="G45" s="3" t="s">
        <v>20</v>
      </c>
      <c r="H45" s="3" t="s">
        <v>13</v>
      </c>
      <c r="I45" s="3" t="s">
        <v>21</v>
      </c>
      <c r="J45" s="3" t="s">
        <v>30</v>
      </c>
      <c r="K45" s="3" t="s">
        <v>126</v>
      </c>
      <c r="L45" s="3">
        <v>8</v>
      </c>
      <c r="M45">
        <v>90942</v>
      </c>
      <c r="N45">
        <v>91050</v>
      </c>
      <c r="O45">
        <v>89108</v>
      </c>
      <c r="P45">
        <v>81681</v>
      </c>
      <c r="Q45" s="3">
        <v>0.91665170355074699</v>
      </c>
      <c r="R45" s="3">
        <v>69</v>
      </c>
      <c r="S45">
        <v>2.6584335514347699</v>
      </c>
      <c r="T45">
        <v>0.62786175750381501</v>
      </c>
    </row>
    <row r="46" spans="1:20" x14ac:dyDescent="0.2">
      <c r="A46" t="str">
        <f t="shared" si="0"/>
        <v>sample_16S-A-A08-L2_anaCS-Subj5-A08</v>
      </c>
      <c r="B46" t="s">
        <v>283</v>
      </c>
      <c r="C46" s="3" t="s">
        <v>9</v>
      </c>
      <c r="D46" s="3" t="s">
        <v>7</v>
      </c>
      <c r="E46" s="3" t="s">
        <v>3</v>
      </c>
      <c r="F46" s="3" t="s">
        <v>30</v>
      </c>
      <c r="G46" s="3" t="s">
        <v>22</v>
      </c>
      <c r="H46" s="3" t="s">
        <v>13</v>
      </c>
      <c r="I46" s="3" t="s">
        <v>19</v>
      </c>
      <c r="J46" s="3" t="s">
        <v>30</v>
      </c>
      <c r="K46" s="3" t="s">
        <v>126</v>
      </c>
      <c r="L46" s="3">
        <v>8</v>
      </c>
      <c r="M46">
        <v>69513</v>
      </c>
      <c r="N46">
        <v>69483</v>
      </c>
      <c r="O46">
        <v>67103</v>
      </c>
      <c r="P46">
        <v>58922</v>
      </c>
      <c r="Q46" s="3">
        <v>0.87808294711115698</v>
      </c>
      <c r="R46" s="3">
        <v>62</v>
      </c>
      <c r="S46">
        <v>2.7706838103347402</v>
      </c>
      <c r="T46">
        <v>0.67133355782512705</v>
      </c>
    </row>
    <row r="47" spans="1:20" x14ac:dyDescent="0.2">
      <c r="A47" t="str">
        <f t="shared" si="0"/>
        <v>sample_16S-A-A08-L3_anaCS-Subj6-A08</v>
      </c>
      <c r="B47" t="s">
        <v>284</v>
      </c>
      <c r="C47" s="3" t="s">
        <v>9</v>
      </c>
      <c r="D47" s="3" t="s">
        <v>7</v>
      </c>
      <c r="E47" s="3" t="s">
        <v>3</v>
      </c>
      <c r="F47" s="3" t="s">
        <v>30</v>
      </c>
      <c r="G47" s="3" t="s">
        <v>23</v>
      </c>
      <c r="H47" s="3" t="s">
        <v>13</v>
      </c>
      <c r="I47" s="3" t="s">
        <v>21</v>
      </c>
      <c r="J47" s="3" t="s">
        <v>30</v>
      </c>
      <c r="K47" s="3" t="s">
        <v>126</v>
      </c>
      <c r="L47" s="3">
        <v>8</v>
      </c>
      <c r="M47">
        <v>86835</v>
      </c>
      <c r="N47">
        <v>86990</v>
      </c>
      <c r="O47">
        <v>84617</v>
      </c>
      <c r="P47">
        <v>76153</v>
      </c>
      <c r="Q47" s="3">
        <v>0.89997281870073398</v>
      </c>
      <c r="R47" s="3">
        <v>66</v>
      </c>
      <c r="S47">
        <v>2.4947132067236799</v>
      </c>
      <c r="T47">
        <v>0.59544601174392897</v>
      </c>
    </row>
    <row r="48" spans="1:20" x14ac:dyDescent="0.2">
      <c r="A48" t="str">
        <f t="shared" si="0"/>
        <v>sample_HS-CS5_A08_Zacopride-hydrochloride-hydrate_S392</v>
      </c>
      <c r="B48" t="s">
        <v>285</v>
      </c>
      <c r="C48" s="3" t="s">
        <v>10</v>
      </c>
      <c r="D48" s="3" t="s">
        <v>8</v>
      </c>
      <c r="E48" s="3" t="s">
        <v>11</v>
      </c>
      <c r="F48" s="3" t="s">
        <v>11</v>
      </c>
      <c r="G48" s="3" t="s">
        <v>11</v>
      </c>
      <c r="H48" s="3" t="s">
        <v>13</v>
      </c>
      <c r="I48" s="3" t="s">
        <v>19</v>
      </c>
      <c r="J48" s="3" t="s">
        <v>30</v>
      </c>
      <c r="K48" s="3" t="s">
        <v>126</v>
      </c>
      <c r="L48" s="3">
        <v>8</v>
      </c>
      <c r="M48">
        <v>20569</v>
      </c>
      <c r="N48">
        <v>20622</v>
      </c>
      <c r="O48">
        <v>20081</v>
      </c>
      <c r="P48">
        <v>19779</v>
      </c>
      <c r="Q48" s="3">
        <v>0.98496090832129901</v>
      </c>
      <c r="R48" s="3">
        <v>45</v>
      </c>
      <c r="S48">
        <v>2.4227232684426601</v>
      </c>
      <c r="T48">
        <v>0.636442887950604</v>
      </c>
    </row>
    <row r="49" spans="1:20" x14ac:dyDescent="0.2">
      <c r="A49" t="str">
        <f t="shared" si="0"/>
        <v>sample_HS-CS6_A08_Zacopride-hydrochloride-hydrate_S488</v>
      </c>
      <c r="B49" t="s">
        <v>286</v>
      </c>
      <c r="C49" s="3" t="s">
        <v>10</v>
      </c>
      <c r="D49" s="3" t="s">
        <v>8</v>
      </c>
      <c r="E49" s="3" t="s">
        <v>11</v>
      </c>
      <c r="F49" s="3" t="s">
        <v>11</v>
      </c>
      <c r="G49" s="3" t="s">
        <v>11</v>
      </c>
      <c r="H49" s="3" t="s">
        <v>13</v>
      </c>
      <c r="I49" s="3" t="s">
        <v>21</v>
      </c>
      <c r="J49" s="3" t="s">
        <v>30</v>
      </c>
      <c r="K49" s="3" t="s">
        <v>126</v>
      </c>
      <c r="L49" s="3">
        <v>8</v>
      </c>
      <c r="M49">
        <v>6235</v>
      </c>
      <c r="N49">
        <v>6248</v>
      </c>
      <c r="O49">
        <v>6124</v>
      </c>
      <c r="P49">
        <v>6047</v>
      </c>
      <c r="Q49" s="3">
        <v>0.98742651861528397</v>
      </c>
      <c r="R49" s="3" t="s">
        <v>11</v>
      </c>
      <c r="S49" t="s">
        <v>11</v>
      </c>
      <c r="T49" t="s">
        <v>11</v>
      </c>
    </row>
    <row r="50" spans="1:20" x14ac:dyDescent="0.2">
      <c r="A50" t="str">
        <f t="shared" si="0"/>
        <v>sample_HS-CS5_A09_Doxylamine-succinate_S393</v>
      </c>
      <c r="B50" t="s">
        <v>287</v>
      </c>
      <c r="C50" s="3" t="s">
        <v>10</v>
      </c>
      <c r="D50" s="3" t="s">
        <v>8</v>
      </c>
      <c r="E50" s="3" t="s">
        <v>11</v>
      </c>
      <c r="F50" s="3" t="s">
        <v>11</v>
      </c>
      <c r="G50" s="3" t="s">
        <v>11</v>
      </c>
      <c r="H50" s="3" t="s">
        <v>13</v>
      </c>
      <c r="I50" s="3" t="s">
        <v>19</v>
      </c>
      <c r="J50" s="3" t="s">
        <v>31</v>
      </c>
      <c r="K50" s="3" t="s">
        <v>127</v>
      </c>
      <c r="L50" s="3">
        <v>9</v>
      </c>
      <c r="M50">
        <v>16074</v>
      </c>
      <c r="N50">
        <v>16104</v>
      </c>
      <c r="O50">
        <v>15727</v>
      </c>
      <c r="P50">
        <v>15490</v>
      </c>
      <c r="Q50" s="3">
        <v>0.98493037451516496</v>
      </c>
      <c r="R50" s="3">
        <v>42</v>
      </c>
      <c r="S50">
        <v>2.37209259527115</v>
      </c>
      <c r="T50">
        <v>0.63464480211619301</v>
      </c>
    </row>
    <row r="51" spans="1:20" x14ac:dyDescent="0.2">
      <c r="A51" t="str">
        <f t="shared" si="0"/>
        <v>sample_HS-CS6_A09_Doxylamine-succinate_S489</v>
      </c>
      <c r="B51" t="s">
        <v>288</v>
      </c>
      <c r="C51" s="3" t="s">
        <v>10</v>
      </c>
      <c r="D51" s="3" t="s">
        <v>8</v>
      </c>
      <c r="E51" s="3" t="s">
        <v>11</v>
      </c>
      <c r="F51" s="3" t="s">
        <v>11</v>
      </c>
      <c r="G51" s="3" t="s">
        <v>11</v>
      </c>
      <c r="H51" s="3" t="s">
        <v>13</v>
      </c>
      <c r="I51" s="3" t="s">
        <v>21</v>
      </c>
      <c r="J51" s="3" t="s">
        <v>31</v>
      </c>
      <c r="K51" s="3" t="s">
        <v>127</v>
      </c>
      <c r="L51" s="3">
        <v>9</v>
      </c>
      <c r="M51">
        <v>12169</v>
      </c>
      <c r="N51">
        <v>12218</v>
      </c>
      <c r="O51">
        <v>11810</v>
      </c>
      <c r="P51">
        <v>11690</v>
      </c>
      <c r="Q51" s="3">
        <v>0.98983911939034697</v>
      </c>
      <c r="R51" s="3">
        <v>26</v>
      </c>
      <c r="S51">
        <v>1.3627477877441101</v>
      </c>
      <c r="T51">
        <v>0.41826501205260702</v>
      </c>
    </row>
    <row r="52" spans="1:20" x14ac:dyDescent="0.2">
      <c r="A52" t="str">
        <f t="shared" si="0"/>
        <v>sample_16S-A-A09-L0_anaCS-Subj5-A09</v>
      </c>
      <c r="B52" t="s">
        <v>289</v>
      </c>
      <c r="C52" s="3" t="s">
        <v>9</v>
      </c>
      <c r="D52" s="3" t="s">
        <v>7</v>
      </c>
      <c r="E52" s="3" t="s">
        <v>3</v>
      </c>
      <c r="F52" s="3" t="s">
        <v>31</v>
      </c>
      <c r="G52" s="3" t="s">
        <v>18</v>
      </c>
      <c r="H52" s="3" t="s">
        <v>13</v>
      </c>
      <c r="I52" s="3" t="s">
        <v>19</v>
      </c>
      <c r="J52" s="3" t="s">
        <v>31</v>
      </c>
      <c r="K52" s="3" t="s">
        <v>127</v>
      </c>
      <c r="L52" s="3">
        <v>9</v>
      </c>
      <c r="M52">
        <v>82239</v>
      </c>
      <c r="N52">
        <v>82356</v>
      </c>
      <c r="O52">
        <v>80427</v>
      </c>
      <c r="P52">
        <v>74151</v>
      </c>
      <c r="Q52" s="3">
        <v>0.92196650378604195</v>
      </c>
      <c r="R52" s="3">
        <v>67</v>
      </c>
      <c r="S52">
        <v>2.8149981118132099</v>
      </c>
      <c r="T52">
        <v>0.66948963137784601</v>
      </c>
    </row>
    <row r="53" spans="1:20" x14ac:dyDescent="0.2">
      <c r="A53" t="str">
        <f t="shared" si="0"/>
        <v>sample_16S-A-A09-L1_anaCS-Subj6-A09</v>
      </c>
      <c r="B53" t="s">
        <v>290</v>
      </c>
      <c r="C53" s="3" t="s">
        <v>9</v>
      </c>
      <c r="D53" s="3" t="s">
        <v>7</v>
      </c>
      <c r="E53" s="3" t="s">
        <v>3</v>
      </c>
      <c r="F53" s="3" t="s">
        <v>31</v>
      </c>
      <c r="G53" s="3" t="s">
        <v>20</v>
      </c>
      <c r="H53" s="3" t="s">
        <v>13</v>
      </c>
      <c r="I53" s="3" t="s">
        <v>21</v>
      </c>
      <c r="J53" s="3" t="s">
        <v>31</v>
      </c>
      <c r="K53" s="3" t="s">
        <v>127</v>
      </c>
      <c r="L53" s="3">
        <v>9</v>
      </c>
      <c r="M53">
        <v>95575</v>
      </c>
      <c r="N53">
        <v>95692</v>
      </c>
      <c r="O53">
        <v>93625</v>
      </c>
      <c r="P53">
        <v>84946</v>
      </c>
      <c r="Q53" s="3">
        <v>0.90730040053404504</v>
      </c>
      <c r="R53" s="3">
        <v>70</v>
      </c>
      <c r="S53">
        <v>2.6507839227407901</v>
      </c>
      <c r="T53">
        <v>0.62393477495390104</v>
      </c>
    </row>
    <row r="54" spans="1:20" x14ac:dyDescent="0.2">
      <c r="A54" t="str">
        <f t="shared" si="0"/>
        <v>sample_16S-A-A09-L2_anaCS-Subj5-A09</v>
      </c>
      <c r="B54" t="s">
        <v>291</v>
      </c>
      <c r="C54" s="3" t="s">
        <v>9</v>
      </c>
      <c r="D54" s="3" t="s">
        <v>7</v>
      </c>
      <c r="E54" s="3" t="s">
        <v>3</v>
      </c>
      <c r="F54" s="3" t="s">
        <v>31</v>
      </c>
      <c r="G54" s="3" t="s">
        <v>22</v>
      </c>
      <c r="H54" s="3" t="s">
        <v>13</v>
      </c>
      <c r="I54" s="3" t="s">
        <v>19</v>
      </c>
      <c r="J54" s="3" t="s">
        <v>31</v>
      </c>
      <c r="K54" s="3" t="s">
        <v>127</v>
      </c>
      <c r="L54" s="3">
        <v>9</v>
      </c>
      <c r="M54">
        <v>95751</v>
      </c>
      <c r="N54">
        <v>95816</v>
      </c>
      <c r="O54">
        <v>92815</v>
      </c>
      <c r="P54">
        <v>81552</v>
      </c>
      <c r="Q54" s="3">
        <v>0.87865108010558601</v>
      </c>
      <c r="R54" s="3">
        <v>67</v>
      </c>
      <c r="S54">
        <v>2.7846579364973798</v>
      </c>
      <c r="T54">
        <v>0.66227384224360297</v>
      </c>
    </row>
    <row r="55" spans="1:20" x14ac:dyDescent="0.2">
      <c r="A55" t="str">
        <f t="shared" si="0"/>
        <v>sample_16S-A-A09-L3_anaCS-Subj6-A09</v>
      </c>
      <c r="B55" t="s">
        <v>292</v>
      </c>
      <c r="C55" s="3" t="s">
        <v>9</v>
      </c>
      <c r="D55" s="3" t="s">
        <v>7</v>
      </c>
      <c r="E55" s="3" t="s">
        <v>3</v>
      </c>
      <c r="F55" s="3" t="s">
        <v>31</v>
      </c>
      <c r="G55" s="3" t="s">
        <v>23</v>
      </c>
      <c r="H55" s="3" t="s">
        <v>13</v>
      </c>
      <c r="I55" s="3" t="s">
        <v>21</v>
      </c>
      <c r="J55" s="3" t="s">
        <v>31</v>
      </c>
      <c r="K55" s="3" t="s">
        <v>127</v>
      </c>
      <c r="L55" s="3">
        <v>9</v>
      </c>
      <c r="M55">
        <v>100521</v>
      </c>
      <c r="N55">
        <v>100672</v>
      </c>
      <c r="O55">
        <v>98076</v>
      </c>
      <c r="P55">
        <v>86735</v>
      </c>
      <c r="Q55" s="3">
        <v>0.88436518618214399</v>
      </c>
      <c r="R55" s="3">
        <v>70</v>
      </c>
      <c r="S55">
        <v>2.5194256161936601</v>
      </c>
      <c r="T55">
        <v>0.59301599099316904</v>
      </c>
    </row>
    <row r="56" spans="1:20" x14ac:dyDescent="0.2">
      <c r="A56" t="str">
        <f t="shared" si="0"/>
        <v>sample_HS-CS5_A10_Ethacrynic-acid_S394</v>
      </c>
      <c r="B56" t="s">
        <v>293</v>
      </c>
      <c r="C56" s="3" t="s">
        <v>10</v>
      </c>
      <c r="D56" s="3" t="s">
        <v>8</v>
      </c>
      <c r="E56" s="3" t="s">
        <v>11</v>
      </c>
      <c r="F56" s="3" t="s">
        <v>11</v>
      </c>
      <c r="G56" s="3" t="s">
        <v>11</v>
      </c>
      <c r="H56" s="3" t="s">
        <v>13</v>
      </c>
      <c r="I56" s="3" t="s">
        <v>19</v>
      </c>
      <c r="J56" s="3" t="s">
        <v>32</v>
      </c>
      <c r="K56" s="3" t="s">
        <v>128</v>
      </c>
      <c r="L56" s="3">
        <v>10</v>
      </c>
      <c r="M56">
        <v>22501</v>
      </c>
      <c r="N56">
        <v>22642</v>
      </c>
      <c r="O56">
        <v>21973</v>
      </c>
      <c r="P56">
        <v>21594</v>
      </c>
      <c r="Q56" s="3">
        <v>0.98275155873117004</v>
      </c>
      <c r="R56" s="3">
        <v>48</v>
      </c>
      <c r="S56">
        <v>2.20502599757666</v>
      </c>
      <c r="T56">
        <v>0.56959739144610599</v>
      </c>
    </row>
    <row r="57" spans="1:20" x14ac:dyDescent="0.2">
      <c r="A57" t="str">
        <f t="shared" si="0"/>
        <v>sample_HS-CS6_A10_Ethacrynic-acid_S490</v>
      </c>
      <c r="B57" t="s">
        <v>294</v>
      </c>
      <c r="C57" s="3" t="s">
        <v>10</v>
      </c>
      <c r="D57" s="3" t="s">
        <v>8</v>
      </c>
      <c r="E57" s="3" t="s">
        <v>11</v>
      </c>
      <c r="F57" s="3" t="s">
        <v>11</v>
      </c>
      <c r="G57" s="3" t="s">
        <v>11</v>
      </c>
      <c r="H57" s="3" t="s">
        <v>13</v>
      </c>
      <c r="I57" s="3" t="s">
        <v>21</v>
      </c>
      <c r="J57" s="3" t="s">
        <v>32</v>
      </c>
      <c r="K57" s="3" t="s">
        <v>128</v>
      </c>
      <c r="L57" s="3">
        <v>10</v>
      </c>
      <c r="M57">
        <v>14058</v>
      </c>
      <c r="N57">
        <v>14089</v>
      </c>
      <c r="O57">
        <v>13743</v>
      </c>
      <c r="P57">
        <v>13458</v>
      </c>
      <c r="Q57" s="3">
        <v>0.97926216983191405</v>
      </c>
      <c r="R57" s="3">
        <v>30</v>
      </c>
      <c r="S57">
        <v>1.0772636425862201</v>
      </c>
      <c r="T57">
        <v>0.31673070442614598</v>
      </c>
    </row>
    <row r="58" spans="1:20" x14ac:dyDescent="0.2">
      <c r="A58" t="str">
        <f t="shared" si="0"/>
        <v>sample_16S-A-A10-L0_anaCS-Subj5-A10</v>
      </c>
      <c r="B58" t="s">
        <v>295</v>
      </c>
      <c r="C58" s="3" t="s">
        <v>9</v>
      </c>
      <c r="D58" s="3" t="s">
        <v>7</v>
      </c>
      <c r="E58" s="3" t="s">
        <v>3</v>
      </c>
      <c r="F58" s="3" t="s">
        <v>32</v>
      </c>
      <c r="G58" s="3" t="s">
        <v>18</v>
      </c>
      <c r="H58" s="3" t="s">
        <v>13</v>
      </c>
      <c r="I58" s="3" t="s">
        <v>19</v>
      </c>
      <c r="J58" s="3" t="s">
        <v>32</v>
      </c>
      <c r="K58" s="3" t="s">
        <v>128</v>
      </c>
      <c r="L58" s="3">
        <v>10</v>
      </c>
      <c r="M58">
        <v>81918</v>
      </c>
      <c r="N58">
        <v>81992</v>
      </c>
      <c r="O58">
        <v>80188</v>
      </c>
      <c r="P58">
        <v>74870</v>
      </c>
      <c r="Q58" s="3">
        <v>0.93368085000249401</v>
      </c>
      <c r="R58" s="3">
        <v>64</v>
      </c>
      <c r="S58">
        <v>2.6341086109853298</v>
      </c>
      <c r="T58">
        <v>0.63336923837190795</v>
      </c>
    </row>
    <row r="59" spans="1:20" x14ac:dyDescent="0.2">
      <c r="A59" t="str">
        <f t="shared" si="0"/>
        <v>sample_16S-A-A10-L1_anaCS-Subj6-A10</v>
      </c>
      <c r="B59" t="s">
        <v>296</v>
      </c>
      <c r="C59" s="3" t="s">
        <v>9</v>
      </c>
      <c r="D59" s="3" t="s">
        <v>7</v>
      </c>
      <c r="E59" s="3" t="s">
        <v>3</v>
      </c>
      <c r="F59" s="3" t="s">
        <v>32</v>
      </c>
      <c r="G59" s="3" t="s">
        <v>20</v>
      </c>
      <c r="H59" s="3" t="s">
        <v>13</v>
      </c>
      <c r="I59" s="3" t="s">
        <v>21</v>
      </c>
      <c r="J59" s="3" t="s">
        <v>32</v>
      </c>
      <c r="K59" s="3" t="s">
        <v>128</v>
      </c>
      <c r="L59" s="3">
        <v>10</v>
      </c>
      <c r="M59">
        <v>75482</v>
      </c>
      <c r="N59">
        <v>75566</v>
      </c>
      <c r="O59">
        <v>74284</v>
      </c>
      <c r="P59">
        <v>68607</v>
      </c>
      <c r="Q59" s="3">
        <v>0.92357708254805904</v>
      </c>
      <c r="R59" s="3">
        <v>75</v>
      </c>
      <c r="S59">
        <v>2.2868952209999698</v>
      </c>
      <c r="T59">
        <v>0.52968188003344696</v>
      </c>
    </row>
    <row r="60" spans="1:20" x14ac:dyDescent="0.2">
      <c r="A60" t="str">
        <f t="shared" si="0"/>
        <v>sample_16S-A-A10-L2_anaCS-Subj5-A10</v>
      </c>
      <c r="B60" t="s">
        <v>297</v>
      </c>
      <c r="C60" s="3" t="s">
        <v>9</v>
      </c>
      <c r="D60" s="3" t="s">
        <v>7</v>
      </c>
      <c r="E60" s="3" t="s">
        <v>3</v>
      </c>
      <c r="F60" s="3" t="s">
        <v>32</v>
      </c>
      <c r="G60" s="3" t="s">
        <v>22</v>
      </c>
      <c r="H60" s="3" t="s">
        <v>13</v>
      </c>
      <c r="I60" s="3" t="s">
        <v>19</v>
      </c>
      <c r="J60" s="3" t="s">
        <v>32</v>
      </c>
      <c r="K60" s="3" t="s">
        <v>128</v>
      </c>
      <c r="L60" s="3">
        <v>10</v>
      </c>
      <c r="M60">
        <v>51712</v>
      </c>
      <c r="N60">
        <v>51723</v>
      </c>
      <c r="O60">
        <v>49967</v>
      </c>
      <c r="P60">
        <v>45094</v>
      </c>
      <c r="Q60" s="3">
        <v>0.90247563391838603</v>
      </c>
      <c r="R60" s="3">
        <v>58</v>
      </c>
      <c r="S60">
        <v>2.5632706055244801</v>
      </c>
      <c r="T60">
        <v>0.63127855725760595</v>
      </c>
    </row>
    <row r="61" spans="1:20" x14ac:dyDescent="0.2">
      <c r="A61" t="str">
        <f t="shared" si="0"/>
        <v>sample_16S-A-A10-L3_anaCS-Subj6-A10</v>
      </c>
      <c r="B61" t="s">
        <v>298</v>
      </c>
      <c r="C61" s="3" t="s">
        <v>9</v>
      </c>
      <c r="D61" s="3" t="s">
        <v>7</v>
      </c>
      <c r="E61" s="3" t="s">
        <v>3</v>
      </c>
      <c r="F61" s="3" t="s">
        <v>32</v>
      </c>
      <c r="G61" s="3" t="s">
        <v>23</v>
      </c>
      <c r="H61" s="3" t="s">
        <v>13</v>
      </c>
      <c r="I61" s="3" t="s">
        <v>21</v>
      </c>
      <c r="J61" s="3" t="s">
        <v>32</v>
      </c>
      <c r="K61" s="3" t="s">
        <v>128</v>
      </c>
      <c r="L61" s="3">
        <v>10</v>
      </c>
      <c r="M61">
        <v>65067</v>
      </c>
      <c r="N61">
        <v>65105</v>
      </c>
      <c r="O61">
        <v>63909</v>
      </c>
      <c r="P61">
        <v>58148</v>
      </c>
      <c r="Q61" s="3">
        <v>0.90985620178691595</v>
      </c>
      <c r="R61" s="3">
        <v>66</v>
      </c>
      <c r="S61">
        <v>2.0600891734578499</v>
      </c>
      <c r="T61">
        <v>0.49170857750952501</v>
      </c>
    </row>
    <row r="62" spans="1:20" x14ac:dyDescent="0.2">
      <c r="A62" t="str">
        <f t="shared" si="0"/>
        <v>sample_HS-CS5_A11_Mevastatin_S395</v>
      </c>
      <c r="B62" t="s">
        <v>299</v>
      </c>
      <c r="C62" s="3" t="s">
        <v>10</v>
      </c>
      <c r="D62" s="3" t="s">
        <v>8</v>
      </c>
      <c r="E62" s="3" t="s">
        <v>11</v>
      </c>
      <c r="F62" s="3" t="s">
        <v>11</v>
      </c>
      <c r="G62" s="3" t="s">
        <v>11</v>
      </c>
      <c r="H62" s="3" t="s">
        <v>13</v>
      </c>
      <c r="I62" s="3" t="s">
        <v>19</v>
      </c>
      <c r="J62" s="3" t="s">
        <v>33</v>
      </c>
      <c r="K62" s="3" t="s">
        <v>129</v>
      </c>
      <c r="L62" s="3">
        <v>11</v>
      </c>
      <c r="M62">
        <v>25547</v>
      </c>
      <c r="N62">
        <v>25607</v>
      </c>
      <c r="O62">
        <v>24911</v>
      </c>
      <c r="P62">
        <v>24232</v>
      </c>
      <c r="Q62" s="3">
        <v>0.97274296495524104</v>
      </c>
      <c r="R62" s="3">
        <v>47</v>
      </c>
      <c r="S62">
        <v>2.54594563180357</v>
      </c>
      <c r="T62">
        <v>0.66125922826251704</v>
      </c>
    </row>
    <row r="63" spans="1:20" x14ac:dyDescent="0.2">
      <c r="A63" t="str">
        <f t="shared" si="0"/>
        <v>sample_HS-CS6_A11_Mevastatin_S491</v>
      </c>
      <c r="B63" t="s">
        <v>300</v>
      </c>
      <c r="C63" s="3" t="s">
        <v>10</v>
      </c>
      <c r="D63" s="3" t="s">
        <v>8</v>
      </c>
      <c r="E63" s="3" t="s">
        <v>11</v>
      </c>
      <c r="F63" s="3" t="s">
        <v>11</v>
      </c>
      <c r="G63" s="3" t="s">
        <v>11</v>
      </c>
      <c r="H63" s="3" t="s">
        <v>13</v>
      </c>
      <c r="I63" s="3" t="s">
        <v>21</v>
      </c>
      <c r="J63" s="3" t="s">
        <v>33</v>
      </c>
      <c r="K63" s="3" t="s">
        <v>129</v>
      </c>
      <c r="L63" s="3">
        <v>11</v>
      </c>
      <c r="M63">
        <v>12951</v>
      </c>
      <c r="N63">
        <v>12975</v>
      </c>
      <c r="O63">
        <v>12590</v>
      </c>
      <c r="P63">
        <v>12398</v>
      </c>
      <c r="Q63" s="3">
        <v>0.98474980142970603</v>
      </c>
      <c r="R63" s="3">
        <v>32</v>
      </c>
      <c r="S63">
        <v>1.2182360988763401</v>
      </c>
      <c r="T63">
        <v>0.35150863569616297</v>
      </c>
    </row>
    <row r="64" spans="1:20" x14ac:dyDescent="0.2">
      <c r="A64" t="str">
        <f t="shared" si="0"/>
        <v>sample_16S-A-A11-L0_anaCS-Subj5-A11</v>
      </c>
      <c r="B64" t="s">
        <v>301</v>
      </c>
      <c r="C64" s="3" t="s">
        <v>9</v>
      </c>
      <c r="D64" s="3" t="s">
        <v>7</v>
      </c>
      <c r="E64" s="3" t="s">
        <v>3</v>
      </c>
      <c r="F64" s="3" t="s">
        <v>33</v>
      </c>
      <c r="G64" s="3" t="s">
        <v>18</v>
      </c>
      <c r="H64" s="3" t="s">
        <v>13</v>
      </c>
      <c r="I64" s="3" t="s">
        <v>19</v>
      </c>
      <c r="J64" s="3" t="s">
        <v>33</v>
      </c>
      <c r="K64" s="3" t="s">
        <v>129</v>
      </c>
      <c r="L64" s="3">
        <v>11</v>
      </c>
      <c r="M64">
        <v>71621</v>
      </c>
      <c r="N64">
        <v>71677</v>
      </c>
      <c r="O64">
        <v>69925</v>
      </c>
      <c r="P64">
        <v>65080</v>
      </c>
      <c r="Q64" s="3">
        <v>0.930711476582052</v>
      </c>
      <c r="R64" s="3">
        <v>67</v>
      </c>
      <c r="S64">
        <v>2.79138601969552</v>
      </c>
      <c r="T64">
        <v>0.66387397899726597</v>
      </c>
    </row>
    <row r="65" spans="1:20" x14ac:dyDescent="0.2">
      <c r="A65" t="str">
        <f t="shared" si="0"/>
        <v>sample_16S-A-A11-L1_anaCS-Subj6-A11</v>
      </c>
      <c r="B65" t="s">
        <v>302</v>
      </c>
      <c r="C65" s="3" t="s">
        <v>9</v>
      </c>
      <c r="D65" s="3" t="s">
        <v>7</v>
      </c>
      <c r="E65" s="3" t="s">
        <v>3</v>
      </c>
      <c r="F65" s="3" t="s">
        <v>33</v>
      </c>
      <c r="G65" s="3" t="s">
        <v>20</v>
      </c>
      <c r="H65" s="3" t="s">
        <v>13</v>
      </c>
      <c r="I65" s="3" t="s">
        <v>21</v>
      </c>
      <c r="J65" s="3" t="s">
        <v>33</v>
      </c>
      <c r="K65" s="3" t="s">
        <v>129</v>
      </c>
      <c r="L65" s="3">
        <v>11</v>
      </c>
      <c r="M65">
        <v>97006</v>
      </c>
      <c r="N65">
        <v>97021</v>
      </c>
      <c r="O65">
        <v>95443</v>
      </c>
      <c r="P65">
        <v>87678</v>
      </c>
      <c r="Q65" s="3">
        <v>0.918642540573955</v>
      </c>
      <c r="R65" s="3">
        <v>67</v>
      </c>
      <c r="S65">
        <v>2.5124215066465698</v>
      </c>
      <c r="T65">
        <v>0.59752798458082901</v>
      </c>
    </row>
    <row r="66" spans="1:20" x14ac:dyDescent="0.2">
      <c r="A66" t="str">
        <f t="shared" si="0"/>
        <v>sample_16S-A-A11-L2_anaCS-Subj5-A11</v>
      </c>
      <c r="B66" t="s">
        <v>303</v>
      </c>
      <c r="C66" s="3" t="s">
        <v>9</v>
      </c>
      <c r="D66" s="3" t="s">
        <v>7</v>
      </c>
      <c r="E66" s="3" t="s">
        <v>3</v>
      </c>
      <c r="F66" s="3" t="s">
        <v>33</v>
      </c>
      <c r="G66" s="3" t="s">
        <v>22</v>
      </c>
      <c r="H66" s="3" t="s">
        <v>13</v>
      </c>
      <c r="I66" s="3" t="s">
        <v>19</v>
      </c>
      <c r="J66" s="3" t="s">
        <v>33</v>
      </c>
      <c r="K66" s="3" t="s">
        <v>129</v>
      </c>
      <c r="L66" s="3">
        <v>11</v>
      </c>
      <c r="M66">
        <v>32621</v>
      </c>
      <c r="N66">
        <v>32659</v>
      </c>
      <c r="O66">
        <v>31408</v>
      </c>
      <c r="P66">
        <v>28771</v>
      </c>
      <c r="Q66" s="3">
        <v>0.91604049923586395</v>
      </c>
      <c r="R66" s="3">
        <v>54</v>
      </c>
      <c r="S66">
        <v>2.7035056410982699</v>
      </c>
      <c r="T66">
        <v>0.67774290634900203</v>
      </c>
    </row>
    <row r="67" spans="1:20" x14ac:dyDescent="0.2">
      <c r="A67" t="str">
        <f t="shared" ref="A67:A130" si="1">_xlfn.CONCAT("sample_",B67)</f>
        <v>sample_16S-A-A11-L3_anaCS-Subj6-A11</v>
      </c>
      <c r="B67" t="s">
        <v>304</v>
      </c>
      <c r="C67" s="3" t="s">
        <v>9</v>
      </c>
      <c r="D67" s="3" t="s">
        <v>7</v>
      </c>
      <c r="E67" s="3" t="s">
        <v>3</v>
      </c>
      <c r="F67" s="3" t="s">
        <v>33</v>
      </c>
      <c r="G67" s="3" t="s">
        <v>23</v>
      </c>
      <c r="H67" s="3" t="s">
        <v>13</v>
      </c>
      <c r="I67" s="3" t="s">
        <v>21</v>
      </c>
      <c r="J67" s="3" t="s">
        <v>33</v>
      </c>
      <c r="K67" s="3" t="s">
        <v>129</v>
      </c>
      <c r="L67" s="3">
        <v>11</v>
      </c>
      <c r="M67">
        <v>53558</v>
      </c>
      <c r="N67">
        <v>53541</v>
      </c>
      <c r="O67">
        <v>52268</v>
      </c>
      <c r="P67">
        <v>47925</v>
      </c>
      <c r="Q67" s="3">
        <v>0.91690900742327996</v>
      </c>
      <c r="R67" s="3">
        <v>64</v>
      </c>
      <c r="S67">
        <v>2.2244760181180299</v>
      </c>
      <c r="T67">
        <v>0.534873419985886</v>
      </c>
    </row>
    <row r="68" spans="1:20" x14ac:dyDescent="0.2">
      <c r="A68" t="str">
        <f t="shared" si="1"/>
        <v>sample_HS-CS5_A12_Medroxyprogesterone-17-acetate_S396</v>
      </c>
      <c r="B68" t="s">
        <v>305</v>
      </c>
      <c r="C68" s="3" t="s">
        <v>10</v>
      </c>
      <c r="D68" s="3" t="s">
        <v>8</v>
      </c>
      <c r="E68" s="3" t="s">
        <v>11</v>
      </c>
      <c r="F68" s="3" t="s">
        <v>11</v>
      </c>
      <c r="G68" s="3" t="s">
        <v>11</v>
      </c>
      <c r="H68" s="3" t="s">
        <v>13</v>
      </c>
      <c r="I68" s="3" t="s">
        <v>19</v>
      </c>
      <c r="J68" s="3" t="s">
        <v>34</v>
      </c>
      <c r="K68" s="3" t="s">
        <v>130</v>
      </c>
      <c r="L68" s="3">
        <v>12</v>
      </c>
      <c r="M68">
        <v>39163</v>
      </c>
      <c r="N68">
        <v>39257</v>
      </c>
      <c r="O68">
        <v>38242</v>
      </c>
      <c r="P68">
        <v>36633</v>
      </c>
      <c r="Q68" s="3">
        <v>0.95792584069870801</v>
      </c>
      <c r="R68" s="3">
        <v>56</v>
      </c>
      <c r="S68">
        <v>2.4172033889284799</v>
      </c>
      <c r="T68">
        <v>0.60049495662502705</v>
      </c>
    </row>
    <row r="69" spans="1:20" x14ac:dyDescent="0.2">
      <c r="A69" t="str">
        <f t="shared" si="1"/>
        <v>sample_HS-CS6_A12_Medroxyprogesterone-17-acetate_S492</v>
      </c>
      <c r="B69" t="s">
        <v>306</v>
      </c>
      <c r="C69" s="3" t="s">
        <v>10</v>
      </c>
      <c r="D69" s="3" t="s">
        <v>8</v>
      </c>
      <c r="E69" s="3" t="s">
        <v>11</v>
      </c>
      <c r="F69" s="3" t="s">
        <v>11</v>
      </c>
      <c r="G69" s="3" t="s">
        <v>11</v>
      </c>
      <c r="H69" s="3" t="s">
        <v>13</v>
      </c>
      <c r="I69" s="3" t="s">
        <v>21</v>
      </c>
      <c r="J69" s="3" t="s">
        <v>34</v>
      </c>
      <c r="K69" s="3" t="s">
        <v>130</v>
      </c>
      <c r="L69" s="3">
        <v>12</v>
      </c>
      <c r="M69">
        <v>12644</v>
      </c>
      <c r="N69">
        <v>12646</v>
      </c>
      <c r="O69">
        <v>12195</v>
      </c>
      <c r="P69">
        <v>11910</v>
      </c>
      <c r="Q69" s="3">
        <v>0.97662976629766296</v>
      </c>
      <c r="R69" s="3">
        <v>26</v>
      </c>
      <c r="S69">
        <v>1.32169176762324</v>
      </c>
      <c r="T69">
        <v>0.40566378319343799</v>
      </c>
    </row>
    <row r="70" spans="1:20" x14ac:dyDescent="0.2">
      <c r="A70" t="str">
        <f t="shared" si="1"/>
        <v>sample_16S-A-A12-L0_anaCS-Subj5-A12</v>
      </c>
      <c r="B70" t="s">
        <v>307</v>
      </c>
      <c r="C70" s="3" t="s">
        <v>9</v>
      </c>
      <c r="D70" s="3" t="s">
        <v>7</v>
      </c>
      <c r="E70" s="3" t="s">
        <v>3</v>
      </c>
      <c r="F70" s="3" t="s">
        <v>34</v>
      </c>
      <c r="G70" s="3" t="s">
        <v>18</v>
      </c>
      <c r="H70" s="3" t="s">
        <v>13</v>
      </c>
      <c r="I70" s="3" t="s">
        <v>19</v>
      </c>
      <c r="J70" s="3" t="s">
        <v>34</v>
      </c>
      <c r="K70" s="3" t="s">
        <v>130</v>
      </c>
      <c r="L70" s="3">
        <v>12</v>
      </c>
      <c r="M70">
        <v>59698</v>
      </c>
      <c r="N70">
        <v>59679</v>
      </c>
      <c r="O70">
        <v>58252</v>
      </c>
      <c r="P70">
        <v>54603</v>
      </c>
      <c r="Q70" s="3">
        <v>0.93735837396140897</v>
      </c>
      <c r="R70" s="3">
        <v>66</v>
      </c>
      <c r="S70">
        <v>2.7803366359404098</v>
      </c>
      <c r="T70">
        <v>0.66361951214042803</v>
      </c>
    </row>
    <row r="71" spans="1:20" x14ac:dyDescent="0.2">
      <c r="A71" t="str">
        <f t="shared" si="1"/>
        <v>sample_16S-A-A12-L1_anaCS-Subj6-A12</v>
      </c>
      <c r="B71" t="s">
        <v>308</v>
      </c>
      <c r="C71" s="3" t="s">
        <v>9</v>
      </c>
      <c r="D71" s="3" t="s">
        <v>7</v>
      </c>
      <c r="E71" s="3" t="s">
        <v>3</v>
      </c>
      <c r="F71" s="3" t="s">
        <v>34</v>
      </c>
      <c r="G71" s="3" t="s">
        <v>20</v>
      </c>
      <c r="H71" s="3" t="s">
        <v>13</v>
      </c>
      <c r="I71" s="3" t="s">
        <v>21</v>
      </c>
      <c r="J71" s="3" t="s">
        <v>34</v>
      </c>
      <c r="K71" s="3" t="s">
        <v>130</v>
      </c>
      <c r="L71" s="3">
        <v>12</v>
      </c>
      <c r="M71">
        <v>83876</v>
      </c>
      <c r="N71">
        <v>83971</v>
      </c>
      <c r="O71">
        <v>82395</v>
      </c>
      <c r="P71">
        <v>75376</v>
      </c>
      <c r="Q71" s="3">
        <v>0.91481279203835197</v>
      </c>
      <c r="R71" s="3">
        <v>65</v>
      </c>
      <c r="S71">
        <v>2.52448403118485</v>
      </c>
      <c r="T71">
        <v>0.60475558877601698</v>
      </c>
    </row>
    <row r="72" spans="1:20" x14ac:dyDescent="0.2">
      <c r="A72" t="str">
        <f t="shared" si="1"/>
        <v>sample_16S-A-A12-L2_anaCS-Subj5-A12</v>
      </c>
      <c r="B72" t="s">
        <v>309</v>
      </c>
      <c r="C72" s="3" t="s">
        <v>9</v>
      </c>
      <c r="D72" s="3" t="s">
        <v>7</v>
      </c>
      <c r="E72" s="3" t="s">
        <v>3</v>
      </c>
      <c r="F72" s="3" t="s">
        <v>34</v>
      </c>
      <c r="G72" s="3" t="s">
        <v>22</v>
      </c>
      <c r="H72" s="3" t="s">
        <v>13</v>
      </c>
      <c r="I72" s="3" t="s">
        <v>19</v>
      </c>
      <c r="J72" s="3" t="s">
        <v>34</v>
      </c>
      <c r="K72" s="3" t="s">
        <v>130</v>
      </c>
      <c r="L72" s="3">
        <v>12</v>
      </c>
      <c r="M72">
        <v>40667</v>
      </c>
      <c r="N72">
        <v>40688</v>
      </c>
      <c r="O72">
        <v>39225</v>
      </c>
      <c r="P72">
        <v>35632</v>
      </c>
      <c r="Q72" s="3">
        <v>0.90840025493945198</v>
      </c>
      <c r="R72" s="3">
        <v>58</v>
      </c>
      <c r="S72">
        <v>2.68505263887497</v>
      </c>
      <c r="T72">
        <v>0.66127085933749796</v>
      </c>
    </row>
    <row r="73" spans="1:20" x14ac:dyDescent="0.2">
      <c r="A73" t="str">
        <f t="shared" si="1"/>
        <v>sample_16S-A-A12-L3_anaCS-Subj6-A12</v>
      </c>
      <c r="B73" t="s">
        <v>310</v>
      </c>
      <c r="C73" s="3" t="s">
        <v>9</v>
      </c>
      <c r="D73" s="3" t="s">
        <v>7</v>
      </c>
      <c r="E73" s="3" t="s">
        <v>3</v>
      </c>
      <c r="F73" s="3" t="s">
        <v>34</v>
      </c>
      <c r="G73" s="3" t="s">
        <v>23</v>
      </c>
      <c r="H73" s="3" t="s">
        <v>13</v>
      </c>
      <c r="I73" s="3" t="s">
        <v>21</v>
      </c>
      <c r="J73" s="3" t="s">
        <v>34</v>
      </c>
      <c r="K73" s="3" t="s">
        <v>130</v>
      </c>
      <c r="L73" s="3">
        <v>12</v>
      </c>
      <c r="M73">
        <v>73259</v>
      </c>
      <c r="N73">
        <v>73334</v>
      </c>
      <c r="O73">
        <v>71676</v>
      </c>
      <c r="P73">
        <v>65017</v>
      </c>
      <c r="Q73" s="3">
        <v>0.90709582007924505</v>
      </c>
      <c r="R73" s="3">
        <v>67</v>
      </c>
      <c r="S73">
        <v>2.3064405577615701</v>
      </c>
      <c r="T73">
        <v>0.548539635721494</v>
      </c>
    </row>
    <row r="74" spans="1:20" x14ac:dyDescent="0.2">
      <c r="A74" t="str">
        <f t="shared" si="1"/>
        <v>sample_HS-CS5_B01_DMSO_S397</v>
      </c>
      <c r="B74" t="s">
        <v>311</v>
      </c>
      <c r="C74" s="3" t="s">
        <v>10</v>
      </c>
      <c r="D74" s="3" t="s">
        <v>8</v>
      </c>
      <c r="E74" s="3" t="s">
        <v>11</v>
      </c>
      <c r="F74" s="3" t="s">
        <v>11</v>
      </c>
      <c r="G74" s="3" t="s">
        <v>11</v>
      </c>
      <c r="H74" s="3" t="s">
        <v>13</v>
      </c>
      <c r="I74" s="3" t="s">
        <v>19</v>
      </c>
      <c r="J74" s="3" t="s">
        <v>35</v>
      </c>
      <c r="K74" s="3" t="s">
        <v>119</v>
      </c>
      <c r="L74" s="3">
        <v>13</v>
      </c>
      <c r="M74">
        <v>22923</v>
      </c>
      <c r="N74">
        <v>22962</v>
      </c>
      <c r="O74">
        <v>22357</v>
      </c>
      <c r="P74">
        <v>21864</v>
      </c>
      <c r="Q74" s="3">
        <v>0.97794874088652295</v>
      </c>
      <c r="R74" s="3">
        <v>52</v>
      </c>
      <c r="S74">
        <v>2.45136647480797</v>
      </c>
      <c r="T74">
        <v>0.62040376382757301</v>
      </c>
    </row>
    <row r="75" spans="1:20" x14ac:dyDescent="0.2">
      <c r="A75" t="str">
        <f t="shared" si="1"/>
        <v>sample_HS-CS6_B01_DMSO_S493</v>
      </c>
      <c r="B75" t="s">
        <v>312</v>
      </c>
      <c r="C75" s="3" t="s">
        <v>10</v>
      </c>
      <c r="D75" s="3" t="s">
        <v>8</v>
      </c>
      <c r="E75" s="3" t="s">
        <v>11</v>
      </c>
      <c r="F75" s="3" t="s">
        <v>11</v>
      </c>
      <c r="G75" s="3" t="s">
        <v>11</v>
      </c>
      <c r="H75" s="3" t="s">
        <v>13</v>
      </c>
      <c r="I75" s="3" t="s">
        <v>21</v>
      </c>
      <c r="J75" s="3" t="s">
        <v>35</v>
      </c>
      <c r="K75" s="3" t="s">
        <v>119</v>
      </c>
      <c r="L75" s="3">
        <v>13</v>
      </c>
      <c r="M75">
        <v>10745</v>
      </c>
      <c r="N75">
        <v>10766</v>
      </c>
      <c r="O75">
        <v>10418</v>
      </c>
      <c r="P75">
        <v>10271</v>
      </c>
      <c r="Q75" s="3">
        <v>0.98588980610481902</v>
      </c>
      <c r="R75" s="3">
        <v>29</v>
      </c>
      <c r="S75">
        <v>1.42280217491434</v>
      </c>
      <c r="T75">
        <v>0.42253554387588799</v>
      </c>
    </row>
    <row r="76" spans="1:20" x14ac:dyDescent="0.2">
      <c r="A76" t="str">
        <f t="shared" si="1"/>
        <v>sample_16S-A-B01-L0_anaCS-Subj5-B01</v>
      </c>
      <c r="B76" t="s">
        <v>313</v>
      </c>
      <c r="C76" s="3" t="s">
        <v>9</v>
      </c>
      <c r="D76" s="3" t="s">
        <v>7</v>
      </c>
      <c r="E76" s="3" t="s">
        <v>3</v>
      </c>
      <c r="F76" s="3" t="s">
        <v>35</v>
      </c>
      <c r="G76" s="3" t="s">
        <v>18</v>
      </c>
      <c r="H76" s="3" t="s">
        <v>13</v>
      </c>
      <c r="I76" s="3" t="s">
        <v>19</v>
      </c>
      <c r="J76" s="3" t="s">
        <v>35</v>
      </c>
      <c r="K76" s="3" t="s">
        <v>119</v>
      </c>
      <c r="L76" s="3">
        <v>13</v>
      </c>
      <c r="M76">
        <v>117264</v>
      </c>
      <c r="N76">
        <v>117520</v>
      </c>
      <c r="O76">
        <v>114434</v>
      </c>
      <c r="P76">
        <v>103211</v>
      </c>
      <c r="Q76" s="3">
        <v>0.90192600101368503</v>
      </c>
      <c r="R76" s="3">
        <v>70</v>
      </c>
      <c r="S76">
        <v>2.8598282871898602</v>
      </c>
      <c r="T76">
        <v>0.67313910555548995</v>
      </c>
    </row>
    <row r="77" spans="1:20" x14ac:dyDescent="0.2">
      <c r="A77" t="str">
        <f t="shared" si="1"/>
        <v>sample_16S-A-B01-L1_anaCS-Subj6-B01</v>
      </c>
      <c r="B77" t="s">
        <v>314</v>
      </c>
      <c r="C77" s="3" t="s">
        <v>9</v>
      </c>
      <c r="D77" s="3" t="s">
        <v>7</v>
      </c>
      <c r="E77" s="3" t="s">
        <v>3</v>
      </c>
      <c r="F77" s="3" t="s">
        <v>35</v>
      </c>
      <c r="G77" s="3" t="s">
        <v>20</v>
      </c>
      <c r="H77" s="3" t="s">
        <v>13</v>
      </c>
      <c r="I77" s="3" t="s">
        <v>21</v>
      </c>
      <c r="J77" s="3" t="s">
        <v>35</v>
      </c>
      <c r="K77" s="3" t="s">
        <v>119</v>
      </c>
      <c r="L77" s="3">
        <v>13</v>
      </c>
      <c r="M77">
        <v>81197</v>
      </c>
      <c r="N77">
        <v>81265</v>
      </c>
      <c r="O77">
        <v>79464</v>
      </c>
      <c r="P77">
        <v>72921</v>
      </c>
      <c r="Q77" s="3">
        <v>0.91766082754454803</v>
      </c>
      <c r="R77" s="3">
        <v>71</v>
      </c>
      <c r="S77">
        <v>2.6205797637893502</v>
      </c>
      <c r="T77">
        <v>0.61477282821628798</v>
      </c>
    </row>
    <row r="78" spans="1:20" x14ac:dyDescent="0.2">
      <c r="A78" t="str">
        <f t="shared" si="1"/>
        <v>sample_16S-A-B01-L2_anaCS-Subj5-B01</v>
      </c>
      <c r="B78" t="s">
        <v>315</v>
      </c>
      <c r="C78" s="3" t="s">
        <v>9</v>
      </c>
      <c r="D78" s="3" t="s">
        <v>7</v>
      </c>
      <c r="E78" s="3" t="s">
        <v>3</v>
      </c>
      <c r="F78" s="3" t="s">
        <v>35</v>
      </c>
      <c r="G78" s="3" t="s">
        <v>22</v>
      </c>
      <c r="H78" s="3" t="s">
        <v>13</v>
      </c>
      <c r="I78" s="3" t="s">
        <v>19</v>
      </c>
      <c r="J78" s="3" t="s">
        <v>35</v>
      </c>
      <c r="K78" s="3" t="s">
        <v>119</v>
      </c>
      <c r="L78" s="3">
        <v>13</v>
      </c>
      <c r="M78">
        <v>94534</v>
      </c>
      <c r="N78">
        <v>94780</v>
      </c>
      <c r="O78">
        <v>91357</v>
      </c>
      <c r="P78">
        <v>79527</v>
      </c>
      <c r="Q78" s="3">
        <v>0.87050800704926801</v>
      </c>
      <c r="R78" s="3">
        <v>69</v>
      </c>
      <c r="S78">
        <v>2.7989480733581602</v>
      </c>
      <c r="T78">
        <v>0.66104810314033202</v>
      </c>
    </row>
    <row r="79" spans="1:20" x14ac:dyDescent="0.2">
      <c r="A79" t="str">
        <f t="shared" si="1"/>
        <v>sample_16S-A-B01-L3_anaCS-Subj6-B01</v>
      </c>
      <c r="B79" t="s">
        <v>316</v>
      </c>
      <c r="C79" s="3" t="s">
        <v>9</v>
      </c>
      <c r="D79" s="3" t="s">
        <v>7</v>
      </c>
      <c r="E79" s="3" t="s">
        <v>3</v>
      </c>
      <c r="F79" s="3" t="s">
        <v>35</v>
      </c>
      <c r="G79" s="3" t="s">
        <v>23</v>
      </c>
      <c r="H79" s="3" t="s">
        <v>13</v>
      </c>
      <c r="I79" s="3" t="s">
        <v>21</v>
      </c>
      <c r="J79" s="3" t="s">
        <v>35</v>
      </c>
      <c r="K79" s="3" t="s">
        <v>119</v>
      </c>
      <c r="L79" s="3">
        <v>13</v>
      </c>
      <c r="M79">
        <v>91865</v>
      </c>
      <c r="N79">
        <v>91955</v>
      </c>
      <c r="O79">
        <v>89311</v>
      </c>
      <c r="P79">
        <v>79758</v>
      </c>
      <c r="Q79" s="3">
        <v>0.89303669200882296</v>
      </c>
      <c r="R79" s="3">
        <v>68</v>
      </c>
      <c r="S79">
        <v>2.4850902507716901</v>
      </c>
      <c r="T79">
        <v>0.58895265144870101</v>
      </c>
    </row>
    <row r="80" spans="1:20" x14ac:dyDescent="0.2">
      <c r="A80" t="str">
        <f t="shared" si="1"/>
        <v>sample_HS-CS5_B02_Moxifloxacin-hydrochloride_S398</v>
      </c>
      <c r="B80" t="s">
        <v>317</v>
      </c>
      <c r="C80" s="3" t="s">
        <v>10</v>
      </c>
      <c r="D80" s="3" t="s">
        <v>8</v>
      </c>
      <c r="E80" s="3" t="s">
        <v>11</v>
      </c>
      <c r="F80" s="3" t="s">
        <v>11</v>
      </c>
      <c r="G80" s="3" t="s">
        <v>11</v>
      </c>
      <c r="H80" s="3" t="s">
        <v>13</v>
      </c>
      <c r="I80" s="3" t="s">
        <v>19</v>
      </c>
      <c r="J80" s="3" t="s">
        <v>36</v>
      </c>
      <c r="K80" s="3" t="s">
        <v>131</v>
      </c>
      <c r="L80" s="3">
        <v>14</v>
      </c>
      <c r="M80">
        <v>18016</v>
      </c>
      <c r="N80">
        <v>18071</v>
      </c>
      <c r="O80">
        <v>17728</v>
      </c>
      <c r="P80">
        <v>17412</v>
      </c>
      <c r="Q80" s="3">
        <v>0.98217509025270799</v>
      </c>
      <c r="R80" s="3">
        <v>27</v>
      </c>
      <c r="S80">
        <v>2.1011955820837298</v>
      </c>
      <c r="T80">
        <v>0.63753021387587305</v>
      </c>
    </row>
    <row r="81" spans="1:20" x14ac:dyDescent="0.2">
      <c r="A81" t="str">
        <f t="shared" si="1"/>
        <v>sample_HS-CS6_B02_Moxifloxacin-hydrochloride_S494</v>
      </c>
      <c r="B81" t="s">
        <v>318</v>
      </c>
      <c r="C81" s="3" t="s">
        <v>10</v>
      </c>
      <c r="D81" s="3" t="s">
        <v>8</v>
      </c>
      <c r="E81" s="3" t="s">
        <v>11</v>
      </c>
      <c r="F81" s="3" t="s">
        <v>11</v>
      </c>
      <c r="G81" s="3" t="s">
        <v>11</v>
      </c>
      <c r="H81" s="3" t="s">
        <v>13</v>
      </c>
      <c r="I81" s="3" t="s">
        <v>21</v>
      </c>
      <c r="J81" s="3" t="s">
        <v>36</v>
      </c>
      <c r="K81" s="3" t="s">
        <v>131</v>
      </c>
      <c r="L81" s="3">
        <v>14</v>
      </c>
      <c r="M81">
        <v>11874</v>
      </c>
      <c r="N81">
        <v>11899</v>
      </c>
      <c r="O81">
        <v>11603</v>
      </c>
      <c r="P81">
        <v>11110</v>
      </c>
      <c r="Q81" s="3">
        <v>0.95751098853744698</v>
      </c>
      <c r="R81" s="3">
        <v>16</v>
      </c>
      <c r="S81">
        <v>1.80401052300841</v>
      </c>
      <c r="T81">
        <v>0.65065925881393505</v>
      </c>
    </row>
    <row r="82" spans="1:20" x14ac:dyDescent="0.2">
      <c r="A82" t="str">
        <f t="shared" si="1"/>
        <v>sample_16S-A-B02-L0_anaCS-Subj5-B02</v>
      </c>
      <c r="B82" t="s">
        <v>319</v>
      </c>
      <c r="C82" s="3" t="s">
        <v>9</v>
      </c>
      <c r="D82" s="3" t="s">
        <v>7</v>
      </c>
      <c r="E82" s="3" t="s">
        <v>3</v>
      </c>
      <c r="F82" s="3" t="s">
        <v>36</v>
      </c>
      <c r="G82" s="3" t="s">
        <v>18</v>
      </c>
      <c r="H82" s="3" t="s">
        <v>13</v>
      </c>
      <c r="I82" s="3" t="s">
        <v>19</v>
      </c>
      <c r="J82" s="3" t="s">
        <v>36</v>
      </c>
      <c r="K82" s="3" t="s">
        <v>131</v>
      </c>
      <c r="L82" s="3">
        <v>14</v>
      </c>
      <c r="M82">
        <v>112022</v>
      </c>
      <c r="N82">
        <v>112119</v>
      </c>
      <c r="O82">
        <v>110687</v>
      </c>
      <c r="P82">
        <v>104146</v>
      </c>
      <c r="Q82" s="3">
        <v>0.94090543604940102</v>
      </c>
      <c r="R82" s="3">
        <v>44</v>
      </c>
      <c r="S82">
        <v>2.3226878016842201</v>
      </c>
      <c r="T82">
        <v>0.61378736965653602</v>
      </c>
    </row>
    <row r="83" spans="1:20" x14ac:dyDescent="0.2">
      <c r="A83" t="str">
        <f t="shared" si="1"/>
        <v>sample_16S-A-B02-L1_anaCS-Subj6-B02</v>
      </c>
      <c r="B83" t="s">
        <v>320</v>
      </c>
      <c r="C83" s="3" t="s">
        <v>9</v>
      </c>
      <c r="D83" s="3" t="s">
        <v>7</v>
      </c>
      <c r="E83" s="3" t="s">
        <v>3</v>
      </c>
      <c r="F83" s="3" t="s">
        <v>36</v>
      </c>
      <c r="G83" s="3" t="s">
        <v>20</v>
      </c>
      <c r="H83" s="3" t="s">
        <v>13</v>
      </c>
      <c r="I83" s="3" t="s">
        <v>21</v>
      </c>
      <c r="J83" s="3" t="s">
        <v>36</v>
      </c>
      <c r="K83" s="3" t="s">
        <v>131</v>
      </c>
      <c r="L83" s="3">
        <v>14</v>
      </c>
      <c r="M83">
        <v>93277</v>
      </c>
      <c r="N83">
        <v>93388</v>
      </c>
      <c r="O83">
        <v>92074</v>
      </c>
      <c r="P83">
        <v>83315</v>
      </c>
      <c r="Q83" s="3">
        <v>0.90486999587288497</v>
      </c>
      <c r="R83" s="3">
        <v>35</v>
      </c>
      <c r="S83">
        <v>2.24870882269059</v>
      </c>
      <c r="T83">
        <v>0.63248626682940201</v>
      </c>
    </row>
    <row r="84" spans="1:20" x14ac:dyDescent="0.2">
      <c r="A84" t="str">
        <f t="shared" si="1"/>
        <v>sample_16S-A-B02-L2_anaCS-Subj5-B02</v>
      </c>
      <c r="B84" t="s">
        <v>321</v>
      </c>
      <c r="C84" s="3" t="s">
        <v>9</v>
      </c>
      <c r="D84" s="3" t="s">
        <v>7</v>
      </c>
      <c r="E84" s="3" t="s">
        <v>3</v>
      </c>
      <c r="F84" s="3" t="s">
        <v>36</v>
      </c>
      <c r="G84" s="3" t="s">
        <v>22</v>
      </c>
      <c r="H84" s="3" t="s">
        <v>13</v>
      </c>
      <c r="I84" s="3" t="s">
        <v>19</v>
      </c>
      <c r="J84" s="3" t="s">
        <v>36</v>
      </c>
      <c r="K84" s="3" t="s">
        <v>131</v>
      </c>
      <c r="L84" s="3">
        <v>14</v>
      </c>
      <c r="M84">
        <v>54590</v>
      </c>
      <c r="N84">
        <v>54611</v>
      </c>
      <c r="O84">
        <v>53780</v>
      </c>
      <c r="P84">
        <v>49873</v>
      </c>
      <c r="Q84" s="3">
        <v>0.92735217552993698</v>
      </c>
      <c r="R84" s="3">
        <v>31</v>
      </c>
      <c r="S84">
        <v>2.2564331370064798</v>
      </c>
      <c r="T84">
        <v>0.65708839394023999</v>
      </c>
    </row>
    <row r="85" spans="1:20" x14ac:dyDescent="0.2">
      <c r="A85" t="str">
        <f t="shared" si="1"/>
        <v>sample_16S-A-B02-L3_anaCS-Subj6-B02</v>
      </c>
      <c r="B85" t="s">
        <v>322</v>
      </c>
      <c r="C85" s="3" t="s">
        <v>9</v>
      </c>
      <c r="D85" s="3" t="s">
        <v>7</v>
      </c>
      <c r="E85" s="3" t="s">
        <v>3</v>
      </c>
      <c r="F85" s="3" t="s">
        <v>36</v>
      </c>
      <c r="G85" s="3" t="s">
        <v>23</v>
      </c>
      <c r="H85" s="3" t="s">
        <v>13</v>
      </c>
      <c r="I85" s="3" t="s">
        <v>21</v>
      </c>
      <c r="J85" s="3" t="s">
        <v>36</v>
      </c>
      <c r="K85" s="3" t="s">
        <v>131</v>
      </c>
      <c r="L85" s="3">
        <v>14</v>
      </c>
      <c r="M85">
        <v>59777</v>
      </c>
      <c r="N85">
        <v>59819</v>
      </c>
      <c r="O85">
        <v>58731</v>
      </c>
      <c r="P85">
        <v>52445</v>
      </c>
      <c r="Q85" s="3">
        <v>0.89296964124567901</v>
      </c>
      <c r="R85" s="3">
        <v>33</v>
      </c>
      <c r="S85">
        <v>2.2502501551943102</v>
      </c>
      <c r="T85">
        <v>0.64357079618341295</v>
      </c>
    </row>
    <row r="86" spans="1:20" x14ac:dyDescent="0.2">
      <c r="A86" t="str">
        <f t="shared" si="1"/>
        <v>sample_16S-A-B03-L0_anaCS-Subj5-B03</v>
      </c>
      <c r="B86" t="s">
        <v>323</v>
      </c>
      <c r="C86" s="3" t="s">
        <v>9</v>
      </c>
      <c r="D86" s="3" t="s">
        <v>7</v>
      </c>
      <c r="E86" s="3" t="s">
        <v>3</v>
      </c>
      <c r="F86" s="3" t="s">
        <v>37</v>
      </c>
      <c r="G86" s="3" t="s">
        <v>18</v>
      </c>
      <c r="H86" s="3" t="s">
        <v>13</v>
      </c>
      <c r="I86" s="3" t="s">
        <v>19</v>
      </c>
      <c r="J86" s="3" t="s">
        <v>37</v>
      </c>
      <c r="K86" s="3" t="s">
        <v>132</v>
      </c>
      <c r="L86" s="3">
        <v>15</v>
      </c>
      <c r="M86">
        <v>74783</v>
      </c>
      <c r="N86">
        <v>74782</v>
      </c>
      <c r="O86">
        <v>74056</v>
      </c>
      <c r="P86">
        <v>67634</v>
      </c>
      <c r="Q86" s="3">
        <v>0.91328184076914798</v>
      </c>
      <c r="R86" s="3">
        <v>41</v>
      </c>
      <c r="S86">
        <v>1.5099533626349799</v>
      </c>
      <c r="T86">
        <v>0.40660402855060901</v>
      </c>
    </row>
    <row r="87" spans="1:20" x14ac:dyDescent="0.2">
      <c r="A87" t="str">
        <f t="shared" si="1"/>
        <v>sample_16S-A-B03-L1_anaCS-Subj6-B03</v>
      </c>
      <c r="B87" t="s">
        <v>324</v>
      </c>
      <c r="C87" s="3" t="s">
        <v>9</v>
      </c>
      <c r="D87" s="3" t="s">
        <v>7</v>
      </c>
      <c r="E87" s="3" t="s">
        <v>3</v>
      </c>
      <c r="F87" s="3" t="s">
        <v>37</v>
      </c>
      <c r="G87" s="3" t="s">
        <v>20</v>
      </c>
      <c r="H87" s="3" t="s">
        <v>13</v>
      </c>
      <c r="I87" s="3" t="s">
        <v>21</v>
      </c>
      <c r="J87" s="3" t="s">
        <v>37</v>
      </c>
      <c r="K87" s="3" t="s">
        <v>132</v>
      </c>
      <c r="L87" s="3">
        <v>15</v>
      </c>
      <c r="M87">
        <v>65107</v>
      </c>
      <c r="N87">
        <v>65047</v>
      </c>
      <c r="O87">
        <v>64435</v>
      </c>
      <c r="P87">
        <v>59497</v>
      </c>
      <c r="Q87" s="3">
        <v>0.92336463102351196</v>
      </c>
      <c r="R87" s="3">
        <v>31</v>
      </c>
      <c r="S87">
        <v>1.0494732407107299</v>
      </c>
      <c r="T87">
        <v>0.305613614209163</v>
      </c>
    </row>
    <row r="88" spans="1:20" x14ac:dyDescent="0.2">
      <c r="A88" t="str">
        <f t="shared" si="1"/>
        <v>sample_16S-A-B03-L2_anaCS-Subj5-B03</v>
      </c>
      <c r="B88" t="s">
        <v>325</v>
      </c>
      <c r="C88" s="3" t="s">
        <v>9</v>
      </c>
      <c r="D88" s="3" t="s">
        <v>7</v>
      </c>
      <c r="E88" s="3" t="s">
        <v>3</v>
      </c>
      <c r="F88" s="3" t="s">
        <v>37</v>
      </c>
      <c r="G88" s="3" t="s">
        <v>22</v>
      </c>
      <c r="H88" s="3" t="s">
        <v>13</v>
      </c>
      <c r="I88" s="3" t="s">
        <v>19</v>
      </c>
      <c r="J88" s="3" t="s">
        <v>37</v>
      </c>
      <c r="K88" s="3" t="s">
        <v>132</v>
      </c>
      <c r="L88" s="3">
        <v>15</v>
      </c>
      <c r="M88">
        <v>88446</v>
      </c>
      <c r="N88">
        <v>88472</v>
      </c>
      <c r="O88">
        <v>87243</v>
      </c>
      <c r="P88">
        <v>76185</v>
      </c>
      <c r="Q88" s="3">
        <v>0.87325057597744205</v>
      </c>
      <c r="R88" s="3">
        <v>47</v>
      </c>
      <c r="S88">
        <v>1.67584459780374</v>
      </c>
      <c r="T88">
        <v>0.43526762378133399</v>
      </c>
    </row>
    <row r="89" spans="1:20" x14ac:dyDescent="0.2">
      <c r="A89" t="str">
        <f t="shared" si="1"/>
        <v>sample_16S-A-B03-L3_anaCS-Subj6-B03</v>
      </c>
      <c r="B89" t="s">
        <v>326</v>
      </c>
      <c r="C89" s="3" t="s">
        <v>9</v>
      </c>
      <c r="D89" s="3" t="s">
        <v>7</v>
      </c>
      <c r="E89" s="3" t="s">
        <v>3</v>
      </c>
      <c r="F89" s="3" t="s">
        <v>37</v>
      </c>
      <c r="G89" s="3" t="s">
        <v>23</v>
      </c>
      <c r="H89" s="3" t="s">
        <v>13</v>
      </c>
      <c r="I89" s="3" t="s">
        <v>21</v>
      </c>
      <c r="J89" s="3" t="s">
        <v>37</v>
      </c>
      <c r="K89" s="3" t="s">
        <v>132</v>
      </c>
      <c r="L89" s="3">
        <v>15</v>
      </c>
      <c r="M89">
        <v>66595</v>
      </c>
      <c r="N89">
        <v>66676</v>
      </c>
      <c r="O89">
        <v>65934</v>
      </c>
      <c r="P89">
        <v>60332</v>
      </c>
      <c r="Q89" s="3">
        <v>0.91503624836958197</v>
      </c>
      <c r="R89" s="3">
        <v>33</v>
      </c>
      <c r="S89">
        <v>1.0380035267913399</v>
      </c>
      <c r="T89">
        <v>0.29686866352892699</v>
      </c>
    </row>
    <row r="90" spans="1:20" x14ac:dyDescent="0.2">
      <c r="A90" t="str">
        <f t="shared" si="1"/>
        <v>sample_HS-CS5_B03_Triclabendazole_S399</v>
      </c>
      <c r="B90" t="s">
        <v>327</v>
      </c>
      <c r="C90" s="3" t="s">
        <v>10</v>
      </c>
      <c r="D90" s="3" t="s">
        <v>8</v>
      </c>
      <c r="E90" s="3" t="s">
        <v>11</v>
      </c>
      <c r="F90" s="3" t="s">
        <v>11</v>
      </c>
      <c r="G90" s="3" t="s">
        <v>11</v>
      </c>
      <c r="H90" s="3" t="s">
        <v>13</v>
      </c>
      <c r="I90" s="3" t="s">
        <v>19</v>
      </c>
      <c r="J90" s="3" t="s">
        <v>37</v>
      </c>
      <c r="K90" s="3" t="s">
        <v>132</v>
      </c>
      <c r="L90" s="3">
        <v>15</v>
      </c>
      <c r="M90">
        <v>26078</v>
      </c>
      <c r="N90">
        <v>26106</v>
      </c>
      <c r="O90">
        <v>25634</v>
      </c>
      <c r="P90">
        <v>24665</v>
      </c>
      <c r="Q90" s="3">
        <v>0.962198642428025</v>
      </c>
      <c r="R90" s="3">
        <v>20</v>
      </c>
      <c r="S90">
        <v>0.76033104528067696</v>
      </c>
      <c r="T90">
        <v>0.25380473815794502</v>
      </c>
    </row>
    <row r="91" spans="1:20" x14ac:dyDescent="0.2">
      <c r="A91" t="str">
        <f t="shared" si="1"/>
        <v>sample_HS-CS6_B03_Triclabendazole_S495</v>
      </c>
      <c r="B91" t="s">
        <v>328</v>
      </c>
      <c r="C91" s="3" t="s">
        <v>10</v>
      </c>
      <c r="D91" s="3" t="s">
        <v>8</v>
      </c>
      <c r="E91" s="3" t="s">
        <v>11</v>
      </c>
      <c r="F91" s="3" t="s">
        <v>11</v>
      </c>
      <c r="G91" s="3" t="s">
        <v>11</v>
      </c>
      <c r="H91" s="3" t="s">
        <v>13</v>
      </c>
      <c r="I91" s="3" t="s">
        <v>21</v>
      </c>
      <c r="J91" s="3" t="s">
        <v>37</v>
      </c>
      <c r="K91" s="3" t="s">
        <v>132</v>
      </c>
      <c r="L91" s="3">
        <v>15</v>
      </c>
      <c r="M91">
        <v>13602</v>
      </c>
      <c r="N91">
        <v>13613</v>
      </c>
      <c r="O91">
        <v>13207</v>
      </c>
      <c r="P91">
        <v>12952</v>
      </c>
      <c r="Q91" s="3">
        <v>0.98069205724237196</v>
      </c>
      <c r="R91" s="3">
        <v>10</v>
      </c>
      <c r="S91">
        <v>0.54947231656780504</v>
      </c>
      <c r="T91">
        <v>0.23863279504399401</v>
      </c>
    </row>
    <row r="92" spans="1:20" x14ac:dyDescent="0.2">
      <c r="A92" t="str">
        <f t="shared" si="1"/>
        <v>sample_16S-A-B04-L0_anaCS-Subj5-B04</v>
      </c>
      <c r="B92" t="s">
        <v>329</v>
      </c>
      <c r="C92" s="3" t="s">
        <v>9</v>
      </c>
      <c r="D92" s="3" t="s">
        <v>7</v>
      </c>
      <c r="E92" s="3" t="s">
        <v>3</v>
      </c>
      <c r="F92" s="3" t="s">
        <v>38</v>
      </c>
      <c r="G92" s="3" t="s">
        <v>18</v>
      </c>
      <c r="H92" s="3" t="s">
        <v>13</v>
      </c>
      <c r="I92" s="3" t="s">
        <v>19</v>
      </c>
      <c r="J92" s="3" t="s">
        <v>38</v>
      </c>
      <c r="K92" s="3" t="s">
        <v>133</v>
      </c>
      <c r="L92" s="3">
        <v>16</v>
      </c>
      <c r="M92">
        <v>114102</v>
      </c>
      <c r="N92">
        <v>114072</v>
      </c>
      <c r="O92">
        <v>112533</v>
      </c>
      <c r="P92">
        <v>103193</v>
      </c>
      <c r="Q92" s="3">
        <v>0.91700212382145696</v>
      </c>
      <c r="R92" s="3">
        <v>35</v>
      </c>
      <c r="S92">
        <v>2.3557408867844498</v>
      </c>
      <c r="T92">
        <v>0.66259079168681501</v>
      </c>
    </row>
    <row r="93" spans="1:20" x14ac:dyDescent="0.2">
      <c r="A93" t="str">
        <f t="shared" si="1"/>
        <v>sample_16S-A-B04-L1_anaCS-Subj6-B04</v>
      </c>
      <c r="B93" t="s">
        <v>330</v>
      </c>
      <c r="C93" s="3" t="s">
        <v>9</v>
      </c>
      <c r="D93" s="3" t="s">
        <v>7</v>
      </c>
      <c r="E93" s="3" t="s">
        <v>3</v>
      </c>
      <c r="F93" s="3" t="s">
        <v>38</v>
      </c>
      <c r="G93" s="3" t="s">
        <v>20</v>
      </c>
      <c r="H93" s="3" t="s">
        <v>13</v>
      </c>
      <c r="I93" s="3" t="s">
        <v>21</v>
      </c>
      <c r="J93" s="3" t="s">
        <v>38</v>
      </c>
      <c r="K93" s="3" t="s">
        <v>133</v>
      </c>
      <c r="L93" s="3">
        <v>16</v>
      </c>
      <c r="M93">
        <v>82689</v>
      </c>
      <c r="N93">
        <v>82703</v>
      </c>
      <c r="O93">
        <v>82145</v>
      </c>
      <c r="P93">
        <v>76443</v>
      </c>
      <c r="Q93" s="3">
        <v>0.93058615862194904</v>
      </c>
      <c r="R93" s="3">
        <v>26</v>
      </c>
      <c r="S93">
        <v>1.2330446029754401</v>
      </c>
      <c r="T93">
        <v>0.37845551492597101</v>
      </c>
    </row>
    <row r="94" spans="1:20" x14ac:dyDescent="0.2">
      <c r="A94" t="str">
        <f t="shared" si="1"/>
        <v>sample_16S-A-B04-L2_anaCS-Subj5-B04</v>
      </c>
      <c r="B94" t="s">
        <v>331</v>
      </c>
      <c r="C94" s="3" t="s">
        <v>9</v>
      </c>
      <c r="D94" s="3" t="s">
        <v>7</v>
      </c>
      <c r="E94" s="3" t="s">
        <v>3</v>
      </c>
      <c r="F94" s="3" t="s">
        <v>38</v>
      </c>
      <c r="G94" s="3" t="s">
        <v>22</v>
      </c>
      <c r="H94" s="3" t="s">
        <v>13</v>
      </c>
      <c r="I94" s="3" t="s">
        <v>19</v>
      </c>
      <c r="J94" s="3" t="s">
        <v>38</v>
      </c>
      <c r="K94" s="3" t="s">
        <v>133</v>
      </c>
      <c r="L94" s="3">
        <v>16</v>
      </c>
      <c r="M94">
        <v>88208</v>
      </c>
      <c r="N94">
        <v>88203</v>
      </c>
      <c r="O94">
        <v>86737</v>
      </c>
      <c r="P94">
        <v>77040</v>
      </c>
      <c r="Q94" s="3">
        <v>0.88820226662208701</v>
      </c>
      <c r="R94" s="3">
        <v>36</v>
      </c>
      <c r="S94">
        <v>2.3315226413474099</v>
      </c>
      <c r="T94">
        <v>0.65062378109041097</v>
      </c>
    </row>
    <row r="95" spans="1:20" x14ac:dyDescent="0.2">
      <c r="A95" t="str">
        <f t="shared" si="1"/>
        <v>sample_16S-A-B04-L3_anaCS-Subj6-B04</v>
      </c>
      <c r="B95" t="s">
        <v>332</v>
      </c>
      <c r="C95" s="3" t="s">
        <v>9</v>
      </c>
      <c r="D95" s="3" t="s">
        <v>7</v>
      </c>
      <c r="E95" s="3" t="s">
        <v>3</v>
      </c>
      <c r="F95" s="3" t="s">
        <v>38</v>
      </c>
      <c r="G95" s="3" t="s">
        <v>23</v>
      </c>
      <c r="H95" s="3" t="s">
        <v>13</v>
      </c>
      <c r="I95" s="3" t="s">
        <v>21</v>
      </c>
      <c r="J95" s="3" t="s">
        <v>38</v>
      </c>
      <c r="K95" s="3" t="s">
        <v>133</v>
      </c>
      <c r="L95" s="3">
        <v>16</v>
      </c>
      <c r="M95">
        <v>92718</v>
      </c>
      <c r="N95">
        <v>92723</v>
      </c>
      <c r="O95">
        <v>91998</v>
      </c>
      <c r="P95">
        <v>85176</v>
      </c>
      <c r="Q95" s="3">
        <v>0.92584621404813106</v>
      </c>
      <c r="R95" s="3">
        <v>27</v>
      </c>
      <c r="S95">
        <v>1.1886458685924799</v>
      </c>
      <c r="T95">
        <v>0.360650698720268</v>
      </c>
    </row>
    <row r="96" spans="1:20" x14ac:dyDescent="0.2">
      <c r="A96" t="str">
        <f t="shared" si="1"/>
        <v>sample_HS-CS5_B04_Oxytetracycline-hydrochloride_S400</v>
      </c>
      <c r="B96" t="s">
        <v>333</v>
      </c>
      <c r="C96" s="3" t="s">
        <v>10</v>
      </c>
      <c r="D96" s="3" t="s">
        <v>8</v>
      </c>
      <c r="E96" s="3" t="s">
        <v>11</v>
      </c>
      <c r="F96" s="3" t="s">
        <v>11</v>
      </c>
      <c r="G96" s="3" t="s">
        <v>11</v>
      </c>
      <c r="H96" s="3" t="s">
        <v>13</v>
      </c>
      <c r="I96" s="3" t="s">
        <v>19</v>
      </c>
      <c r="J96" s="3" t="s">
        <v>38</v>
      </c>
      <c r="K96" s="3" t="s">
        <v>133</v>
      </c>
      <c r="L96" s="3">
        <v>16</v>
      </c>
      <c r="M96">
        <v>18153</v>
      </c>
      <c r="N96">
        <v>18210</v>
      </c>
      <c r="O96">
        <v>17895</v>
      </c>
      <c r="P96">
        <v>17270</v>
      </c>
      <c r="Q96" s="3">
        <v>0.96507404302877897</v>
      </c>
      <c r="R96" s="3">
        <v>29</v>
      </c>
      <c r="S96">
        <v>2.18048541312143</v>
      </c>
      <c r="T96">
        <v>0.64754792070947498</v>
      </c>
    </row>
    <row r="97" spans="1:20" x14ac:dyDescent="0.2">
      <c r="A97" t="str">
        <f t="shared" si="1"/>
        <v>sample_HS-CS6_B04_Oxytetracycline-hydrochloride_S496</v>
      </c>
      <c r="B97" t="s">
        <v>334</v>
      </c>
      <c r="C97" s="3" t="s">
        <v>10</v>
      </c>
      <c r="D97" s="3" t="s">
        <v>8</v>
      </c>
      <c r="E97" s="3" t="s">
        <v>11</v>
      </c>
      <c r="F97" s="3" t="s">
        <v>11</v>
      </c>
      <c r="G97" s="3" t="s">
        <v>11</v>
      </c>
      <c r="H97" s="3" t="s">
        <v>13</v>
      </c>
      <c r="I97" s="3" t="s">
        <v>21</v>
      </c>
      <c r="J97" s="3" t="s">
        <v>38</v>
      </c>
      <c r="K97" s="3" t="s">
        <v>133</v>
      </c>
      <c r="L97" s="3">
        <v>16</v>
      </c>
      <c r="M97">
        <v>14197</v>
      </c>
      <c r="N97">
        <v>14229</v>
      </c>
      <c r="O97">
        <v>13890</v>
      </c>
      <c r="P97">
        <v>13732</v>
      </c>
      <c r="Q97" s="3">
        <v>0.98862491000719899</v>
      </c>
      <c r="R97" s="3">
        <v>7</v>
      </c>
      <c r="S97">
        <v>0.47993668030564202</v>
      </c>
      <c r="T97">
        <v>0.24663866445151</v>
      </c>
    </row>
    <row r="98" spans="1:20" x14ac:dyDescent="0.2">
      <c r="A98" t="str">
        <f t="shared" si="1"/>
        <v>sample_HS-CS5_B05_Cefoxitin-sodium_S401</v>
      </c>
      <c r="B98" t="s">
        <v>335</v>
      </c>
      <c r="C98" s="3" t="s">
        <v>10</v>
      </c>
      <c r="D98" s="3" t="s">
        <v>8</v>
      </c>
      <c r="E98" s="3" t="s">
        <v>11</v>
      </c>
      <c r="F98" s="3" t="s">
        <v>11</v>
      </c>
      <c r="G98" s="3" t="s">
        <v>11</v>
      </c>
      <c r="H98" s="3" t="s">
        <v>13</v>
      </c>
      <c r="I98" s="3" t="s">
        <v>19</v>
      </c>
      <c r="J98" s="3" t="s">
        <v>39</v>
      </c>
      <c r="K98" s="3" t="s">
        <v>134</v>
      </c>
      <c r="L98" s="3">
        <v>17</v>
      </c>
      <c r="M98">
        <v>18068</v>
      </c>
      <c r="N98">
        <v>18113</v>
      </c>
      <c r="O98">
        <v>17791</v>
      </c>
      <c r="P98">
        <v>17393</v>
      </c>
      <c r="Q98" s="3">
        <v>0.97762913832836795</v>
      </c>
      <c r="R98">
        <v>21</v>
      </c>
      <c r="S98">
        <v>1.48182281018664</v>
      </c>
      <c r="T98">
        <v>0.48671765128940597</v>
      </c>
    </row>
    <row r="99" spans="1:20" x14ac:dyDescent="0.2">
      <c r="A99" t="str">
        <f t="shared" si="1"/>
        <v>sample_HS-CS6_B05_Cefoxitin-sodium_S497</v>
      </c>
      <c r="B99" t="s">
        <v>336</v>
      </c>
      <c r="C99" s="3" t="s">
        <v>10</v>
      </c>
      <c r="D99" s="3" t="s">
        <v>8</v>
      </c>
      <c r="E99" s="3" t="s">
        <v>11</v>
      </c>
      <c r="F99" s="3" t="s">
        <v>11</v>
      </c>
      <c r="G99" s="3" t="s">
        <v>11</v>
      </c>
      <c r="H99" s="3" t="s">
        <v>13</v>
      </c>
      <c r="I99" s="3" t="s">
        <v>21</v>
      </c>
      <c r="J99" s="3" t="s">
        <v>39</v>
      </c>
      <c r="K99" s="3" t="s">
        <v>134</v>
      </c>
      <c r="L99" s="3">
        <v>17</v>
      </c>
      <c r="M99">
        <v>8245</v>
      </c>
      <c r="N99">
        <v>8269</v>
      </c>
      <c r="O99">
        <v>8048</v>
      </c>
      <c r="P99">
        <v>7985</v>
      </c>
      <c r="Q99">
        <v>0.99217196819085496</v>
      </c>
      <c r="R99" t="s">
        <v>11</v>
      </c>
      <c r="S99" t="s">
        <v>11</v>
      </c>
      <c r="T99" t="s">
        <v>11</v>
      </c>
    </row>
    <row r="100" spans="1:20" x14ac:dyDescent="0.2">
      <c r="A100" t="str">
        <f t="shared" si="1"/>
        <v>sample_16S-A-B05-L0_anaCS-Subj5-B05</v>
      </c>
      <c r="B100" t="s">
        <v>337</v>
      </c>
      <c r="C100" s="3" t="s">
        <v>9</v>
      </c>
      <c r="D100" s="3" t="s">
        <v>7</v>
      </c>
      <c r="E100" s="3" t="s">
        <v>3</v>
      </c>
      <c r="F100" s="3" t="s">
        <v>39</v>
      </c>
      <c r="G100" s="3" t="s">
        <v>18</v>
      </c>
      <c r="H100" s="3" t="s">
        <v>13</v>
      </c>
      <c r="I100" s="3" t="s">
        <v>19</v>
      </c>
      <c r="J100" s="3" t="s">
        <v>39</v>
      </c>
      <c r="K100" s="3" t="s">
        <v>134</v>
      </c>
      <c r="L100" s="3">
        <v>17</v>
      </c>
      <c r="M100">
        <v>106451</v>
      </c>
      <c r="N100">
        <v>106424</v>
      </c>
      <c r="O100">
        <v>104828</v>
      </c>
      <c r="P100">
        <v>98497</v>
      </c>
      <c r="Q100">
        <v>0.93960583050330104</v>
      </c>
      <c r="R100">
        <v>35</v>
      </c>
      <c r="S100">
        <v>1.8210737913097099</v>
      </c>
      <c r="T100">
        <v>0.51220689502530004</v>
      </c>
    </row>
    <row r="101" spans="1:20" x14ac:dyDescent="0.2">
      <c r="A101" t="str">
        <f t="shared" si="1"/>
        <v>sample_16S-A-B05-L1_anaCS-Subj6-B05</v>
      </c>
      <c r="B101" t="s">
        <v>338</v>
      </c>
      <c r="C101" s="3" t="s">
        <v>9</v>
      </c>
      <c r="D101" s="3" t="s">
        <v>7</v>
      </c>
      <c r="E101" s="3" t="s">
        <v>3</v>
      </c>
      <c r="F101" s="3" t="s">
        <v>39</v>
      </c>
      <c r="G101" s="3" t="s">
        <v>20</v>
      </c>
      <c r="H101" s="3" t="s">
        <v>13</v>
      </c>
      <c r="I101" s="3" t="s">
        <v>21</v>
      </c>
      <c r="J101" s="3" t="s">
        <v>39</v>
      </c>
      <c r="K101" s="3" t="s">
        <v>134</v>
      </c>
      <c r="L101" s="3">
        <v>17</v>
      </c>
      <c r="M101">
        <v>101421</v>
      </c>
      <c r="N101">
        <v>101551</v>
      </c>
      <c r="O101">
        <v>99888</v>
      </c>
      <c r="P101">
        <v>93471</v>
      </c>
      <c r="Q101">
        <v>0.93575804901489701</v>
      </c>
      <c r="R101">
        <v>47</v>
      </c>
      <c r="S101">
        <v>2.4095477986812401</v>
      </c>
      <c r="T101">
        <v>0.62583257785001001</v>
      </c>
    </row>
    <row r="102" spans="1:20" x14ac:dyDescent="0.2">
      <c r="A102" t="str">
        <f t="shared" si="1"/>
        <v>sample_16S-A-B05-L2_anaCS-Subj5-B05</v>
      </c>
      <c r="B102" t="s">
        <v>339</v>
      </c>
      <c r="C102" s="3" t="s">
        <v>9</v>
      </c>
      <c r="D102" s="3" t="s">
        <v>7</v>
      </c>
      <c r="E102" s="3" t="s">
        <v>3</v>
      </c>
      <c r="F102" s="3" t="s">
        <v>39</v>
      </c>
      <c r="G102" s="3" t="s">
        <v>22</v>
      </c>
      <c r="H102" s="3" t="s">
        <v>13</v>
      </c>
      <c r="I102" s="3" t="s">
        <v>19</v>
      </c>
      <c r="J102" s="3" t="s">
        <v>39</v>
      </c>
      <c r="K102" s="3" t="s">
        <v>134</v>
      </c>
      <c r="L102" s="3">
        <v>17</v>
      </c>
      <c r="M102">
        <v>70283</v>
      </c>
      <c r="N102">
        <v>70324</v>
      </c>
      <c r="O102">
        <v>68867</v>
      </c>
      <c r="P102">
        <v>63676</v>
      </c>
      <c r="Q102">
        <v>0.924622823703661</v>
      </c>
      <c r="R102">
        <v>32</v>
      </c>
      <c r="S102">
        <v>1.7756392698461101</v>
      </c>
      <c r="T102">
        <v>0.51234119380293797</v>
      </c>
    </row>
    <row r="103" spans="1:20" x14ac:dyDescent="0.2">
      <c r="A103" t="str">
        <f t="shared" si="1"/>
        <v>sample_16S-A-B05-L3_anaCS-Subj6-B05</v>
      </c>
      <c r="B103" t="s">
        <v>340</v>
      </c>
      <c r="C103" s="3" t="s">
        <v>9</v>
      </c>
      <c r="D103" s="3" t="s">
        <v>7</v>
      </c>
      <c r="E103" s="3" t="s">
        <v>3</v>
      </c>
      <c r="F103" s="3" t="s">
        <v>39</v>
      </c>
      <c r="G103" s="3" t="s">
        <v>23</v>
      </c>
      <c r="H103" s="3" t="s">
        <v>13</v>
      </c>
      <c r="I103" s="3" t="s">
        <v>21</v>
      </c>
      <c r="J103" s="3" t="s">
        <v>39</v>
      </c>
      <c r="K103" s="3" t="s">
        <v>134</v>
      </c>
      <c r="L103" s="3">
        <v>17</v>
      </c>
      <c r="M103">
        <v>74189</v>
      </c>
      <c r="N103">
        <v>74277</v>
      </c>
      <c r="O103">
        <v>72547</v>
      </c>
      <c r="P103">
        <v>67301</v>
      </c>
      <c r="Q103">
        <v>0.92768825726770199</v>
      </c>
      <c r="R103">
        <v>44</v>
      </c>
      <c r="S103">
        <v>2.3063321800446501</v>
      </c>
      <c r="T103">
        <v>0.60946527609838896</v>
      </c>
    </row>
    <row r="104" spans="1:20" x14ac:dyDescent="0.2">
      <c r="A104" t="str">
        <f t="shared" si="1"/>
        <v>sample_16S-A-B06-L0_anaCS-Subj5-B06</v>
      </c>
      <c r="B104" t="s">
        <v>341</v>
      </c>
      <c r="C104" s="3" t="s">
        <v>9</v>
      </c>
      <c r="D104" s="3" t="s">
        <v>7</v>
      </c>
      <c r="E104" s="3" t="s">
        <v>3</v>
      </c>
      <c r="F104" s="3" t="s">
        <v>40</v>
      </c>
      <c r="G104" s="3" t="s">
        <v>18</v>
      </c>
      <c r="H104" s="3" t="s">
        <v>13</v>
      </c>
      <c r="I104" s="3" t="s">
        <v>19</v>
      </c>
      <c r="J104" s="3" t="s">
        <v>40</v>
      </c>
      <c r="K104" s="3" t="s">
        <v>135</v>
      </c>
      <c r="L104" s="3">
        <v>18</v>
      </c>
      <c r="M104">
        <v>54811</v>
      </c>
      <c r="N104">
        <v>54919</v>
      </c>
      <c r="O104">
        <v>53169</v>
      </c>
      <c r="P104">
        <v>49661</v>
      </c>
      <c r="Q104">
        <v>0.93402170437661003</v>
      </c>
      <c r="R104">
        <v>66</v>
      </c>
      <c r="S104">
        <v>3.0199270032264902</v>
      </c>
      <c r="T104">
        <v>0.72080569621491697</v>
      </c>
    </row>
    <row r="105" spans="1:20" x14ac:dyDescent="0.2">
      <c r="A105" t="str">
        <f t="shared" si="1"/>
        <v>sample_16S-A-B06-L1_anaCS-Subj6-B06</v>
      </c>
      <c r="B105" t="s">
        <v>342</v>
      </c>
      <c r="C105" s="3" t="s">
        <v>9</v>
      </c>
      <c r="D105" s="3" t="s">
        <v>7</v>
      </c>
      <c r="E105" s="3" t="s">
        <v>3</v>
      </c>
      <c r="F105" s="3" t="s">
        <v>40</v>
      </c>
      <c r="G105" s="3" t="s">
        <v>20</v>
      </c>
      <c r="H105" s="3" t="s">
        <v>13</v>
      </c>
      <c r="I105" s="3" t="s">
        <v>21</v>
      </c>
      <c r="J105" s="3" t="s">
        <v>40</v>
      </c>
      <c r="K105" s="3" t="s">
        <v>135</v>
      </c>
      <c r="L105" s="3">
        <v>18</v>
      </c>
      <c r="M105">
        <v>47128</v>
      </c>
      <c r="N105">
        <v>47221</v>
      </c>
      <c r="O105">
        <v>46116</v>
      </c>
      <c r="P105">
        <v>43156</v>
      </c>
      <c r="Q105">
        <v>0.93581403417469</v>
      </c>
      <c r="R105">
        <v>67</v>
      </c>
      <c r="S105">
        <v>2.81500991630808</v>
      </c>
      <c r="T105">
        <v>0.669492438835118</v>
      </c>
    </row>
    <row r="106" spans="1:20" x14ac:dyDescent="0.2">
      <c r="A106" t="str">
        <f t="shared" si="1"/>
        <v>sample_16S-A-B06-L2_anaCS-Subj5-B06</v>
      </c>
      <c r="B106" t="s">
        <v>343</v>
      </c>
      <c r="C106" s="3" t="s">
        <v>9</v>
      </c>
      <c r="D106" s="3" t="s">
        <v>7</v>
      </c>
      <c r="E106" s="3" t="s">
        <v>3</v>
      </c>
      <c r="F106" s="3" t="s">
        <v>40</v>
      </c>
      <c r="G106" s="3" t="s">
        <v>22</v>
      </c>
      <c r="H106" s="3" t="s">
        <v>13</v>
      </c>
      <c r="I106" s="3" t="s">
        <v>19</v>
      </c>
      <c r="J106" s="3" t="s">
        <v>40</v>
      </c>
      <c r="K106" s="3" t="s">
        <v>135</v>
      </c>
      <c r="L106" s="3">
        <v>18</v>
      </c>
      <c r="M106">
        <v>24143</v>
      </c>
      <c r="N106">
        <v>24155</v>
      </c>
      <c r="O106">
        <v>22957</v>
      </c>
      <c r="P106">
        <v>20958</v>
      </c>
      <c r="Q106">
        <v>0.91292416256479503</v>
      </c>
      <c r="R106">
        <v>58</v>
      </c>
      <c r="S106">
        <v>2.96852060580858</v>
      </c>
      <c r="T106">
        <v>0.73108293801890001</v>
      </c>
    </row>
    <row r="107" spans="1:20" x14ac:dyDescent="0.2">
      <c r="A107" t="str">
        <f t="shared" si="1"/>
        <v>sample_16S-A-B06-L3_anaCS-Subj6-B06</v>
      </c>
      <c r="B107" t="s">
        <v>344</v>
      </c>
      <c r="C107" s="3" t="s">
        <v>9</v>
      </c>
      <c r="D107" s="3" t="s">
        <v>7</v>
      </c>
      <c r="E107" s="3" t="s">
        <v>3</v>
      </c>
      <c r="F107" s="3" t="s">
        <v>40</v>
      </c>
      <c r="G107" s="3" t="s">
        <v>23</v>
      </c>
      <c r="H107" s="3" t="s">
        <v>13</v>
      </c>
      <c r="I107" s="3" t="s">
        <v>21</v>
      </c>
      <c r="J107" s="3" t="s">
        <v>40</v>
      </c>
      <c r="K107" s="3" t="s">
        <v>135</v>
      </c>
      <c r="L107" s="3">
        <v>18</v>
      </c>
      <c r="M107">
        <v>21410</v>
      </c>
      <c r="N107">
        <v>21460</v>
      </c>
      <c r="O107">
        <v>20764</v>
      </c>
      <c r="P107">
        <v>19294</v>
      </c>
      <c r="Q107">
        <v>0.929204392217299</v>
      </c>
      <c r="R107">
        <v>61</v>
      </c>
      <c r="S107">
        <v>2.7322990107091698</v>
      </c>
      <c r="T107">
        <v>0.66465162906637498</v>
      </c>
    </row>
    <row r="108" spans="1:20" x14ac:dyDescent="0.2">
      <c r="A108" t="str">
        <f t="shared" si="1"/>
        <v>sample_HS-CS5_B06_Norfloxacin_S402</v>
      </c>
      <c r="B108" t="s">
        <v>345</v>
      </c>
      <c r="C108" s="3" t="s">
        <v>10</v>
      </c>
      <c r="D108" s="3" t="s">
        <v>8</v>
      </c>
      <c r="E108" s="3" t="s">
        <v>11</v>
      </c>
      <c r="F108" s="3" t="s">
        <v>11</v>
      </c>
      <c r="G108" s="3" t="s">
        <v>11</v>
      </c>
      <c r="H108" s="3" t="s">
        <v>13</v>
      </c>
      <c r="I108" s="3" t="s">
        <v>19</v>
      </c>
      <c r="J108" s="3" t="s">
        <v>40</v>
      </c>
      <c r="K108" s="3" t="s">
        <v>135</v>
      </c>
      <c r="L108" s="3">
        <v>18</v>
      </c>
      <c r="M108">
        <v>14537</v>
      </c>
      <c r="N108">
        <v>14555</v>
      </c>
      <c r="O108">
        <v>14195</v>
      </c>
      <c r="P108">
        <v>13998</v>
      </c>
      <c r="Q108">
        <v>0.98612187389925998</v>
      </c>
      <c r="R108">
        <v>47</v>
      </c>
      <c r="S108">
        <v>2.8217406242126999</v>
      </c>
      <c r="T108">
        <v>0.73289154497853803</v>
      </c>
    </row>
    <row r="109" spans="1:20" x14ac:dyDescent="0.2">
      <c r="A109" t="str">
        <f t="shared" si="1"/>
        <v>sample_HS-CS6_B06_Norfloxacin_S498</v>
      </c>
      <c r="B109" t="s">
        <v>346</v>
      </c>
      <c r="C109" s="3" t="s">
        <v>10</v>
      </c>
      <c r="D109" s="3" t="s">
        <v>8</v>
      </c>
      <c r="E109" s="3" t="s">
        <v>11</v>
      </c>
      <c r="F109" s="3" t="s">
        <v>11</v>
      </c>
      <c r="G109" s="3" t="s">
        <v>11</v>
      </c>
      <c r="H109" s="3" t="s">
        <v>13</v>
      </c>
      <c r="I109" s="3" t="s">
        <v>21</v>
      </c>
      <c r="J109" s="3" t="s">
        <v>40</v>
      </c>
      <c r="K109" s="3" t="s">
        <v>135</v>
      </c>
      <c r="L109" s="3">
        <v>18</v>
      </c>
      <c r="M109">
        <v>9381</v>
      </c>
      <c r="N109">
        <v>9400</v>
      </c>
      <c r="O109">
        <v>9180</v>
      </c>
      <c r="P109">
        <v>9041</v>
      </c>
      <c r="Q109">
        <v>0.98485838779956403</v>
      </c>
      <c r="R109" t="s">
        <v>11</v>
      </c>
      <c r="S109" t="s">
        <v>11</v>
      </c>
      <c r="T109" t="s">
        <v>11</v>
      </c>
    </row>
    <row r="110" spans="1:20" x14ac:dyDescent="0.2">
      <c r="A110" t="str">
        <f t="shared" si="1"/>
        <v>sample_HS-CS5_B07_Atracurium-besylate_S403</v>
      </c>
      <c r="B110" t="s">
        <v>347</v>
      </c>
      <c r="C110" s="3" t="s">
        <v>10</v>
      </c>
      <c r="D110" s="3" t="s">
        <v>8</v>
      </c>
      <c r="E110" s="3" t="s">
        <v>11</v>
      </c>
      <c r="F110" s="3" t="s">
        <v>11</v>
      </c>
      <c r="G110" s="3" t="s">
        <v>11</v>
      </c>
      <c r="H110" s="3" t="s">
        <v>13</v>
      </c>
      <c r="I110" s="3" t="s">
        <v>19</v>
      </c>
      <c r="J110" s="3" t="s">
        <v>41</v>
      </c>
      <c r="K110" s="3" t="s">
        <v>136</v>
      </c>
      <c r="L110" s="3">
        <v>19</v>
      </c>
      <c r="M110">
        <v>15699</v>
      </c>
      <c r="N110">
        <v>15734</v>
      </c>
      <c r="O110">
        <v>15299</v>
      </c>
      <c r="P110">
        <v>15146</v>
      </c>
      <c r="Q110">
        <v>0.98999934636250697</v>
      </c>
      <c r="R110">
        <v>44</v>
      </c>
      <c r="S110">
        <v>2.3505312854749301</v>
      </c>
      <c r="T110">
        <v>0.62114521545293699</v>
      </c>
    </row>
    <row r="111" spans="1:20" x14ac:dyDescent="0.2">
      <c r="A111" t="str">
        <f t="shared" si="1"/>
        <v>sample_HS-CS6_B07_Atracurium-besylate_S499</v>
      </c>
      <c r="B111" t="s">
        <v>348</v>
      </c>
      <c r="C111" s="3" t="s">
        <v>10</v>
      </c>
      <c r="D111" s="3" t="s">
        <v>8</v>
      </c>
      <c r="E111" s="3" t="s">
        <v>11</v>
      </c>
      <c r="F111" s="3" t="s">
        <v>11</v>
      </c>
      <c r="G111" s="3" t="s">
        <v>11</v>
      </c>
      <c r="H111" s="3" t="s">
        <v>13</v>
      </c>
      <c r="I111" s="3" t="s">
        <v>21</v>
      </c>
      <c r="J111" s="3" t="s">
        <v>41</v>
      </c>
      <c r="K111" s="3" t="s">
        <v>136</v>
      </c>
      <c r="L111" s="3">
        <v>19</v>
      </c>
      <c r="M111">
        <v>12390</v>
      </c>
      <c r="N111">
        <v>12421</v>
      </c>
      <c r="O111">
        <v>12051</v>
      </c>
      <c r="P111">
        <v>11918</v>
      </c>
      <c r="Q111">
        <v>0.98896357148784297</v>
      </c>
      <c r="R111">
        <v>30</v>
      </c>
      <c r="S111">
        <v>1.3596210729089599</v>
      </c>
      <c r="T111">
        <v>0.39974777125240302</v>
      </c>
    </row>
    <row r="112" spans="1:20" x14ac:dyDescent="0.2">
      <c r="A112" t="str">
        <f t="shared" si="1"/>
        <v>sample_16S-A-B07-L0_anaCS-Subj5-B07</v>
      </c>
      <c r="B112" t="s">
        <v>349</v>
      </c>
      <c r="C112" s="3" t="s">
        <v>9</v>
      </c>
      <c r="D112" s="3" t="s">
        <v>7</v>
      </c>
      <c r="E112" s="3" t="s">
        <v>3</v>
      </c>
      <c r="F112" s="3" t="s">
        <v>41</v>
      </c>
      <c r="G112" s="3" t="s">
        <v>18</v>
      </c>
      <c r="H112" s="3" t="s">
        <v>13</v>
      </c>
      <c r="I112" s="3" t="s">
        <v>19</v>
      </c>
      <c r="J112" s="3" t="s">
        <v>41</v>
      </c>
      <c r="K112" s="3" t="s">
        <v>136</v>
      </c>
      <c r="L112" s="3">
        <v>19</v>
      </c>
      <c r="M112">
        <v>88337</v>
      </c>
      <c r="N112">
        <v>88404</v>
      </c>
      <c r="O112">
        <v>86043</v>
      </c>
      <c r="P112">
        <v>80008</v>
      </c>
      <c r="Q112">
        <v>0.92986065106981397</v>
      </c>
      <c r="R112">
        <v>64</v>
      </c>
      <c r="S112">
        <v>2.8042206324952201</v>
      </c>
      <c r="T112">
        <v>0.67427253334322701</v>
      </c>
    </row>
    <row r="113" spans="1:20" x14ac:dyDescent="0.2">
      <c r="A113" t="str">
        <f t="shared" si="1"/>
        <v>sample_16S-A-B07-L1_anaCS-Subj6-B07</v>
      </c>
      <c r="B113" t="s">
        <v>350</v>
      </c>
      <c r="C113" s="3" t="s">
        <v>9</v>
      </c>
      <c r="D113" s="3" t="s">
        <v>7</v>
      </c>
      <c r="E113" s="3" t="s">
        <v>3</v>
      </c>
      <c r="F113" s="3" t="s">
        <v>41</v>
      </c>
      <c r="G113" s="3" t="s">
        <v>20</v>
      </c>
      <c r="H113" s="3" t="s">
        <v>13</v>
      </c>
      <c r="I113" s="3" t="s">
        <v>21</v>
      </c>
      <c r="J113" s="3" t="s">
        <v>41</v>
      </c>
      <c r="K113" s="3" t="s">
        <v>136</v>
      </c>
      <c r="L113" s="3">
        <v>19</v>
      </c>
      <c r="M113">
        <v>77006</v>
      </c>
      <c r="N113">
        <v>77128</v>
      </c>
      <c r="O113">
        <v>75165</v>
      </c>
      <c r="P113">
        <v>68467</v>
      </c>
      <c r="Q113">
        <v>0.91088937670458303</v>
      </c>
      <c r="R113">
        <v>75</v>
      </c>
      <c r="S113">
        <v>2.6491435389808</v>
      </c>
      <c r="T113">
        <v>0.61358444292530401</v>
      </c>
    </row>
    <row r="114" spans="1:20" x14ac:dyDescent="0.2">
      <c r="A114" t="str">
        <f t="shared" si="1"/>
        <v>sample_16S-A-B07-L2_anaCS-Subj5-B07</v>
      </c>
      <c r="B114" t="s">
        <v>351</v>
      </c>
      <c r="C114" s="3" t="s">
        <v>9</v>
      </c>
      <c r="D114" s="3" t="s">
        <v>7</v>
      </c>
      <c r="E114" s="3" t="s">
        <v>3</v>
      </c>
      <c r="F114" s="3" t="s">
        <v>41</v>
      </c>
      <c r="G114" s="3" t="s">
        <v>22</v>
      </c>
      <c r="H114" s="3" t="s">
        <v>13</v>
      </c>
      <c r="I114" s="3" t="s">
        <v>19</v>
      </c>
      <c r="J114" s="3" t="s">
        <v>41</v>
      </c>
      <c r="K114" s="3" t="s">
        <v>136</v>
      </c>
      <c r="L114" s="3">
        <v>19</v>
      </c>
      <c r="M114">
        <v>61612</v>
      </c>
      <c r="N114">
        <v>61588</v>
      </c>
      <c r="O114">
        <v>59309</v>
      </c>
      <c r="P114">
        <v>53031</v>
      </c>
      <c r="Q114">
        <v>0.894147599858369</v>
      </c>
      <c r="R114">
        <v>67</v>
      </c>
      <c r="S114">
        <v>2.8029766581920001</v>
      </c>
      <c r="T114">
        <v>0.666630574911798</v>
      </c>
    </row>
    <row r="115" spans="1:20" x14ac:dyDescent="0.2">
      <c r="A115" t="str">
        <f t="shared" si="1"/>
        <v>sample_16S-A-B07-L3_anaCS-Subj6-B07</v>
      </c>
      <c r="B115" t="s">
        <v>352</v>
      </c>
      <c r="C115" s="3" t="s">
        <v>9</v>
      </c>
      <c r="D115" s="3" t="s">
        <v>7</v>
      </c>
      <c r="E115" s="3" t="s">
        <v>3</v>
      </c>
      <c r="F115" s="3" t="s">
        <v>41</v>
      </c>
      <c r="G115" s="3" t="s">
        <v>23</v>
      </c>
      <c r="H115" s="3" t="s">
        <v>13</v>
      </c>
      <c r="I115" s="3" t="s">
        <v>21</v>
      </c>
      <c r="J115" s="3" t="s">
        <v>41</v>
      </c>
      <c r="K115" s="3" t="s">
        <v>136</v>
      </c>
      <c r="L115" s="3">
        <v>19</v>
      </c>
      <c r="M115">
        <v>59757</v>
      </c>
      <c r="N115">
        <v>59748</v>
      </c>
      <c r="O115">
        <v>57875</v>
      </c>
      <c r="P115">
        <v>51635</v>
      </c>
      <c r="Q115">
        <v>0.89218142548596102</v>
      </c>
      <c r="R115">
        <v>66</v>
      </c>
      <c r="S115">
        <v>2.4422630146156501</v>
      </c>
      <c r="T115">
        <v>0.58292703456380501</v>
      </c>
    </row>
    <row r="116" spans="1:20" x14ac:dyDescent="0.2">
      <c r="A116" t="str">
        <f t="shared" si="1"/>
        <v>sample_HS-CS5_B08_Deferiprone_S404</v>
      </c>
      <c r="B116" t="s">
        <v>353</v>
      </c>
      <c r="C116" s="3" t="s">
        <v>10</v>
      </c>
      <c r="D116" s="3" t="s">
        <v>8</v>
      </c>
      <c r="E116" s="3" t="s">
        <v>11</v>
      </c>
      <c r="F116" s="3" t="s">
        <v>11</v>
      </c>
      <c r="G116" s="3" t="s">
        <v>11</v>
      </c>
      <c r="H116" s="3" t="s">
        <v>13</v>
      </c>
      <c r="I116" s="3" t="s">
        <v>19</v>
      </c>
      <c r="J116" s="3" t="s">
        <v>42</v>
      </c>
      <c r="K116" s="3" t="s">
        <v>137</v>
      </c>
      <c r="L116" s="3">
        <v>20</v>
      </c>
      <c r="M116">
        <v>15074</v>
      </c>
      <c r="N116">
        <v>15136</v>
      </c>
      <c r="O116">
        <v>14753</v>
      </c>
      <c r="P116">
        <v>14695</v>
      </c>
      <c r="Q116">
        <v>0.99606859621771804</v>
      </c>
      <c r="R116">
        <v>43</v>
      </c>
      <c r="S116">
        <v>2.39280650370151</v>
      </c>
      <c r="T116">
        <v>0.63618165215872402</v>
      </c>
    </row>
    <row r="117" spans="1:20" x14ac:dyDescent="0.2">
      <c r="A117" t="str">
        <f t="shared" si="1"/>
        <v>sample_HS-CS6_B08_Deferiprone_S500</v>
      </c>
      <c r="B117" t="s">
        <v>354</v>
      </c>
      <c r="C117" s="3" t="s">
        <v>10</v>
      </c>
      <c r="D117" s="3" t="s">
        <v>8</v>
      </c>
      <c r="E117" s="3" t="s">
        <v>11</v>
      </c>
      <c r="F117" s="3" t="s">
        <v>11</v>
      </c>
      <c r="G117" s="3" t="s">
        <v>11</v>
      </c>
      <c r="H117" s="3" t="s">
        <v>13</v>
      </c>
      <c r="I117" s="3" t="s">
        <v>21</v>
      </c>
      <c r="J117" s="3" t="s">
        <v>42</v>
      </c>
      <c r="K117" s="3" t="s">
        <v>137</v>
      </c>
      <c r="L117" s="3">
        <v>20</v>
      </c>
      <c r="M117">
        <v>11008</v>
      </c>
      <c r="N117">
        <v>11037</v>
      </c>
      <c r="O117">
        <v>10649</v>
      </c>
      <c r="P117">
        <v>10588</v>
      </c>
      <c r="Q117">
        <v>0.99427176260681704</v>
      </c>
      <c r="R117">
        <v>25</v>
      </c>
      <c r="S117">
        <v>1.2615146073357399</v>
      </c>
      <c r="T117">
        <v>0.39191154799747202</v>
      </c>
    </row>
    <row r="118" spans="1:20" x14ac:dyDescent="0.2">
      <c r="A118" t="str">
        <f t="shared" si="1"/>
        <v>sample_16S-A-B08-L0_anaCS-Subj5-B08</v>
      </c>
      <c r="B118" t="s">
        <v>355</v>
      </c>
      <c r="C118" s="3" t="s">
        <v>9</v>
      </c>
      <c r="D118" s="3" t="s">
        <v>7</v>
      </c>
      <c r="E118" s="3" t="s">
        <v>3</v>
      </c>
      <c r="F118" s="3" t="s">
        <v>42</v>
      </c>
      <c r="G118" s="3" t="s">
        <v>18</v>
      </c>
      <c r="H118" s="3" t="s">
        <v>13</v>
      </c>
      <c r="I118" s="3" t="s">
        <v>19</v>
      </c>
      <c r="J118" s="3" t="s">
        <v>42</v>
      </c>
      <c r="K118" s="3" t="s">
        <v>137</v>
      </c>
      <c r="L118" s="3">
        <v>20</v>
      </c>
      <c r="M118">
        <v>94487</v>
      </c>
      <c r="N118">
        <v>94482</v>
      </c>
      <c r="O118">
        <v>92247</v>
      </c>
      <c r="P118">
        <v>84965</v>
      </c>
      <c r="Q118">
        <v>0.92105976346114204</v>
      </c>
      <c r="R118">
        <v>66</v>
      </c>
      <c r="S118">
        <v>2.8535898026245299</v>
      </c>
      <c r="T118">
        <v>0.68110380886524302</v>
      </c>
    </row>
    <row r="119" spans="1:20" x14ac:dyDescent="0.2">
      <c r="A119" t="str">
        <f t="shared" si="1"/>
        <v>sample_16S-A-B08-L1_anaCS-Subj6-B08</v>
      </c>
      <c r="B119" t="s">
        <v>356</v>
      </c>
      <c r="C119" s="3" t="s">
        <v>9</v>
      </c>
      <c r="D119" s="3" t="s">
        <v>7</v>
      </c>
      <c r="E119" s="3" t="s">
        <v>3</v>
      </c>
      <c r="F119" s="3" t="s">
        <v>42</v>
      </c>
      <c r="G119" s="3" t="s">
        <v>20</v>
      </c>
      <c r="H119" s="3" t="s">
        <v>13</v>
      </c>
      <c r="I119" s="3" t="s">
        <v>21</v>
      </c>
      <c r="J119" s="3" t="s">
        <v>42</v>
      </c>
      <c r="K119" s="3" t="s">
        <v>137</v>
      </c>
      <c r="L119" s="3">
        <v>20</v>
      </c>
      <c r="M119">
        <v>85575</v>
      </c>
      <c r="N119">
        <v>85678</v>
      </c>
      <c r="O119">
        <v>83870</v>
      </c>
      <c r="P119">
        <v>77409</v>
      </c>
      <c r="Q119">
        <v>0.92296411112435905</v>
      </c>
      <c r="R119">
        <v>66</v>
      </c>
      <c r="S119">
        <v>2.6046681270055201</v>
      </c>
      <c r="T119">
        <v>0.62169039870471798</v>
      </c>
    </row>
    <row r="120" spans="1:20" x14ac:dyDescent="0.2">
      <c r="A120" t="str">
        <f t="shared" si="1"/>
        <v>sample_16S-A-B08-L2_anaCS-Subj5-B08</v>
      </c>
      <c r="B120" t="s">
        <v>357</v>
      </c>
      <c r="C120" s="3" t="s">
        <v>9</v>
      </c>
      <c r="D120" s="3" t="s">
        <v>7</v>
      </c>
      <c r="E120" s="3" t="s">
        <v>3</v>
      </c>
      <c r="F120" s="3" t="s">
        <v>42</v>
      </c>
      <c r="G120" s="3" t="s">
        <v>22</v>
      </c>
      <c r="H120" s="3" t="s">
        <v>13</v>
      </c>
      <c r="I120" s="3" t="s">
        <v>19</v>
      </c>
      <c r="J120" s="3" t="s">
        <v>42</v>
      </c>
      <c r="K120" s="3" t="s">
        <v>137</v>
      </c>
      <c r="L120" s="3">
        <v>20</v>
      </c>
      <c r="M120">
        <v>75997</v>
      </c>
      <c r="N120">
        <v>76091</v>
      </c>
      <c r="O120">
        <v>73464</v>
      </c>
      <c r="P120">
        <v>65740</v>
      </c>
      <c r="Q120">
        <v>0.89486006751606195</v>
      </c>
      <c r="R120">
        <v>63</v>
      </c>
      <c r="S120">
        <v>2.81528253043109</v>
      </c>
      <c r="T120">
        <v>0.679505426772125</v>
      </c>
    </row>
    <row r="121" spans="1:20" x14ac:dyDescent="0.2">
      <c r="A121" t="str">
        <f t="shared" si="1"/>
        <v>sample_16S-A-B08-L3_anaCS-Subj6-B08</v>
      </c>
      <c r="B121" t="s">
        <v>358</v>
      </c>
      <c r="C121" s="3" t="s">
        <v>9</v>
      </c>
      <c r="D121" s="3" t="s">
        <v>7</v>
      </c>
      <c r="E121" s="3" t="s">
        <v>3</v>
      </c>
      <c r="F121" s="3" t="s">
        <v>42</v>
      </c>
      <c r="G121" s="3" t="s">
        <v>23</v>
      </c>
      <c r="H121" s="3" t="s">
        <v>13</v>
      </c>
      <c r="I121" s="3" t="s">
        <v>21</v>
      </c>
      <c r="J121" s="3" t="s">
        <v>42</v>
      </c>
      <c r="K121" s="3" t="s">
        <v>137</v>
      </c>
      <c r="L121" s="3">
        <v>20</v>
      </c>
      <c r="M121">
        <v>100238</v>
      </c>
      <c r="N121">
        <v>100427</v>
      </c>
      <c r="O121">
        <v>97850</v>
      </c>
      <c r="P121">
        <v>87834</v>
      </c>
      <c r="Q121">
        <v>0.89763924374041903</v>
      </c>
      <c r="R121">
        <v>69</v>
      </c>
      <c r="S121">
        <v>2.4834688261795899</v>
      </c>
      <c r="T121">
        <v>0.58653905457576905</v>
      </c>
    </row>
    <row r="122" spans="1:20" x14ac:dyDescent="0.2">
      <c r="A122" t="str">
        <f t="shared" si="1"/>
        <v>sample_16S-A-B09-L0_anaCS-Subj5-B09</v>
      </c>
      <c r="B122" t="s">
        <v>359</v>
      </c>
      <c r="C122" s="3" t="s">
        <v>9</v>
      </c>
      <c r="D122" s="3" t="s">
        <v>7</v>
      </c>
      <c r="E122" s="3" t="s">
        <v>3</v>
      </c>
      <c r="F122" s="3" t="s">
        <v>43</v>
      </c>
      <c r="G122" s="3" t="s">
        <v>18</v>
      </c>
      <c r="H122" s="3" t="s">
        <v>13</v>
      </c>
      <c r="I122" s="3" t="s">
        <v>19</v>
      </c>
      <c r="J122" s="3" t="s">
        <v>43</v>
      </c>
      <c r="K122" s="3" t="s">
        <v>138</v>
      </c>
      <c r="L122" s="3">
        <v>21</v>
      </c>
      <c r="M122">
        <v>88149</v>
      </c>
      <c r="N122">
        <v>88236</v>
      </c>
      <c r="O122">
        <v>86173</v>
      </c>
      <c r="P122">
        <v>80815</v>
      </c>
      <c r="Q122">
        <v>0.93782275190604902</v>
      </c>
      <c r="R122">
        <v>68</v>
      </c>
      <c r="S122">
        <v>2.9480422023438999</v>
      </c>
      <c r="T122">
        <v>0.69866970469742495</v>
      </c>
    </row>
    <row r="123" spans="1:20" x14ac:dyDescent="0.2">
      <c r="A123" t="str">
        <f t="shared" si="1"/>
        <v>sample_16S-A-B09-L1_anaCS-Subj6-B09</v>
      </c>
      <c r="B123" t="s">
        <v>360</v>
      </c>
      <c r="C123" s="3" t="s">
        <v>9</v>
      </c>
      <c r="D123" s="3" t="s">
        <v>7</v>
      </c>
      <c r="E123" s="3" t="s">
        <v>3</v>
      </c>
      <c r="F123" s="3" t="s">
        <v>43</v>
      </c>
      <c r="G123" s="3" t="s">
        <v>20</v>
      </c>
      <c r="H123" s="3" t="s">
        <v>13</v>
      </c>
      <c r="I123" s="3" t="s">
        <v>21</v>
      </c>
      <c r="J123" s="3" t="s">
        <v>43</v>
      </c>
      <c r="K123" s="3" t="s">
        <v>138</v>
      </c>
      <c r="L123" s="3">
        <v>21</v>
      </c>
      <c r="M123">
        <v>100866</v>
      </c>
      <c r="N123">
        <v>101098</v>
      </c>
      <c r="O123">
        <v>98894</v>
      </c>
      <c r="P123">
        <v>90086</v>
      </c>
      <c r="Q123">
        <v>0.91093494044128098</v>
      </c>
      <c r="R123">
        <v>68</v>
      </c>
      <c r="S123">
        <v>2.6045121842446899</v>
      </c>
      <c r="T123">
        <v>0.61725498949787705</v>
      </c>
    </row>
    <row r="124" spans="1:20" x14ac:dyDescent="0.2">
      <c r="A124" t="str">
        <f t="shared" si="1"/>
        <v>sample_16S-A-B09-L2_anaCS-Subj5-B09</v>
      </c>
      <c r="B124" t="s">
        <v>361</v>
      </c>
      <c r="C124" s="3" t="s">
        <v>9</v>
      </c>
      <c r="D124" s="3" t="s">
        <v>7</v>
      </c>
      <c r="E124" s="3" t="s">
        <v>3</v>
      </c>
      <c r="F124" s="3" t="s">
        <v>43</v>
      </c>
      <c r="G124" s="3" t="s">
        <v>22</v>
      </c>
      <c r="H124" s="3" t="s">
        <v>13</v>
      </c>
      <c r="I124" s="3" t="s">
        <v>19</v>
      </c>
      <c r="J124" s="3" t="s">
        <v>43</v>
      </c>
      <c r="K124" s="3" t="s">
        <v>138</v>
      </c>
      <c r="L124" s="3">
        <v>21</v>
      </c>
      <c r="M124">
        <v>85055</v>
      </c>
      <c r="N124">
        <v>85160</v>
      </c>
      <c r="O124">
        <v>82417</v>
      </c>
      <c r="P124">
        <v>73662</v>
      </c>
      <c r="Q124">
        <v>0.89377191598820604</v>
      </c>
      <c r="R124">
        <v>73</v>
      </c>
      <c r="S124">
        <v>2.9239491037344498</v>
      </c>
      <c r="T124">
        <v>0.68150023181475905</v>
      </c>
    </row>
    <row r="125" spans="1:20" x14ac:dyDescent="0.2">
      <c r="A125" t="str">
        <f t="shared" si="1"/>
        <v>sample_16S-A-B09-L3_anaCS-Subj6-B09</v>
      </c>
      <c r="B125" t="s">
        <v>362</v>
      </c>
      <c r="C125" s="3" t="s">
        <v>9</v>
      </c>
      <c r="D125" s="3" t="s">
        <v>7</v>
      </c>
      <c r="E125" s="3" t="s">
        <v>3</v>
      </c>
      <c r="F125" s="3" t="s">
        <v>43</v>
      </c>
      <c r="G125" s="3" t="s">
        <v>23</v>
      </c>
      <c r="H125" s="3" t="s">
        <v>13</v>
      </c>
      <c r="I125" s="3" t="s">
        <v>21</v>
      </c>
      <c r="J125" s="3" t="s">
        <v>43</v>
      </c>
      <c r="K125" s="3" t="s">
        <v>138</v>
      </c>
      <c r="L125" s="3">
        <v>21</v>
      </c>
      <c r="M125">
        <v>132347</v>
      </c>
      <c r="N125">
        <v>132487</v>
      </c>
      <c r="O125">
        <v>129188</v>
      </c>
      <c r="P125">
        <v>113651</v>
      </c>
      <c r="Q125">
        <v>0.87973341177199105</v>
      </c>
      <c r="R125">
        <v>76</v>
      </c>
      <c r="S125">
        <v>2.5447622216777401</v>
      </c>
      <c r="T125">
        <v>0.58760538267393903</v>
      </c>
    </row>
    <row r="126" spans="1:20" x14ac:dyDescent="0.2">
      <c r="A126" t="str">
        <f t="shared" si="1"/>
        <v>sample_HS-CS5_B09_Vincristine-sulfate_S405</v>
      </c>
      <c r="B126" t="s">
        <v>363</v>
      </c>
      <c r="C126" s="3" t="s">
        <v>10</v>
      </c>
      <c r="D126" s="3" t="s">
        <v>8</v>
      </c>
      <c r="E126" s="3" t="s">
        <v>11</v>
      </c>
      <c r="F126" s="3" t="s">
        <v>11</v>
      </c>
      <c r="G126" s="3" t="s">
        <v>11</v>
      </c>
      <c r="H126" s="3" t="s">
        <v>13</v>
      </c>
      <c r="I126" s="3" t="s">
        <v>19</v>
      </c>
      <c r="J126" s="3" t="s">
        <v>43</v>
      </c>
      <c r="K126" s="3" t="s">
        <v>138</v>
      </c>
      <c r="L126" s="3">
        <v>21</v>
      </c>
      <c r="M126">
        <v>17457</v>
      </c>
      <c r="N126">
        <v>17522</v>
      </c>
      <c r="O126">
        <v>17004</v>
      </c>
      <c r="P126">
        <v>16892</v>
      </c>
      <c r="Q126">
        <v>0.99341331451423198</v>
      </c>
      <c r="R126">
        <v>47</v>
      </c>
      <c r="S126">
        <v>2.60472157593001</v>
      </c>
      <c r="T126">
        <v>0.67652512199093595</v>
      </c>
    </row>
    <row r="127" spans="1:20" x14ac:dyDescent="0.2">
      <c r="A127" t="str">
        <f t="shared" si="1"/>
        <v>sample_HS-CS6_B09_Vincristine-sulfate_S501</v>
      </c>
      <c r="B127" t="s">
        <v>364</v>
      </c>
      <c r="C127" s="3" t="s">
        <v>10</v>
      </c>
      <c r="D127" s="3" t="s">
        <v>8</v>
      </c>
      <c r="E127" s="3" t="s">
        <v>11</v>
      </c>
      <c r="F127" s="3" t="s">
        <v>11</v>
      </c>
      <c r="G127" s="3" t="s">
        <v>11</v>
      </c>
      <c r="H127" s="3" t="s">
        <v>13</v>
      </c>
      <c r="I127" s="3" t="s">
        <v>21</v>
      </c>
      <c r="J127" s="3" t="s">
        <v>43</v>
      </c>
      <c r="K127" s="3" t="s">
        <v>138</v>
      </c>
      <c r="L127" s="3">
        <v>21</v>
      </c>
      <c r="M127">
        <v>13590</v>
      </c>
      <c r="N127">
        <v>13668</v>
      </c>
      <c r="O127">
        <v>13246</v>
      </c>
      <c r="P127">
        <v>13117</v>
      </c>
      <c r="Q127">
        <v>0.99026121093160202</v>
      </c>
      <c r="R127">
        <v>29</v>
      </c>
      <c r="S127">
        <v>1.37249872121683</v>
      </c>
      <c r="T127">
        <v>0.40759671573683698</v>
      </c>
    </row>
    <row r="128" spans="1:20" x14ac:dyDescent="0.2">
      <c r="A128" t="str">
        <f t="shared" si="1"/>
        <v>sample_16S-A-B10-L0_anaCS-Subj5-B10</v>
      </c>
      <c r="B128" t="s">
        <v>365</v>
      </c>
      <c r="C128" s="3" t="s">
        <v>9</v>
      </c>
      <c r="D128" s="3" t="s">
        <v>7</v>
      </c>
      <c r="E128" s="3" t="s">
        <v>3</v>
      </c>
      <c r="F128" s="3" t="s">
        <v>44</v>
      </c>
      <c r="G128" s="3" t="s">
        <v>18</v>
      </c>
      <c r="H128" s="3" t="s">
        <v>13</v>
      </c>
      <c r="I128" s="3" t="s">
        <v>19</v>
      </c>
      <c r="J128" s="3" t="s">
        <v>44</v>
      </c>
      <c r="K128" s="3" t="s">
        <v>139</v>
      </c>
      <c r="L128" s="3">
        <v>22</v>
      </c>
      <c r="M128">
        <v>69807</v>
      </c>
      <c r="N128">
        <v>69832</v>
      </c>
      <c r="O128">
        <v>68146</v>
      </c>
      <c r="P128">
        <v>63769</v>
      </c>
      <c r="Q128">
        <v>0.93577025797552305</v>
      </c>
      <c r="R128">
        <v>68</v>
      </c>
      <c r="S128">
        <v>2.7877547165415</v>
      </c>
      <c r="T128">
        <v>0.66068245665761904</v>
      </c>
    </row>
    <row r="129" spans="1:20" x14ac:dyDescent="0.2">
      <c r="A129" t="str">
        <f t="shared" si="1"/>
        <v>sample_16S-A-B10-L1_anaCS-Subj6-B10</v>
      </c>
      <c r="B129" t="s">
        <v>366</v>
      </c>
      <c r="C129" s="3" t="s">
        <v>9</v>
      </c>
      <c r="D129" s="3" t="s">
        <v>7</v>
      </c>
      <c r="E129" s="3" t="s">
        <v>3</v>
      </c>
      <c r="F129" s="3" t="s">
        <v>44</v>
      </c>
      <c r="G129" s="3" t="s">
        <v>20</v>
      </c>
      <c r="H129" s="3" t="s">
        <v>13</v>
      </c>
      <c r="I129" s="3" t="s">
        <v>21</v>
      </c>
      <c r="J129" s="3" t="s">
        <v>44</v>
      </c>
      <c r="K129" s="3" t="s">
        <v>139</v>
      </c>
      <c r="L129" s="3">
        <v>22</v>
      </c>
      <c r="M129">
        <v>102590</v>
      </c>
      <c r="N129">
        <v>102687</v>
      </c>
      <c r="O129">
        <v>100631</v>
      </c>
      <c r="P129">
        <v>91428</v>
      </c>
      <c r="Q129">
        <v>0.908547068000914</v>
      </c>
      <c r="R129">
        <v>72</v>
      </c>
      <c r="S129">
        <v>2.6423627000679599</v>
      </c>
      <c r="T129">
        <v>0.61785573774833202</v>
      </c>
    </row>
    <row r="130" spans="1:20" x14ac:dyDescent="0.2">
      <c r="A130" t="str">
        <f t="shared" si="1"/>
        <v>sample_16S-A-B10-L2_anaCS-Subj5-B10</v>
      </c>
      <c r="B130" t="s">
        <v>367</v>
      </c>
      <c r="C130" s="3" t="s">
        <v>9</v>
      </c>
      <c r="D130" s="3" t="s">
        <v>7</v>
      </c>
      <c r="E130" s="3" t="s">
        <v>3</v>
      </c>
      <c r="F130" s="3" t="s">
        <v>44</v>
      </c>
      <c r="G130" s="3" t="s">
        <v>22</v>
      </c>
      <c r="H130" s="3" t="s">
        <v>13</v>
      </c>
      <c r="I130" s="3" t="s">
        <v>19</v>
      </c>
      <c r="J130" s="3" t="s">
        <v>44</v>
      </c>
      <c r="K130" s="3" t="s">
        <v>139</v>
      </c>
      <c r="L130" s="3">
        <v>22</v>
      </c>
      <c r="M130">
        <v>73968</v>
      </c>
      <c r="N130">
        <v>74035</v>
      </c>
      <c r="O130">
        <v>71636</v>
      </c>
      <c r="P130">
        <v>63973</v>
      </c>
      <c r="Q130">
        <v>0.89302864481545596</v>
      </c>
      <c r="R130">
        <v>65</v>
      </c>
      <c r="S130">
        <v>2.77156968695546</v>
      </c>
      <c r="T130">
        <v>0.66394646872923102</v>
      </c>
    </row>
    <row r="131" spans="1:20" x14ac:dyDescent="0.2">
      <c r="A131" t="str">
        <f t="shared" ref="A131:A194" si="2">_xlfn.CONCAT("sample_",B131)</f>
        <v>sample_16S-A-B10-L3_anaCS-Subj6-B10</v>
      </c>
      <c r="B131" t="s">
        <v>368</v>
      </c>
      <c r="C131" s="3" t="s">
        <v>9</v>
      </c>
      <c r="D131" s="3" t="s">
        <v>7</v>
      </c>
      <c r="E131" s="3" t="s">
        <v>3</v>
      </c>
      <c r="F131" s="3" t="s">
        <v>44</v>
      </c>
      <c r="G131" s="3" t="s">
        <v>23</v>
      </c>
      <c r="H131" s="3" t="s">
        <v>13</v>
      </c>
      <c r="I131" s="3" t="s">
        <v>21</v>
      </c>
      <c r="J131" s="3" t="s">
        <v>44</v>
      </c>
      <c r="K131" s="3" t="s">
        <v>139</v>
      </c>
      <c r="L131" s="3">
        <v>22</v>
      </c>
      <c r="M131">
        <v>93847</v>
      </c>
      <c r="N131">
        <v>93960</v>
      </c>
      <c r="O131">
        <v>91557</v>
      </c>
      <c r="P131">
        <v>81586</v>
      </c>
      <c r="Q131">
        <v>0.89109516476075001</v>
      </c>
      <c r="R131">
        <v>69</v>
      </c>
      <c r="S131">
        <v>2.5302029207668602</v>
      </c>
      <c r="T131">
        <v>0.59757658859540796</v>
      </c>
    </row>
    <row r="132" spans="1:20" x14ac:dyDescent="0.2">
      <c r="A132" t="str">
        <f t="shared" si="2"/>
        <v>sample_HS-CS5_B10_Verapamil-hydrochloride_S406</v>
      </c>
      <c r="B132" t="s">
        <v>369</v>
      </c>
      <c r="C132" s="3" t="s">
        <v>10</v>
      </c>
      <c r="D132" s="3" t="s">
        <v>8</v>
      </c>
      <c r="E132" s="3" t="s">
        <v>11</v>
      </c>
      <c r="F132" s="3" t="s">
        <v>11</v>
      </c>
      <c r="G132" s="3" t="s">
        <v>11</v>
      </c>
      <c r="H132" s="3" t="s">
        <v>13</v>
      </c>
      <c r="I132" s="3" t="s">
        <v>19</v>
      </c>
      <c r="J132" s="3" t="s">
        <v>44</v>
      </c>
      <c r="K132" s="3" t="s">
        <v>139</v>
      </c>
      <c r="L132" s="3">
        <v>22</v>
      </c>
      <c r="M132">
        <v>14629</v>
      </c>
      <c r="N132">
        <v>14693</v>
      </c>
      <c r="O132">
        <v>14314</v>
      </c>
      <c r="P132">
        <v>14279</v>
      </c>
      <c r="Q132">
        <v>0.99755484141399997</v>
      </c>
      <c r="R132">
        <v>45</v>
      </c>
      <c r="S132">
        <v>2.4248549253062399</v>
      </c>
      <c r="T132">
        <v>0.63700286847667198</v>
      </c>
    </row>
    <row r="133" spans="1:20" x14ac:dyDescent="0.2">
      <c r="A133" t="str">
        <f t="shared" si="2"/>
        <v>sample_HS-CS6_B10_Verapamil-hydrochloride_S502</v>
      </c>
      <c r="B133" t="s">
        <v>370</v>
      </c>
      <c r="C133" s="3" t="s">
        <v>10</v>
      </c>
      <c r="D133" s="3" t="s">
        <v>8</v>
      </c>
      <c r="E133" s="3" t="s">
        <v>11</v>
      </c>
      <c r="F133" s="3" t="s">
        <v>11</v>
      </c>
      <c r="G133" s="3" t="s">
        <v>11</v>
      </c>
      <c r="H133" s="3" t="s">
        <v>13</v>
      </c>
      <c r="I133" s="3" t="s">
        <v>21</v>
      </c>
      <c r="J133" s="3" t="s">
        <v>44</v>
      </c>
      <c r="K133" s="3" t="s">
        <v>139</v>
      </c>
      <c r="L133" s="3">
        <v>22</v>
      </c>
      <c r="M133">
        <v>10382</v>
      </c>
      <c r="N133">
        <v>10396</v>
      </c>
      <c r="O133">
        <v>10124</v>
      </c>
      <c r="P133">
        <v>9983</v>
      </c>
      <c r="Q133">
        <v>0.98607269853812696</v>
      </c>
      <c r="R133" t="s">
        <v>11</v>
      </c>
      <c r="S133" t="s">
        <v>11</v>
      </c>
      <c r="T133" t="s">
        <v>11</v>
      </c>
    </row>
    <row r="134" spans="1:20" x14ac:dyDescent="0.2">
      <c r="A134" t="str">
        <f t="shared" si="2"/>
        <v>sample_HS-CS5_B11_Fluvastatin_S407</v>
      </c>
      <c r="B134" t="s">
        <v>371</v>
      </c>
      <c r="C134" s="3" t="s">
        <v>10</v>
      </c>
      <c r="D134" s="3" t="s">
        <v>8</v>
      </c>
      <c r="E134" s="3" t="s">
        <v>11</v>
      </c>
      <c r="F134" s="3" t="s">
        <v>11</v>
      </c>
      <c r="G134" s="3" t="s">
        <v>11</v>
      </c>
      <c r="H134" s="3" t="s">
        <v>13</v>
      </c>
      <c r="I134" s="3" t="s">
        <v>19</v>
      </c>
      <c r="J134" s="3" t="s">
        <v>45</v>
      </c>
      <c r="K134" s="3" t="s">
        <v>140</v>
      </c>
      <c r="L134" s="3">
        <v>23</v>
      </c>
      <c r="M134">
        <v>16808</v>
      </c>
      <c r="N134">
        <v>16861</v>
      </c>
      <c r="O134">
        <v>16430</v>
      </c>
      <c r="P134">
        <v>16321</v>
      </c>
      <c r="Q134">
        <v>0.99336579427875804</v>
      </c>
      <c r="R134">
        <v>44</v>
      </c>
      <c r="S134">
        <v>2.3532853423028</v>
      </c>
      <c r="T134">
        <v>0.62187299526692497</v>
      </c>
    </row>
    <row r="135" spans="1:20" x14ac:dyDescent="0.2">
      <c r="A135" t="str">
        <f t="shared" si="2"/>
        <v>sample_HS-CS6_B11_Fluvastatin_S503</v>
      </c>
      <c r="B135" t="s">
        <v>372</v>
      </c>
      <c r="C135" s="3" t="s">
        <v>10</v>
      </c>
      <c r="D135" s="3" t="s">
        <v>8</v>
      </c>
      <c r="E135" s="3" t="s">
        <v>11</v>
      </c>
      <c r="F135" s="3" t="s">
        <v>11</v>
      </c>
      <c r="G135" s="3" t="s">
        <v>11</v>
      </c>
      <c r="H135" s="3" t="s">
        <v>13</v>
      </c>
      <c r="I135" s="3" t="s">
        <v>21</v>
      </c>
      <c r="J135" s="3" t="s">
        <v>45</v>
      </c>
      <c r="K135" s="3" t="s">
        <v>140</v>
      </c>
      <c r="L135" s="3">
        <v>23</v>
      </c>
      <c r="M135">
        <v>10606</v>
      </c>
      <c r="N135">
        <v>10611</v>
      </c>
      <c r="O135">
        <v>10308</v>
      </c>
      <c r="P135">
        <v>10212</v>
      </c>
      <c r="Q135">
        <v>0.99068684516880101</v>
      </c>
      <c r="R135">
        <v>27</v>
      </c>
      <c r="S135">
        <v>1.2815598160048201</v>
      </c>
      <c r="T135">
        <v>0.38884200526542001</v>
      </c>
    </row>
    <row r="136" spans="1:20" x14ac:dyDescent="0.2">
      <c r="A136" t="str">
        <f t="shared" si="2"/>
        <v>sample_16S-A-B11-L0_anaCS-Subj5-B11</v>
      </c>
      <c r="B136" t="s">
        <v>373</v>
      </c>
      <c r="C136" s="3" t="s">
        <v>9</v>
      </c>
      <c r="D136" s="3" t="s">
        <v>7</v>
      </c>
      <c r="E136" s="3" t="s">
        <v>3</v>
      </c>
      <c r="F136" s="3" t="s">
        <v>45</v>
      </c>
      <c r="G136" s="3" t="s">
        <v>18</v>
      </c>
      <c r="H136" s="3" t="s">
        <v>13</v>
      </c>
      <c r="I136" s="3" t="s">
        <v>19</v>
      </c>
      <c r="J136" s="3" t="s">
        <v>45</v>
      </c>
      <c r="K136" s="3" t="s">
        <v>140</v>
      </c>
      <c r="L136" s="3">
        <v>23</v>
      </c>
      <c r="M136">
        <v>36935</v>
      </c>
      <c r="N136">
        <v>36975</v>
      </c>
      <c r="O136">
        <v>35955</v>
      </c>
      <c r="P136">
        <v>34159</v>
      </c>
      <c r="Q136">
        <v>0.95004867195105003</v>
      </c>
      <c r="R136">
        <v>58</v>
      </c>
      <c r="S136">
        <v>2.7071152429457199</v>
      </c>
      <c r="T136">
        <v>0.66670440538492404</v>
      </c>
    </row>
    <row r="137" spans="1:20" x14ac:dyDescent="0.2">
      <c r="A137" t="str">
        <f t="shared" si="2"/>
        <v>sample_16S-A-B11-L1_anaCS-Subj6-B11</v>
      </c>
      <c r="B137" t="s">
        <v>374</v>
      </c>
      <c r="C137" s="3" t="s">
        <v>9</v>
      </c>
      <c r="D137" s="3" t="s">
        <v>7</v>
      </c>
      <c r="E137" s="3" t="s">
        <v>3</v>
      </c>
      <c r="F137" s="3" t="s">
        <v>45</v>
      </c>
      <c r="G137" s="3" t="s">
        <v>20</v>
      </c>
      <c r="H137" s="3" t="s">
        <v>13</v>
      </c>
      <c r="I137" s="3" t="s">
        <v>21</v>
      </c>
      <c r="J137" s="3" t="s">
        <v>45</v>
      </c>
      <c r="K137" s="3" t="s">
        <v>140</v>
      </c>
      <c r="L137" s="3">
        <v>23</v>
      </c>
      <c r="M137">
        <v>77209</v>
      </c>
      <c r="N137">
        <v>77238</v>
      </c>
      <c r="O137">
        <v>75879</v>
      </c>
      <c r="P137">
        <v>70100</v>
      </c>
      <c r="Q137">
        <v>0.92383927041737501</v>
      </c>
      <c r="R137">
        <v>68</v>
      </c>
      <c r="S137">
        <v>2.59353399129827</v>
      </c>
      <c r="T137">
        <v>0.61465321845881704</v>
      </c>
    </row>
    <row r="138" spans="1:20" x14ac:dyDescent="0.2">
      <c r="A138" t="str">
        <f t="shared" si="2"/>
        <v>sample_16S-A-B11-L2_anaCS-Subj5-B11</v>
      </c>
      <c r="B138" t="s">
        <v>375</v>
      </c>
      <c r="C138" s="3" t="s">
        <v>9</v>
      </c>
      <c r="D138" s="3" t="s">
        <v>7</v>
      </c>
      <c r="E138" s="3" t="s">
        <v>3</v>
      </c>
      <c r="F138" s="3" t="s">
        <v>45</v>
      </c>
      <c r="G138" s="3" t="s">
        <v>22</v>
      </c>
      <c r="H138" s="3" t="s">
        <v>13</v>
      </c>
      <c r="I138" s="3" t="s">
        <v>19</v>
      </c>
      <c r="J138" s="3" t="s">
        <v>45</v>
      </c>
      <c r="K138" s="3" t="s">
        <v>140</v>
      </c>
      <c r="L138" s="3">
        <v>23</v>
      </c>
      <c r="M138">
        <v>57929</v>
      </c>
      <c r="N138">
        <v>57982</v>
      </c>
      <c r="O138">
        <v>55834</v>
      </c>
      <c r="P138">
        <v>49411</v>
      </c>
      <c r="Q138">
        <v>0.88496256761113301</v>
      </c>
      <c r="R138">
        <v>65</v>
      </c>
      <c r="S138">
        <v>2.7260088388046801</v>
      </c>
      <c r="T138">
        <v>0.65303208891609099</v>
      </c>
    </row>
    <row r="139" spans="1:20" x14ac:dyDescent="0.2">
      <c r="A139" t="str">
        <f t="shared" si="2"/>
        <v>sample_16S-A-B11-L3_anaCS-Subj6-B11</v>
      </c>
      <c r="B139" t="s">
        <v>376</v>
      </c>
      <c r="C139" s="3" t="s">
        <v>9</v>
      </c>
      <c r="D139" s="3" t="s">
        <v>7</v>
      </c>
      <c r="E139" s="3" t="s">
        <v>3</v>
      </c>
      <c r="F139" s="3" t="s">
        <v>45</v>
      </c>
      <c r="G139" s="3" t="s">
        <v>23</v>
      </c>
      <c r="H139" s="3" t="s">
        <v>13</v>
      </c>
      <c r="I139" s="3" t="s">
        <v>21</v>
      </c>
      <c r="J139" s="3" t="s">
        <v>45</v>
      </c>
      <c r="K139" s="3" t="s">
        <v>140</v>
      </c>
      <c r="L139" s="3">
        <v>23</v>
      </c>
      <c r="M139">
        <v>49050</v>
      </c>
      <c r="N139">
        <v>49163</v>
      </c>
      <c r="O139">
        <v>47951</v>
      </c>
      <c r="P139">
        <v>44207</v>
      </c>
      <c r="Q139">
        <v>0.92192029363308403</v>
      </c>
      <c r="R139">
        <v>62</v>
      </c>
      <c r="S139">
        <v>2.365212130747</v>
      </c>
      <c r="T139">
        <v>0.573088227831273</v>
      </c>
    </row>
    <row r="140" spans="1:20" x14ac:dyDescent="0.2">
      <c r="A140" t="str">
        <f t="shared" si="2"/>
        <v>sample_HS-CS5_B12_Ethionamide_S408</v>
      </c>
      <c r="B140" t="s">
        <v>377</v>
      </c>
      <c r="C140" s="3" t="s">
        <v>10</v>
      </c>
      <c r="D140" s="3" t="s">
        <v>8</v>
      </c>
      <c r="E140" s="3" t="s">
        <v>11</v>
      </c>
      <c r="F140" s="3" t="s">
        <v>11</v>
      </c>
      <c r="G140" s="3" t="s">
        <v>11</v>
      </c>
      <c r="H140" s="3" t="s">
        <v>13</v>
      </c>
      <c r="I140" s="3" t="s">
        <v>19</v>
      </c>
      <c r="J140" s="3" t="s">
        <v>46</v>
      </c>
      <c r="K140" s="3" t="s">
        <v>141</v>
      </c>
      <c r="L140" s="3">
        <v>24</v>
      </c>
      <c r="M140">
        <v>18202</v>
      </c>
      <c r="N140">
        <v>18258</v>
      </c>
      <c r="O140">
        <v>17789</v>
      </c>
      <c r="P140">
        <v>17485</v>
      </c>
      <c r="Q140">
        <v>0.982910787565349</v>
      </c>
      <c r="R140">
        <v>44</v>
      </c>
      <c r="S140">
        <v>2.4155758362459299</v>
      </c>
      <c r="T140">
        <v>0.63833371736838096</v>
      </c>
    </row>
    <row r="141" spans="1:20" x14ac:dyDescent="0.2">
      <c r="A141" t="str">
        <f t="shared" si="2"/>
        <v>sample_HS-CS6_B12_Ethionamide_S504</v>
      </c>
      <c r="B141" t="s">
        <v>378</v>
      </c>
      <c r="C141" s="3" t="s">
        <v>10</v>
      </c>
      <c r="D141" s="3" t="s">
        <v>8</v>
      </c>
      <c r="E141" s="3" t="s">
        <v>11</v>
      </c>
      <c r="F141" s="3" t="s">
        <v>11</v>
      </c>
      <c r="G141" s="3" t="s">
        <v>11</v>
      </c>
      <c r="H141" s="3" t="s">
        <v>13</v>
      </c>
      <c r="I141" s="3" t="s">
        <v>21</v>
      </c>
      <c r="J141" s="3" t="s">
        <v>46</v>
      </c>
      <c r="K141" s="3" t="s">
        <v>141</v>
      </c>
      <c r="L141" s="3">
        <v>24</v>
      </c>
      <c r="M141">
        <v>11271</v>
      </c>
      <c r="N141">
        <v>11308</v>
      </c>
      <c r="O141">
        <v>10997</v>
      </c>
      <c r="P141">
        <v>10753</v>
      </c>
      <c r="Q141">
        <v>0.97781213058106797</v>
      </c>
      <c r="R141">
        <v>27</v>
      </c>
      <c r="S141">
        <v>1.2698361560794</v>
      </c>
      <c r="T141">
        <v>0.385284893550837</v>
      </c>
    </row>
    <row r="142" spans="1:20" x14ac:dyDescent="0.2">
      <c r="A142" t="str">
        <f t="shared" si="2"/>
        <v>sample_16S-A-B12-L0_anaCS-Subj5-B12</v>
      </c>
      <c r="B142" t="s">
        <v>379</v>
      </c>
      <c r="C142" s="3" t="s">
        <v>9</v>
      </c>
      <c r="D142" s="3" t="s">
        <v>7</v>
      </c>
      <c r="E142" s="3" t="s">
        <v>3</v>
      </c>
      <c r="F142" s="3" t="s">
        <v>46</v>
      </c>
      <c r="G142" s="3" t="s">
        <v>18</v>
      </c>
      <c r="H142" s="3" t="s">
        <v>13</v>
      </c>
      <c r="I142" s="3" t="s">
        <v>19</v>
      </c>
      <c r="J142" s="3" t="s">
        <v>46</v>
      </c>
      <c r="K142" s="3" t="s">
        <v>141</v>
      </c>
      <c r="L142" s="3">
        <v>24</v>
      </c>
      <c r="M142">
        <v>35082</v>
      </c>
      <c r="N142">
        <v>35137</v>
      </c>
      <c r="O142">
        <v>34079</v>
      </c>
      <c r="P142">
        <v>31932</v>
      </c>
      <c r="Q142">
        <v>0.936999325097567</v>
      </c>
      <c r="R142">
        <v>61</v>
      </c>
      <c r="S142">
        <v>2.7874532402356098</v>
      </c>
      <c r="T142">
        <v>0.67806829699362803</v>
      </c>
    </row>
    <row r="143" spans="1:20" x14ac:dyDescent="0.2">
      <c r="A143" t="str">
        <f t="shared" si="2"/>
        <v>sample_16S-A-B12-L1_anaCS-Subj6-B12</v>
      </c>
      <c r="B143" t="s">
        <v>380</v>
      </c>
      <c r="C143" s="3" t="s">
        <v>9</v>
      </c>
      <c r="D143" s="3" t="s">
        <v>7</v>
      </c>
      <c r="E143" s="3" t="s">
        <v>3</v>
      </c>
      <c r="F143" s="3" t="s">
        <v>46</v>
      </c>
      <c r="G143" s="3" t="s">
        <v>20</v>
      </c>
      <c r="H143" s="3" t="s">
        <v>13</v>
      </c>
      <c r="I143" s="3" t="s">
        <v>21</v>
      </c>
      <c r="J143" s="3" t="s">
        <v>46</v>
      </c>
      <c r="K143" s="3" t="s">
        <v>141</v>
      </c>
      <c r="L143" s="3">
        <v>24</v>
      </c>
      <c r="M143">
        <v>78535</v>
      </c>
      <c r="N143">
        <v>78577</v>
      </c>
      <c r="O143">
        <v>76742</v>
      </c>
      <c r="P143">
        <v>69611</v>
      </c>
      <c r="Q143">
        <v>0.907078262229288</v>
      </c>
      <c r="R143">
        <v>68</v>
      </c>
      <c r="S143">
        <v>2.6192500845689999</v>
      </c>
      <c r="T143">
        <v>0.62074779040122297</v>
      </c>
    </row>
    <row r="144" spans="1:20" x14ac:dyDescent="0.2">
      <c r="A144" t="str">
        <f t="shared" si="2"/>
        <v>sample_16S-A-B12-L2_anaCS-Subj5-B12</v>
      </c>
      <c r="B144" t="s">
        <v>381</v>
      </c>
      <c r="C144" s="3" t="s">
        <v>9</v>
      </c>
      <c r="D144" s="3" t="s">
        <v>7</v>
      </c>
      <c r="E144" s="3" t="s">
        <v>3</v>
      </c>
      <c r="F144" s="3" t="s">
        <v>46</v>
      </c>
      <c r="G144" s="3" t="s">
        <v>22</v>
      </c>
      <c r="H144" s="3" t="s">
        <v>13</v>
      </c>
      <c r="I144" s="3" t="s">
        <v>19</v>
      </c>
      <c r="J144" s="3" t="s">
        <v>46</v>
      </c>
      <c r="K144" s="3" t="s">
        <v>141</v>
      </c>
      <c r="L144" s="3">
        <v>24</v>
      </c>
      <c r="M144">
        <v>46786</v>
      </c>
      <c r="N144">
        <v>46844</v>
      </c>
      <c r="O144">
        <v>45019</v>
      </c>
      <c r="P144">
        <v>39908</v>
      </c>
      <c r="Q144">
        <v>0.88647015704480303</v>
      </c>
      <c r="R144">
        <v>61</v>
      </c>
      <c r="S144">
        <v>2.7837733219404002</v>
      </c>
      <c r="T144">
        <v>0.67717313007369795</v>
      </c>
    </row>
    <row r="145" spans="1:20" x14ac:dyDescent="0.2">
      <c r="A145" t="str">
        <f t="shared" si="2"/>
        <v>sample_16S-A-B12-L3_anaCS-Subj6-B12</v>
      </c>
      <c r="B145" t="s">
        <v>382</v>
      </c>
      <c r="C145" s="3" t="s">
        <v>9</v>
      </c>
      <c r="D145" s="3" t="s">
        <v>7</v>
      </c>
      <c r="E145" s="3" t="s">
        <v>3</v>
      </c>
      <c r="F145" s="3" t="s">
        <v>46</v>
      </c>
      <c r="G145" s="3" t="s">
        <v>23</v>
      </c>
      <c r="H145" s="3" t="s">
        <v>13</v>
      </c>
      <c r="I145" s="3" t="s">
        <v>21</v>
      </c>
      <c r="J145" s="3" t="s">
        <v>46</v>
      </c>
      <c r="K145" s="3" t="s">
        <v>141</v>
      </c>
      <c r="L145" s="3">
        <v>24</v>
      </c>
      <c r="M145">
        <v>64814</v>
      </c>
      <c r="N145">
        <v>64901</v>
      </c>
      <c r="O145">
        <v>63133</v>
      </c>
      <c r="P145">
        <v>56715</v>
      </c>
      <c r="Q145">
        <v>0.89834159631254695</v>
      </c>
      <c r="R145">
        <v>62</v>
      </c>
      <c r="S145">
        <v>2.4174810659052999</v>
      </c>
      <c r="T145">
        <v>0.58575293178365595</v>
      </c>
    </row>
    <row r="146" spans="1:20" x14ac:dyDescent="0.2">
      <c r="A146" t="str">
        <f t="shared" si="2"/>
        <v>sample_HS-CS5_C01_Azithromycin_S409</v>
      </c>
      <c r="B146" t="s">
        <v>383</v>
      </c>
      <c r="C146" s="3" t="s">
        <v>10</v>
      </c>
      <c r="D146" s="3" t="s">
        <v>8</v>
      </c>
      <c r="E146" s="3" t="s">
        <v>11</v>
      </c>
      <c r="F146" s="3" t="s">
        <v>11</v>
      </c>
      <c r="G146" s="3" t="s">
        <v>11</v>
      </c>
      <c r="H146" s="3" t="s">
        <v>13</v>
      </c>
      <c r="I146" s="3" t="s">
        <v>19</v>
      </c>
      <c r="J146" s="3" t="s">
        <v>47</v>
      </c>
      <c r="K146" s="3" t="s">
        <v>142</v>
      </c>
      <c r="L146" s="3">
        <v>25</v>
      </c>
      <c r="M146">
        <v>25745</v>
      </c>
      <c r="N146">
        <v>25807</v>
      </c>
      <c r="O146">
        <v>25330</v>
      </c>
      <c r="P146">
        <v>23395</v>
      </c>
      <c r="Q146">
        <v>0.92360836952230596</v>
      </c>
      <c r="R146">
        <v>37</v>
      </c>
      <c r="S146">
        <v>2.4040927634640998</v>
      </c>
      <c r="T146">
        <v>0.66578438547322505</v>
      </c>
    </row>
    <row r="147" spans="1:20" x14ac:dyDescent="0.2">
      <c r="A147" t="str">
        <f t="shared" si="2"/>
        <v>sample_HS-CS6_C01_Azithromycin_S505</v>
      </c>
      <c r="B147" t="s">
        <v>384</v>
      </c>
      <c r="C147" s="3" t="s">
        <v>10</v>
      </c>
      <c r="D147" s="3" t="s">
        <v>8</v>
      </c>
      <c r="E147" s="3" t="s">
        <v>11</v>
      </c>
      <c r="F147" s="3" t="s">
        <v>11</v>
      </c>
      <c r="G147" s="3" t="s">
        <v>11</v>
      </c>
      <c r="H147" s="3" t="s">
        <v>13</v>
      </c>
      <c r="I147" s="3" t="s">
        <v>21</v>
      </c>
      <c r="J147" s="3" t="s">
        <v>47</v>
      </c>
      <c r="K147" s="3" t="s">
        <v>142</v>
      </c>
      <c r="L147" s="3">
        <v>25</v>
      </c>
      <c r="M147">
        <v>15303</v>
      </c>
      <c r="N147">
        <v>15326</v>
      </c>
      <c r="O147">
        <v>15032</v>
      </c>
      <c r="P147">
        <v>14907</v>
      </c>
      <c r="Q147">
        <v>0.99168440659925505</v>
      </c>
      <c r="R147">
        <v>24</v>
      </c>
      <c r="S147">
        <v>0.98999504790688797</v>
      </c>
      <c r="T147">
        <v>0.31150984242406599</v>
      </c>
    </row>
    <row r="148" spans="1:20" x14ac:dyDescent="0.2">
      <c r="A148" t="str">
        <f t="shared" si="2"/>
        <v>sample_16S-A-C01-L0_anaCS-Subj5-C01</v>
      </c>
      <c r="B148" t="s">
        <v>385</v>
      </c>
      <c r="C148" s="3" t="s">
        <v>9</v>
      </c>
      <c r="D148" s="3" t="s">
        <v>7</v>
      </c>
      <c r="E148" s="3" t="s">
        <v>3</v>
      </c>
      <c r="F148" s="3" t="s">
        <v>47</v>
      </c>
      <c r="G148" s="3" t="s">
        <v>18</v>
      </c>
      <c r="H148" s="3" t="s">
        <v>13</v>
      </c>
      <c r="I148" s="3" t="s">
        <v>19</v>
      </c>
      <c r="J148" s="3" t="s">
        <v>47</v>
      </c>
      <c r="K148" s="3" t="s">
        <v>142</v>
      </c>
      <c r="L148" s="3">
        <v>25</v>
      </c>
      <c r="M148">
        <v>126593</v>
      </c>
      <c r="N148">
        <v>126615</v>
      </c>
      <c r="O148">
        <v>125329</v>
      </c>
      <c r="P148">
        <v>113019</v>
      </c>
      <c r="Q148">
        <v>0.90177851893815497</v>
      </c>
      <c r="R148">
        <v>43</v>
      </c>
      <c r="S148">
        <v>2.5773363137747798</v>
      </c>
      <c r="T148">
        <v>0.68524306989699202</v>
      </c>
    </row>
    <row r="149" spans="1:20" x14ac:dyDescent="0.2">
      <c r="A149" t="str">
        <f t="shared" si="2"/>
        <v>sample_16S-A-C01-L1_anaCS-Subj6-C01</v>
      </c>
      <c r="B149" t="s">
        <v>386</v>
      </c>
      <c r="C149" s="3" t="s">
        <v>9</v>
      </c>
      <c r="D149" s="3" t="s">
        <v>7</v>
      </c>
      <c r="E149" s="3" t="s">
        <v>3</v>
      </c>
      <c r="F149" s="3" t="s">
        <v>47</v>
      </c>
      <c r="G149" s="3" t="s">
        <v>20</v>
      </c>
      <c r="H149" s="3" t="s">
        <v>13</v>
      </c>
      <c r="I149" s="3" t="s">
        <v>21</v>
      </c>
      <c r="J149" s="3" t="s">
        <v>47</v>
      </c>
      <c r="K149" s="3" t="s">
        <v>142</v>
      </c>
      <c r="L149" s="3">
        <v>25</v>
      </c>
      <c r="M149">
        <v>90179</v>
      </c>
      <c r="N149">
        <v>90172</v>
      </c>
      <c r="O149">
        <v>89064</v>
      </c>
      <c r="P149">
        <v>83843</v>
      </c>
      <c r="Q149">
        <v>0.94137923291116499</v>
      </c>
      <c r="R149">
        <v>40</v>
      </c>
      <c r="S149">
        <v>2.2046355527452399</v>
      </c>
      <c r="T149">
        <v>0.59764369645816695</v>
      </c>
    </row>
    <row r="150" spans="1:20" x14ac:dyDescent="0.2">
      <c r="A150" t="str">
        <f t="shared" si="2"/>
        <v>sample_16S-A-C01-L2_anaCS-Subj5-C01</v>
      </c>
      <c r="B150" t="s">
        <v>387</v>
      </c>
      <c r="C150" s="3" t="s">
        <v>9</v>
      </c>
      <c r="D150" s="3" t="s">
        <v>7</v>
      </c>
      <c r="E150" s="3" t="s">
        <v>3</v>
      </c>
      <c r="F150" s="3" t="s">
        <v>47</v>
      </c>
      <c r="G150" s="3" t="s">
        <v>22</v>
      </c>
      <c r="H150" s="3" t="s">
        <v>13</v>
      </c>
      <c r="I150" s="3" t="s">
        <v>19</v>
      </c>
      <c r="J150" s="3" t="s">
        <v>47</v>
      </c>
      <c r="K150" s="3" t="s">
        <v>142</v>
      </c>
      <c r="L150" s="3">
        <v>25</v>
      </c>
      <c r="M150">
        <v>83999</v>
      </c>
      <c r="N150">
        <v>84040</v>
      </c>
      <c r="O150">
        <v>82855</v>
      </c>
      <c r="P150">
        <v>71774</v>
      </c>
      <c r="Q150">
        <v>0.86626033431899097</v>
      </c>
      <c r="R150">
        <v>46</v>
      </c>
      <c r="S150">
        <v>2.53486132292175</v>
      </c>
      <c r="T150">
        <v>0.66207854442733804</v>
      </c>
    </row>
    <row r="151" spans="1:20" x14ac:dyDescent="0.2">
      <c r="A151" t="str">
        <f t="shared" si="2"/>
        <v>sample_16S-A-C01-L3_anaCS-Subj6-C01</v>
      </c>
      <c r="B151" t="s">
        <v>388</v>
      </c>
      <c r="C151" s="3" t="s">
        <v>9</v>
      </c>
      <c r="D151" s="3" t="s">
        <v>7</v>
      </c>
      <c r="E151" s="3" t="s">
        <v>3</v>
      </c>
      <c r="F151" s="3" t="s">
        <v>47</v>
      </c>
      <c r="G151" s="3" t="s">
        <v>23</v>
      </c>
      <c r="H151" s="3" t="s">
        <v>13</v>
      </c>
      <c r="I151" s="3" t="s">
        <v>21</v>
      </c>
      <c r="J151" s="3" t="s">
        <v>47</v>
      </c>
      <c r="K151" s="3" t="s">
        <v>142</v>
      </c>
      <c r="L151" s="3">
        <v>25</v>
      </c>
      <c r="M151">
        <v>122396</v>
      </c>
      <c r="N151">
        <v>122585</v>
      </c>
      <c r="O151">
        <v>120852</v>
      </c>
      <c r="P151">
        <v>110876</v>
      </c>
      <c r="Q151">
        <v>0.91745275212656796</v>
      </c>
      <c r="R151">
        <v>44</v>
      </c>
      <c r="S151">
        <v>2.1957005618346401</v>
      </c>
      <c r="T151">
        <v>0.58023005563839902</v>
      </c>
    </row>
    <row r="152" spans="1:20" x14ac:dyDescent="0.2">
      <c r="A152" t="str">
        <f t="shared" si="2"/>
        <v>sample_HS-CS5_C02_Metronidazole_S410</v>
      </c>
      <c r="B152" t="s">
        <v>389</v>
      </c>
      <c r="C152" s="3" t="s">
        <v>10</v>
      </c>
      <c r="D152" s="3" t="s">
        <v>8</v>
      </c>
      <c r="E152" s="3" t="s">
        <v>11</v>
      </c>
      <c r="F152" s="3" t="s">
        <v>11</v>
      </c>
      <c r="G152" s="3" t="s">
        <v>11</v>
      </c>
      <c r="H152" s="3" t="s">
        <v>13</v>
      </c>
      <c r="I152" s="3" t="s">
        <v>19</v>
      </c>
      <c r="J152" s="3" t="s">
        <v>48</v>
      </c>
      <c r="K152" s="3" t="s">
        <v>143</v>
      </c>
      <c r="L152" s="3">
        <v>26</v>
      </c>
      <c r="M152">
        <v>16272</v>
      </c>
      <c r="N152">
        <v>16293</v>
      </c>
      <c r="O152">
        <v>16056</v>
      </c>
      <c r="P152">
        <v>15623</v>
      </c>
      <c r="Q152">
        <v>0.97303188839063304</v>
      </c>
      <c r="R152">
        <v>14</v>
      </c>
      <c r="S152">
        <v>1.54936604780966</v>
      </c>
      <c r="T152">
        <v>0.58709071243842303</v>
      </c>
    </row>
    <row r="153" spans="1:20" x14ac:dyDescent="0.2">
      <c r="A153" t="str">
        <f t="shared" si="2"/>
        <v>sample_HS-CS6_C02_Metronidazole_S506</v>
      </c>
      <c r="B153" t="s">
        <v>390</v>
      </c>
      <c r="C153" s="3" t="s">
        <v>10</v>
      </c>
      <c r="D153" s="3" t="s">
        <v>8</v>
      </c>
      <c r="E153" s="3" t="s">
        <v>11</v>
      </c>
      <c r="F153" s="3" t="s">
        <v>11</v>
      </c>
      <c r="G153" s="3" t="s">
        <v>11</v>
      </c>
      <c r="H153" s="3" t="s">
        <v>13</v>
      </c>
      <c r="I153" s="3" t="s">
        <v>21</v>
      </c>
      <c r="J153" s="3" t="s">
        <v>48</v>
      </c>
      <c r="K153" s="3" t="s">
        <v>143</v>
      </c>
      <c r="L153" s="3">
        <v>26</v>
      </c>
      <c r="M153">
        <v>16233</v>
      </c>
      <c r="N153">
        <v>16256</v>
      </c>
      <c r="O153">
        <v>15821</v>
      </c>
      <c r="P153">
        <v>15717</v>
      </c>
      <c r="Q153">
        <v>0.99342645850451905</v>
      </c>
      <c r="R153">
        <v>10</v>
      </c>
      <c r="S153">
        <v>0.560299644132639</v>
      </c>
      <c r="T153">
        <v>0.243335043659161</v>
      </c>
    </row>
    <row r="154" spans="1:20" x14ac:dyDescent="0.2">
      <c r="A154" t="str">
        <f t="shared" si="2"/>
        <v>sample_16S-A-C02-L0_anaCS-Subj5-C02</v>
      </c>
      <c r="B154" t="s">
        <v>391</v>
      </c>
      <c r="C154" s="3" t="s">
        <v>9</v>
      </c>
      <c r="D154" s="3" t="s">
        <v>7</v>
      </c>
      <c r="E154" s="3" t="s">
        <v>3</v>
      </c>
      <c r="F154" s="3" t="s">
        <v>48</v>
      </c>
      <c r="G154" s="3" t="s">
        <v>18</v>
      </c>
      <c r="H154" s="3" t="s">
        <v>13</v>
      </c>
      <c r="I154" s="3" t="s">
        <v>19</v>
      </c>
      <c r="J154" s="3" t="s">
        <v>48</v>
      </c>
      <c r="K154" s="3" t="s">
        <v>143</v>
      </c>
      <c r="L154" s="3">
        <v>26</v>
      </c>
      <c r="M154">
        <v>97107</v>
      </c>
      <c r="N154">
        <v>97140</v>
      </c>
      <c r="O154">
        <v>96044</v>
      </c>
      <c r="P154">
        <v>89403</v>
      </c>
      <c r="Q154">
        <v>0.93085460830452704</v>
      </c>
      <c r="R154">
        <v>21</v>
      </c>
      <c r="S154">
        <v>1.8349248975005601</v>
      </c>
      <c r="T154">
        <v>0.60269711753960398</v>
      </c>
    </row>
    <row r="155" spans="1:20" x14ac:dyDescent="0.2">
      <c r="A155" t="str">
        <f t="shared" si="2"/>
        <v>sample_16S-A-C02-L1_anaCS-Subj6-C02</v>
      </c>
      <c r="B155" t="s">
        <v>392</v>
      </c>
      <c r="C155" s="3" t="s">
        <v>9</v>
      </c>
      <c r="D155" s="3" t="s">
        <v>7</v>
      </c>
      <c r="E155" s="3" t="s">
        <v>3</v>
      </c>
      <c r="F155" s="3" t="s">
        <v>48</v>
      </c>
      <c r="G155" s="3" t="s">
        <v>20</v>
      </c>
      <c r="H155" s="3" t="s">
        <v>13</v>
      </c>
      <c r="I155" s="3" t="s">
        <v>21</v>
      </c>
      <c r="J155" s="3" t="s">
        <v>48</v>
      </c>
      <c r="K155" s="3" t="s">
        <v>143</v>
      </c>
      <c r="L155" s="3">
        <v>26</v>
      </c>
      <c r="M155">
        <v>63184</v>
      </c>
      <c r="N155">
        <v>63188</v>
      </c>
      <c r="O155">
        <v>62614</v>
      </c>
      <c r="P155">
        <v>59374</v>
      </c>
      <c r="Q155">
        <v>0.94825438400357698</v>
      </c>
      <c r="R155">
        <v>22</v>
      </c>
      <c r="S155">
        <v>1.2506640722773701</v>
      </c>
      <c r="T155">
        <v>0.40460915407957798</v>
      </c>
    </row>
    <row r="156" spans="1:20" x14ac:dyDescent="0.2">
      <c r="A156" t="str">
        <f t="shared" si="2"/>
        <v>sample_16S-A-C02-L2_anaCS-Subj5-C02</v>
      </c>
      <c r="B156" t="s">
        <v>393</v>
      </c>
      <c r="C156" s="3" t="s">
        <v>9</v>
      </c>
      <c r="D156" s="3" t="s">
        <v>7</v>
      </c>
      <c r="E156" s="3" t="s">
        <v>3</v>
      </c>
      <c r="F156" s="3" t="s">
        <v>48</v>
      </c>
      <c r="G156" s="3" t="s">
        <v>22</v>
      </c>
      <c r="H156" s="3" t="s">
        <v>13</v>
      </c>
      <c r="I156" s="3" t="s">
        <v>19</v>
      </c>
      <c r="J156" s="3" t="s">
        <v>48</v>
      </c>
      <c r="K156" s="3" t="s">
        <v>143</v>
      </c>
      <c r="L156" s="3">
        <v>26</v>
      </c>
      <c r="M156">
        <v>58603</v>
      </c>
      <c r="N156">
        <v>58709</v>
      </c>
      <c r="O156">
        <v>57726</v>
      </c>
      <c r="P156">
        <v>53080</v>
      </c>
      <c r="Q156">
        <v>0.91951633579323</v>
      </c>
      <c r="R156">
        <v>17</v>
      </c>
      <c r="S156">
        <v>1.7789092961836299</v>
      </c>
      <c r="T156">
        <v>0.62787692988796595</v>
      </c>
    </row>
    <row r="157" spans="1:20" x14ac:dyDescent="0.2">
      <c r="A157" t="str">
        <f t="shared" si="2"/>
        <v>sample_16S-A-C02-L3_anaCS-Subj6-C02</v>
      </c>
      <c r="B157" t="s">
        <v>394</v>
      </c>
      <c r="C157" s="3" t="s">
        <v>9</v>
      </c>
      <c r="D157" s="3" t="s">
        <v>7</v>
      </c>
      <c r="E157" s="3" t="s">
        <v>3</v>
      </c>
      <c r="F157" s="3" t="s">
        <v>48</v>
      </c>
      <c r="G157" s="3" t="s">
        <v>23</v>
      </c>
      <c r="H157" s="3" t="s">
        <v>13</v>
      </c>
      <c r="I157" s="3" t="s">
        <v>21</v>
      </c>
      <c r="J157" s="3" t="s">
        <v>48</v>
      </c>
      <c r="K157" s="3" t="s">
        <v>143</v>
      </c>
      <c r="L157" s="3">
        <v>26</v>
      </c>
      <c r="M157">
        <v>56104</v>
      </c>
      <c r="N157">
        <v>56101</v>
      </c>
      <c r="O157">
        <v>55625</v>
      </c>
      <c r="P157">
        <v>52742</v>
      </c>
      <c r="Q157">
        <v>0.94817078651685405</v>
      </c>
      <c r="R157">
        <v>24</v>
      </c>
      <c r="S157">
        <v>1.182044245405</v>
      </c>
      <c r="T157">
        <v>0.37193965505473803</v>
      </c>
    </row>
    <row r="158" spans="1:20" x14ac:dyDescent="0.2">
      <c r="A158" t="str">
        <f t="shared" si="2"/>
        <v>sample_16S-A-C03-L0_anaCS-Subj5-C03</v>
      </c>
      <c r="B158" t="s">
        <v>395</v>
      </c>
      <c r="C158" s="3" t="s">
        <v>9</v>
      </c>
      <c r="D158" s="3" t="s">
        <v>7</v>
      </c>
      <c r="E158" s="3" t="s">
        <v>3</v>
      </c>
      <c r="F158" s="3" t="s">
        <v>49</v>
      </c>
      <c r="G158" s="3" t="s">
        <v>18</v>
      </c>
      <c r="H158" s="3" t="s">
        <v>13</v>
      </c>
      <c r="I158" s="3" t="s">
        <v>19</v>
      </c>
      <c r="J158" s="3" t="s">
        <v>49</v>
      </c>
      <c r="K158" s="3" t="s">
        <v>144</v>
      </c>
      <c r="L158" s="3">
        <v>27</v>
      </c>
      <c r="M158">
        <v>76081</v>
      </c>
      <c r="N158">
        <v>76115</v>
      </c>
      <c r="O158">
        <v>74890</v>
      </c>
      <c r="P158">
        <v>65886</v>
      </c>
      <c r="Q158">
        <v>0.87977032981706504</v>
      </c>
      <c r="R158">
        <v>28</v>
      </c>
      <c r="S158">
        <v>2.0319036377401898</v>
      </c>
      <c r="T158">
        <v>0.60977759064174397</v>
      </c>
    </row>
    <row r="159" spans="1:20" x14ac:dyDescent="0.2">
      <c r="A159" t="str">
        <f t="shared" si="2"/>
        <v>sample_16S-A-C03-L1_anaCS-Subj6-C03</v>
      </c>
      <c r="B159" t="s">
        <v>396</v>
      </c>
      <c r="C159" s="3" t="s">
        <v>9</v>
      </c>
      <c r="D159" s="3" t="s">
        <v>7</v>
      </c>
      <c r="E159" s="3" t="s">
        <v>3</v>
      </c>
      <c r="F159" s="3" t="s">
        <v>49</v>
      </c>
      <c r="G159" s="3" t="s">
        <v>20</v>
      </c>
      <c r="H159" s="3" t="s">
        <v>13</v>
      </c>
      <c r="I159" s="3" t="s">
        <v>21</v>
      </c>
      <c r="J159" s="3" t="s">
        <v>49</v>
      </c>
      <c r="K159" s="3" t="s">
        <v>144</v>
      </c>
      <c r="L159" s="3">
        <v>27</v>
      </c>
      <c r="M159">
        <v>64618</v>
      </c>
      <c r="N159">
        <v>64673</v>
      </c>
      <c r="O159">
        <v>63852</v>
      </c>
      <c r="P159">
        <v>56484</v>
      </c>
      <c r="Q159">
        <v>0.88460815636158596</v>
      </c>
      <c r="R159">
        <v>26</v>
      </c>
      <c r="S159">
        <v>1.43503091196782</v>
      </c>
      <c r="T159">
        <v>0.44045070341570097</v>
      </c>
    </row>
    <row r="160" spans="1:20" x14ac:dyDescent="0.2">
      <c r="A160" t="str">
        <f t="shared" si="2"/>
        <v>sample_16S-A-C03-L2_anaCS-Subj5-C03</v>
      </c>
      <c r="B160" t="s">
        <v>397</v>
      </c>
      <c r="C160" s="3" t="s">
        <v>9</v>
      </c>
      <c r="D160" s="3" t="s">
        <v>7</v>
      </c>
      <c r="E160" s="3" t="s">
        <v>3</v>
      </c>
      <c r="F160" s="3" t="s">
        <v>49</v>
      </c>
      <c r="G160" s="3" t="s">
        <v>22</v>
      </c>
      <c r="H160" s="3" t="s">
        <v>13</v>
      </c>
      <c r="I160" s="3" t="s">
        <v>19</v>
      </c>
      <c r="J160" s="3" t="s">
        <v>49</v>
      </c>
      <c r="K160" s="3" t="s">
        <v>144</v>
      </c>
      <c r="L160" s="3">
        <v>27</v>
      </c>
      <c r="M160">
        <v>93147</v>
      </c>
      <c r="N160">
        <v>93131</v>
      </c>
      <c r="O160">
        <v>91266</v>
      </c>
      <c r="P160">
        <v>74164</v>
      </c>
      <c r="Q160">
        <v>0.81261367869743395</v>
      </c>
      <c r="R160">
        <v>31</v>
      </c>
      <c r="S160">
        <v>2.1280290400483501</v>
      </c>
      <c r="T160">
        <v>0.619696263652037</v>
      </c>
    </row>
    <row r="161" spans="1:20" x14ac:dyDescent="0.2">
      <c r="A161" t="str">
        <f t="shared" si="2"/>
        <v>sample_16S-A-C03-L3_anaCS-Subj6-C03</v>
      </c>
      <c r="B161" t="s">
        <v>398</v>
      </c>
      <c r="C161" s="3" t="s">
        <v>9</v>
      </c>
      <c r="D161" s="3" t="s">
        <v>7</v>
      </c>
      <c r="E161" s="3" t="s">
        <v>3</v>
      </c>
      <c r="F161" s="3" t="s">
        <v>49</v>
      </c>
      <c r="G161" s="3" t="s">
        <v>23</v>
      </c>
      <c r="H161" s="3" t="s">
        <v>13</v>
      </c>
      <c r="I161" s="3" t="s">
        <v>21</v>
      </c>
      <c r="J161" s="3" t="s">
        <v>49</v>
      </c>
      <c r="K161" s="3" t="s">
        <v>144</v>
      </c>
      <c r="L161" s="3">
        <v>27</v>
      </c>
      <c r="M161">
        <v>100852</v>
      </c>
      <c r="N161">
        <v>100992</v>
      </c>
      <c r="O161">
        <v>99465</v>
      </c>
      <c r="P161">
        <v>86202</v>
      </c>
      <c r="Q161">
        <v>0.86665661287890206</v>
      </c>
      <c r="R161">
        <v>29</v>
      </c>
      <c r="S161">
        <v>1.47460423169183</v>
      </c>
      <c r="T161">
        <v>0.43791941847228599</v>
      </c>
    </row>
    <row r="162" spans="1:20" x14ac:dyDescent="0.2">
      <c r="A162" t="str">
        <f t="shared" si="2"/>
        <v>sample_HS-CS5_C03_Rifabutin_S411</v>
      </c>
      <c r="B162" t="s">
        <v>399</v>
      </c>
      <c r="C162" s="3" t="s">
        <v>10</v>
      </c>
      <c r="D162" s="3" t="s">
        <v>8</v>
      </c>
      <c r="E162" s="3" t="s">
        <v>11</v>
      </c>
      <c r="F162" s="3" t="s">
        <v>11</v>
      </c>
      <c r="G162" s="3" t="s">
        <v>11</v>
      </c>
      <c r="H162" s="3" t="s">
        <v>13</v>
      </c>
      <c r="I162" s="3" t="s">
        <v>19</v>
      </c>
      <c r="J162" s="3" t="s">
        <v>49</v>
      </c>
      <c r="K162" s="3" t="s">
        <v>144</v>
      </c>
      <c r="L162" s="3">
        <v>27</v>
      </c>
      <c r="M162">
        <v>33660</v>
      </c>
      <c r="N162">
        <v>33680</v>
      </c>
      <c r="O162">
        <v>32372</v>
      </c>
      <c r="P162">
        <v>29425</v>
      </c>
      <c r="Q162">
        <v>0.90896453725441695</v>
      </c>
      <c r="R162">
        <v>18</v>
      </c>
      <c r="S162">
        <v>1.8224641061903899</v>
      </c>
      <c r="T162">
        <v>0.630529308630154</v>
      </c>
    </row>
    <row r="163" spans="1:20" x14ac:dyDescent="0.2">
      <c r="A163" t="str">
        <f t="shared" si="2"/>
        <v>sample_HS-CS6_C03_Rifabutin_S507</v>
      </c>
      <c r="B163" t="s">
        <v>400</v>
      </c>
      <c r="C163" s="3" t="s">
        <v>10</v>
      </c>
      <c r="D163" s="3" t="s">
        <v>8</v>
      </c>
      <c r="E163" s="3" t="s">
        <v>11</v>
      </c>
      <c r="F163" s="3" t="s">
        <v>11</v>
      </c>
      <c r="G163" s="3" t="s">
        <v>11</v>
      </c>
      <c r="H163" s="3" t="s">
        <v>13</v>
      </c>
      <c r="I163" s="3" t="s">
        <v>21</v>
      </c>
      <c r="J163" s="3" t="s">
        <v>49</v>
      </c>
      <c r="K163" s="3" t="s">
        <v>144</v>
      </c>
      <c r="L163" s="3">
        <v>27</v>
      </c>
      <c r="M163">
        <v>15346</v>
      </c>
      <c r="N163">
        <v>15374</v>
      </c>
      <c r="O163">
        <v>15040</v>
      </c>
      <c r="P163">
        <v>14160</v>
      </c>
      <c r="Q163">
        <v>0.94148936170212805</v>
      </c>
      <c r="R163">
        <v>13</v>
      </c>
      <c r="S163">
        <v>0.85141418479632403</v>
      </c>
      <c r="T163">
        <v>0.33194190845114602</v>
      </c>
    </row>
    <row r="164" spans="1:20" x14ac:dyDescent="0.2">
      <c r="A164" t="str">
        <f t="shared" si="2"/>
        <v>sample_HS-CS5_C04_Doxycycline_S412</v>
      </c>
      <c r="B164" t="s">
        <v>401</v>
      </c>
      <c r="C164" s="3" t="s">
        <v>10</v>
      </c>
      <c r="D164" s="3" t="s">
        <v>8</v>
      </c>
      <c r="E164" s="3" t="s">
        <v>11</v>
      </c>
      <c r="F164" s="3" t="s">
        <v>11</v>
      </c>
      <c r="G164" s="3" t="s">
        <v>11</v>
      </c>
      <c r="H164" s="3" t="s">
        <v>13</v>
      </c>
      <c r="I164" s="3" t="s">
        <v>19</v>
      </c>
      <c r="J164" s="3" t="s">
        <v>50</v>
      </c>
      <c r="K164" s="3" t="s">
        <v>145</v>
      </c>
      <c r="L164" s="3">
        <v>28</v>
      </c>
      <c r="M164">
        <v>19280</v>
      </c>
      <c r="N164">
        <v>19290</v>
      </c>
      <c r="O164">
        <v>18972</v>
      </c>
      <c r="P164">
        <v>18357</v>
      </c>
      <c r="Q164">
        <v>0.96758380771663499</v>
      </c>
      <c r="R164">
        <v>36</v>
      </c>
      <c r="S164">
        <v>2.1040174985895801</v>
      </c>
      <c r="T164">
        <v>0.58713726220630802</v>
      </c>
    </row>
    <row r="165" spans="1:20" x14ac:dyDescent="0.2">
      <c r="A165" t="str">
        <f t="shared" si="2"/>
        <v>sample_HS-CS6_C04_Doxycycline_S508</v>
      </c>
      <c r="B165" t="s">
        <v>402</v>
      </c>
      <c r="C165" s="3" t="s">
        <v>10</v>
      </c>
      <c r="D165" s="3" t="s">
        <v>8</v>
      </c>
      <c r="E165" s="3" t="s">
        <v>11</v>
      </c>
      <c r="F165" s="3" t="s">
        <v>11</v>
      </c>
      <c r="G165" s="3" t="s">
        <v>11</v>
      </c>
      <c r="H165" s="3" t="s">
        <v>13</v>
      </c>
      <c r="I165" s="3" t="s">
        <v>21</v>
      </c>
      <c r="J165" s="3" t="s">
        <v>50</v>
      </c>
      <c r="K165" s="3" t="s">
        <v>145</v>
      </c>
      <c r="L165" s="3">
        <v>28</v>
      </c>
      <c r="M165">
        <v>18307</v>
      </c>
      <c r="N165">
        <v>18339</v>
      </c>
      <c r="O165">
        <v>18131</v>
      </c>
      <c r="P165">
        <v>18092</v>
      </c>
      <c r="Q165">
        <v>0.99784898792123999</v>
      </c>
      <c r="R165">
        <v>7</v>
      </c>
      <c r="S165">
        <v>0.10577090012015999</v>
      </c>
      <c r="T165">
        <v>5.4355490242706798E-2</v>
      </c>
    </row>
    <row r="166" spans="1:20" x14ac:dyDescent="0.2">
      <c r="A166" t="str">
        <f t="shared" si="2"/>
        <v>sample_16S-A-C04-L0_anaCS-Subj5-C04</v>
      </c>
      <c r="B166" t="s">
        <v>403</v>
      </c>
      <c r="C166" s="3" t="s">
        <v>9</v>
      </c>
      <c r="D166" s="3" t="s">
        <v>7</v>
      </c>
      <c r="E166" s="3" t="s">
        <v>3</v>
      </c>
      <c r="F166" s="3" t="s">
        <v>50</v>
      </c>
      <c r="G166" s="3" t="s">
        <v>18</v>
      </c>
      <c r="H166" s="3" t="s">
        <v>13</v>
      </c>
      <c r="I166" s="3" t="s">
        <v>19</v>
      </c>
      <c r="J166" s="3" t="s">
        <v>50</v>
      </c>
      <c r="K166" s="3" t="s">
        <v>145</v>
      </c>
      <c r="L166" s="3">
        <v>28</v>
      </c>
      <c r="M166">
        <v>87533</v>
      </c>
      <c r="N166">
        <v>87585</v>
      </c>
      <c r="O166">
        <v>87072</v>
      </c>
      <c r="P166">
        <v>85439</v>
      </c>
      <c r="Q166">
        <v>0.98124540610069799</v>
      </c>
      <c r="R166">
        <v>54</v>
      </c>
      <c r="S166">
        <v>2.3880533031469899</v>
      </c>
      <c r="T166">
        <v>0.59866203405948004</v>
      </c>
    </row>
    <row r="167" spans="1:20" x14ac:dyDescent="0.2">
      <c r="A167" t="str">
        <f t="shared" si="2"/>
        <v>sample_16S-A-C04-L1_anaCS-Subj6-C04</v>
      </c>
      <c r="B167" t="s">
        <v>404</v>
      </c>
      <c r="C167" s="3" t="s">
        <v>9</v>
      </c>
      <c r="D167" s="3" t="s">
        <v>7</v>
      </c>
      <c r="E167" s="3" t="s">
        <v>3</v>
      </c>
      <c r="F167" s="3" t="s">
        <v>50</v>
      </c>
      <c r="G167" s="3" t="s">
        <v>20</v>
      </c>
      <c r="H167" s="3" t="s">
        <v>13</v>
      </c>
      <c r="I167" s="3" t="s">
        <v>21</v>
      </c>
      <c r="J167" s="3" t="s">
        <v>50</v>
      </c>
      <c r="K167" s="3" t="s">
        <v>145</v>
      </c>
      <c r="L167" s="3">
        <v>28</v>
      </c>
      <c r="M167">
        <v>70117</v>
      </c>
      <c r="N167">
        <v>70119</v>
      </c>
      <c r="O167">
        <v>69885</v>
      </c>
      <c r="P167">
        <v>67048</v>
      </c>
      <c r="Q167">
        <v>0.95940473635257895</v>
      </c>
      <c r="R167">
        <v>19</v>
      </c>
      <c r="S167">
        <v>0.370822170977118</v>
      </c>
      <c r="T167">
        <v>0.12593983899849601</v>
      </c>
    </row>
    <row r="168" spans="1:20" x14ac:dyDescent="0.2">
      <c r="A168" t="str">
        <f t="shared" si="2"/>
        <v>sample_16S-A-C04-L2_anaCS-Subj5-C04</v>
      </c>
      <c r="B168" t="s">
        <v>405</v>
      </c>
      <c r="C168" s="3" t="s">
        <v>9</v>
      </c>
      <c r="D168" s="3" t="s">
        <v>7</v>
      </c>
      <c r="E168" s="3" t="s">
        <v>3</v>
      </c>
      <c r="F168" s="3" t="s">
        <v>50</v>
      </c>
      <c r="G168" s="3" t="s">
        <v>22</v>
      </c>
      <c r="H168" s="3" t="s">
        <v>13</v>
      </c>
      <c r="I168" s="3" t="s">
        <v>19</v>
      </c>
      <c r="J168" s="3" t="s">
        <v>50</v>
      </c>
      <c r="K168" s="3" t="s">
        <v>145</v>
      </c>
      <c r="L168" s="3">
        <v>28</v>
      </c>
      <c r="M168">
        <v>70376</v>
      </c>
      <c r="N168">
        <v>70446</v>
      </c>
      <c r="O168">
        <v>69782</v>
      </c>
      <c r="P168">
        <v>67685</v>
      </c>
      <c r="Q168">
        <v>0.96994927058553804</v>
      </c>
      <c r="R168">
        <v>50</v>
      </c>
      <c r="S168">
        <v>2.4326493266968199</v>
      </c>
      <c r="T168">
        <v>0.62183921805198605</v>
      </c>
    </row>
    <row r="169" spans="1:20" x14ac:dyDescent="0.2">
      <c r="A169" t="str">
        <f t="shared" si="2"/>
        <v>sample_16S-A-C04-L3_anaCS-Subj6-C04</v>
      </c>
      <c r="B169" t="s">
        <v>406</v>
      </c>
      <c r="C169" s="3" t="s">
        <v>9</v>
      </c>
      <c r="D169" s="3" t="s">
        <v>7</v>
      </c>
      <c r="E169" s="3" t="s">
        <v>3</v>
      </c>
      <c r="F169" s="3" t="s">
        <v>50</v>
      </c>
      <c r="G169" s="3" t="s">
        <v>23</v>
      </c>
      <c r="H169" s="3" t="s">
        <v>13</v>
      </c>
      <c r="I169" s="3" t="s">
        <v>21</v>
      </c>
      <c r="J169" s="3" t="s">
        <v>50</v>
      </c>
      <c r="K169" s="3" t="s">
        <v>145</v>
      </c>
      <c r="L169" s="3">
        <v>28</v>
      </c>
      <c r="M169">
        <v>71268</v>
      </c>
      <c r="N169">
        <v>71304</v>
      </c>
      <c r="O169">
        <v>71142</v>
      </c>
      <c r="P169">
        <v>67926</v>
      </c>
      <c r="Q169">
        <v>0.95479463607995296</v>
      </c>
      <c r="R169">
        <v>14</v>
      </c>
      <c r="S169">
        <v>0.33857287646427597</v>
      </c>
      <c r="T169">
        <v>0.128293111583762</v>
      </c>
    </row>
    <row r="170" spans="1:20" x14ac:dyDescent="0.2">
      <c r="A170" t="str">
        <f t="shared" si="2"/>
        <v>sample_HS-CS5_C05_Dicloxacillin-sodium_S413</v>
      </c>
      <c r="B170" t="s">
        <v>407</v>
      </c>
      <c r="C170" s="3" t="s">
        <v>10</v>
      </c>
      <c r="D170" s="3" t="s">
        <v>8</v>
      </c>
      <c r="E170" s="3" t="s">
        <v>11</v>
      </c>
      <c r="F170" s="3" t="s">
        <v>11</v>
      </c>
      <c r="G170" s="3" t="s">
        <v>11</v>
      </c>
      <c r="H170" s="3" t="s">
        <v>13</v>
      </c>
      <c r="I170" s="3" t="s">
        <v>19</v>
      </c>
      <c r="J170" s="3" t="s">
        <v>51</v>
      </c>
      <c r="K170" s="3" t="s">
        <v>146</v>
      </c>
      <c r="L170" s="3">
        <v>29</v>
      </c>
      <c r="M170">
        <v>20323</v>
      </c>
      <c r="N170">
        <v>20346</v>
      </c>
      <c r="O170">
        <v>19877</v>
      </c>
      <c r="P170">
        <v>19295</v>
      </c>
      <c r="Q170">
        <v>0.97071992755446002</v>
      </c>
      <c r="R170">
        <v>32</v>
      </c>
      <c r="S170">
        <v>1.8676988842058799</v>
      </c>
      <c r="T170">
        <v>0.53890398362353498</v>
      </c>
    </row>
    <row r="171" spans="1:20" x14ac:dyDescent="0.2">
      <c r="A171" t="str">
        <f t="shared" si="2"/>
        <v>sample_HS-CS6_C05_Dicloxacillin-sodium_S509</v>
      </c>
      <c r="B171" t="s">
        <v>408</v>
      </c>
      <c r="C171" s="3" t="s">
        <v>10</v>
      </c>
      <c r="D171" s="3" t="s">
        <v>8</v>
      </c>
      <c r="E171" s="3" t="s">
        <v>11</v>
      </c>
      <c r="F171" s="3" t="s">
        <v>11</v>
      </c>
      <c r="G171" s="3" t="s">
        <v>11</v>
      </c>
      <c r="H171" s="3" t="s">
        <v>13</v>
      </c>
      <c r="I171" s="3" t="s">
        <v>21</v>
      </c>
      <c r="J171" s="3" t="s">
        <v>51</v>
      </c>
      <c r="K171" s="3" t="s">
        <v>146</v>
      </c>
      <c r="L171" s="3">
        <v>29</v>
      </c>
      <c r="M171">
        <v>13233</v>
      </c>
      <c r="N171">
        <v>13253</v>
      </c>
      <c r="O171">
        <v>12839</v>
      </c>
      <c r="P171">
        <v>12548</v>
      </c>
      <c r="Q171">
        <v>0.97733468338655705</v>
      </c>
      <c r="R171">
        <v>20</v>
      </c>
      <c r="S171">
        <v>1.1249049870907899</v>
      </c>
      <c r="T171">
        <v>0.37550250969398402</v>
      </c>
    </row>
    <row r="172" spans="1:20" x14ac:dyDescent="0.2">
      <c r="A172" t="str">
        <f t="shared" si="2"/>
        <v>sample_16S-A-C05-L0_anaCS-Subj5-C05</v>
      </c>
      <c r="B172" t="s">
        <v>409</v>
      </c>
      <c r="C172" s="3" t="s">
        <v>9</v>
      </c>
      <c r="D172" s="3" t="s">
        <v>7</v>
      </c>
      <c r="E172" s="3" t="s">
        <v>3</v>
      </c>
      <c r="F172" s="3" t="s">
        <v>51</v>
      </c>
      <c r="G172" s="3" t="s">
        <v>18</v>
      </c>
      <c r="H172" s="3" t="s">
        <v>13</v>
      </c>
      <c r="I172" s="3" t="s">
        <v>19</v>
      </c>
      <c r="J172" s="3" t="s">
        <v>51</v>
      </c>
      <c r="K172" s="3" t="s">
        <v>146</v>
      </c>
      <c r="L172" s="3">
        <v>29</v>
      </c>
      <c r="M172">
        <v>120394</v>
      </c>
      <c r="N172">
        <v>120544</v>
      </c>
      <c r="O172">
        <v>118954</v>
      </c>
      <c r="P172">
        <v>108202</v>
      </c>
      <c r="Q172">
        <v>0.90961211897035799</v>
      </c>
      <c r="R172">
        <v>49</v>
      </c>
      <c r="S172">
        <v>2.6016173464923198</v>
      </c>
      <c r="T172">
        <v>0.66848342092139701</v>
      </c>
    </row>
    <row r="173" spans="1:20" x14ac:dyDescent="0.2">
      <c r="A173" t="str">
        <f t="shared" si="2"/>
        <v>sample_16S-A-C05-L1_anaCS-Subj6-C05</v>
      </c>
      <c r="B173" t="s">
        <v>410</v>
      </c>
      <c r="C173" s="3" t="s">
        <v>9</v>
      </c>
      <c r="D173" s="3" t="s">
        <v>7</v>
      </c>
      <c r="E173" s="3" t="s">
        <v>3</v>
      </c>
      <c r="F173" s="3" t="s">
        <v>51</v>
      </c>
      <c r="G173" s="3" t="s">
        <v>20</v>
      </c>
      <c r="H173" s="3" t="s">
        <v>13</v>
      </c>
      <c r="I173" s="3" t="s">
        <v>21</v>
      </c>
      <c r="J173" s="3" t="s">
        <v>51</v>
      </c>
      <c r="K173" s="3" t="s">
        <v>146</v>
      </c>
      <c r="L173" s="3">
        <v>29</v>
      </c>
      <c r="M173">
        <v>71285</v>
      </c>
      <c r="N173">
        <v>71378</v>
      </c>
      <c r="O173">
        <v>70517</v>
      </c>
      <c r="P173">
        <v>64104</v>
      </c>
      <c r="Q173">
        <v>0.90905739041649503</v>
      </c>
      <c r="R173">
        <v>39</v>
      </c>
      <c r="S173">
        <v>2.0747469083283701</v>
      </c>
      <c r="T173">
        <v>0.56631963884659198</v>
      </c>
    </row>
    <row r="174" spans="1:20" x14ac:dyDescent="0.2">
      <c r="A174" t="str">
        <f t="shared" si="2"/>
        <v>sample_16S-A-C05-L2_anaCS-Subj5-C05</v>
      </c>
      <c r="B174" t="s">
        <v>411</v>
      </c>
      <c r="C174" s="3" t="s">
        <v>9</v>
      </c>
      <c r="D174" s="3" t="s">
        <v>7</v>
      </c>
      <c r="E174" s="3" t="s">
        <v>3</v>
      </c>
      <c r="F174" s="3" t="s">
        <v>51</v>
      </c>
      <c r="G174" s="3" t="s">
        <v>22</v>
      </c>
      <c r="H174" s="3" t="s">
        <v>13</v>
      </c>
      <c r="I174" s="3" t="s">
        <v>19</v>
      </c>
      <c r="J174" s="3" t="s">
        <v>51</v>
      </c>
      <c r="K174" s="3" t="s">
        <v>146</v>
      </c>
      <c r="L174" s="3">
        <v>29</v>
      </c>
      <c r="M174">
        <v>82538</v>
      </c>
      <c r="N174">
        <v>82572</v>
      </c>
      <c r="O174">
        <v>81130</v>
      </c>
      <c r="P174">
        <v>70790</v>
      </c>
      <c r="Q174">
        <v>0.87255022802908899</v>
      </c>
      <c r="R174">
        <v>53</v>
      </c>
      <c r="S174">
        <v>2.5565387314563401</v>
      </c>
      <c r="T174">
        <v>0.64391706885075695</v>
      </c>
    </row>
    <row r="175" spans="1:20" x14ac:dyDescent="0.2">
      <c r="A175" t="str">
        <f t="shared" si="2"/>
        <v>sample_16S-A-C05-L3_anaCS-Subj6-C05</v>
      </c>
      <c r="B175" t="s">
        <v>412</v>
      </c>
      <c r="C175" s="3" t="s">
        <v>9</v>
      </c>
      <c r="D175" s="3" t="s">
        <v>7</v>
      </c>
      <c r="E175" s="3" t="s">
        <v>3</v>
      </c>
      <c r="F175" s="3" t="s">
        <v>51</v>
      </c>
      <c r="G175" s="3" t="s">
        <v>23</v>
      </c>
      <c r="H175" s="3" t="s">
        <v>13</v>
      </c>
      <c r="I175" s="3" t="s">
        <v>21</v>
      </c>
      <c r="J175" s="3" t="s">
        <v>51</v>
      </c>
      <c r="K175" s="3" t="s">
        <v>146</v>
      </c>
      <c r="L175" s="3">
        <v>29</v>
      </c>
      <c r="M175">
        <v>124304</v>
      </c>
      <c r="N175">
        <v>124428</v>
      </c>
      <c r="O175">
        <v>122628</v>
      </c>
      <c r="P175">
        <v>107348</v>
      </c>
      <c r="Q175">
        <v>0.87539550510486996</v>
      </c>
      <c r="R175">
        <v>49</v>
      </c>
      <c r="S175">
        <v>2.1542363357748</v>
      </c>
      <c r="T175">
        <v>0.55352924101367795</v>
      </c>
    </row>
    <row r="176" spans="1:20" x14ac:dyDescent="0.2">
      <c r="A176" t="str">
        <f t="shared" si="2"/>
        <v>sample_16S-A-C06-L0_anaCS-Subj5-C06</v>
      </c>
      <c r="B176" t="s">
        <v>413</v>
      </c>
      <c r="C176" s="3" t="s">
        <v>9</v>
      </c>
      <c r="D176" s="3" t="s">
        <v>7</v>
      </c>
      <c r="E176" s="3" t="s">
        <v>3</v>
      </c>
      <c r="F176" s="3" t="s">
        <v>52</v>
      </c>
      <c r="G176" s="3" t="s">
        <v>18</v>
      </c>
      <c r="H176" s="3" t="s">
        <v>13</v>
      </c>
      <c r="I176" s="3" t="s">
        <v>19</v>
      </c>
      <c r="J176" s="3" t="s">
        <v>52</v>
      </c>
      <c r="K176" s="3" t="s">
        <v>147</v>
      </c>
      <c r="L176" s="3">
        <v>30</v>
      </c>
      <c r="M176">
        <v>107257</v>
      </c>
      <c r="N176">
        <v>107310</v>
      </c>
      <c r="O176">
        <v>104732</v>
      </c>
      <c r="P176">
        <v>96673</v>
      </c>
      <c r="Q176">
        <v>0.92305121643814703</v>
      </c>
      <c r="R176">
        <v>60</v>
      </c>
      <c r="S176">
        <v>2.8897246098516298</v>
      </c>
      <c r="T176">
        <v>0.70578442188639501</v>
      </c>
    </row>
    <row r="177" spans="1:20" x14ac:dyDescent="0.2">
      <c r="A177" t="str">
        <f t="shared" si="2"/>
        <v>sample_16S-A-C06-L1_anaCS-Subj6-C06</v>
      </c>
      <c r="B177" t="s">
        <v>414</v>
      </c>
      <c r="C177" s="3" t="s">
        <v>9</v>
      </c>
      <c r="D177" s="3" t="s">
        <v>7</v>
      </c>
      <c r="E177" s="3" t="s">
        <v>3</v>
      </c>
      <c r="F177" s="3" t="s">
        <v>52</v>
      </c>
      <c r="G177" s="3" t="s">
        <v>20</v>
      </c>
      <c r="H177" s="3" t="s">
        <v>13</v>
      </c>
      <c r="I177" s="3" t="s">
        <v>21</v>
      </c>
      <c r="J177" s="3" t="s">
        <v>52</v>
      </c>
      <c r="K177" s="3" t="s">
        <v>147</v>
      </c>
      <c r="L177" s="3">
        <v>30</v>
      </c>
      <c r="M177">
        <v>62628</v>
      </c>
      <c r="N177">
        <v>62687</v>
      </c>
      <c r="O177">
        <v>61427</v>
      </c>
      <c r="P177">
        <v>57545</v>
      </c>
      <c r="Q177">
        <v>0.93680303449623104</v>
      </c>
      <c r="R177">
        <v>72</v>
      </c>
      <c r="S177">
        <v>2.77198887077249</v>
      </c>
      <c r="T177">
        <v>0.64816583610465395</v>
      </c>
    </row>
    <row r="178" spans="1:20" x14ac:dyDescent="0.2">
      <c r="A178" t="str">
        <f t="shared" si="2"/>
        <v>sample_16S-A-C06-L2_anaCS-Subj5-C06</v>
      </c>
      <c r="B178" t="s">
        <v>415</v>
      </c>
      <c r="C178" s="3" t="s">
        <v>9</v>
      </c>
      <c r="D178" s="3" t="s">
        <v>7</v>
      </c>
      <c r="E178" s="3" t="s">
        <v>3</v>
      </c>
      <c r="F178" s="3" t="s">
        <v>52</v>
      </c>
      <c r="G178" s="3" t="s">
        <v>22</v>
      </c>
      <c r="H178" s="3" t="s">
        <v>13</v>
      </c>
      <c r="I178" s="3" t="s">
        <v>19</v>
      </c>
      <c r="J178" s="3" t="s">
        <v>52</v>
      </c>
      <c r="K178" s="3" t="s">
        <v>147</v>
      </c>
      <c r="L178" s="3">
        <v>30</v>
      </c>
      <c r="M178">
        <v>103131</v>
      </c>
      <c r="N178">
        <v>103096</v>
      </c>
      <c r="O178">
        <v>99594</v>
      </c>
      <c r="P178">
        <v>85008</v>
      </c>
      <c r="Q178">
        <v>0.85354539430086196</v>
      </c>
      <c r="R178">
        <v>62</v>
      </c>
      <c r="S178">
        <v>2.8780239046713199</v>
      </c>
      <c r="T178">
        <v>0.69734194144489303</v>
      </c>
    </row>
    <row r="179" spans="1:20" x14ac:dyDescent="0.2">
      <c r="A179" t="str">
        <f t="shared" si="2"/>
        <v>sample_16S-A-C06-L3_anaCS-Subj6-C06</v>
      </c>
      <c r="B179" t="s">
        <v>416</v>
      </c>
      <c r="C179" s="3" t="s">
        <v>9</v>
      </c>
      <c r="D179" s="3" t="s">
        <v>7</v>
      </c>
      <c r="E179" s="3" t="s">
        <v>3</v>
      </c>
      <c r="F179" s="3" t="s">
        <v>52</v>
      </c>
      <c r="G179" s="3" t="s">
        <v>23</v>
      </c>
      <c r="H179" s="3" t="s">
        <v>13</v>
      </c>
      <c r="I179" s="3" t="s">
        <v>21</v>
      </c>
      <c r="J179" s="3" t="s">
        <v>52</v>
      </c>
      <c r="K179" s="3" t="s">
        <v>147</v>
      </c>
      <c r="L179" s="3">
        <v>30</v>
      </c>
      <c r="M179">
        <v>104845</v>
      </c>
      <c r="N179">
        <v>104870</v>
      </c>
      <c r="O179">
        <v>102083</v>
      </c>
      <c r="P179">
        <v>91327</v>
      </c>
      <c r="Q179">
        <v>0.89463475799104697</v>
      </c>
      <c r="R179">
        <v>81</v>
      </c>
      <c r="S179">
        <v>2.7697515423527501</v>
      </c>
      <c r="T179">
        <v>0.63028412546491497</v>
      </c>
    </row>
    <row r="180" spans="1:20" x14ac:dyDescent="0.2">
      <c r="A180" t="str">
        <f t="shared" si="2"/>
        <v>sample_HS-CS5_C06_Pefloxacin-mesylate_S414</v>
      </c>
      <c r="B180" t="s">
        <v>417</v>
      </c>
      <c r="C180" s="3" t="s">
        <v>10</v>
      </c>
      <c r="D180" s="3" t="s">
        <v>8</v>
      </c>
      <c r="E180" s="3" t="s">
        <v>11</v>
      </c>
      <c r="F180" s="3" t="s">
        <v>11</v>
      </c>
      <c r="G180" s="3" t="s">
        <v>11</v>
      </c>
      <c r="H180" s="3" t="s">
        <v>13</v>
      </c>
      <c r="I180" s="3" t="s">
        <v>19</v>
      </c>
      <c r="J180" s="3" t="s">
        <v>52</v>
      </c>
      <c r="K180" s="3" t="s">
        <v>147</v>
      </c>
      <c r="L180" s="3">
        <v>30</v>
      </c>
      <c r="M180">
        <v>15898</v>
      </c>
      <c r="N180">
        <v>15927</v>
      </c>
      <c r="O180">
        <v>15513</v>
      </c>
      <c r="P180">
        <v>15125</v>
      </c>
      <c r="Q180">
        <v>0.97498871913878704</v>
      </c>
      <c r="R180">
        <v>49</v>
      </c>
      <c r="S180">
        <v>2.7269143256142199</v>
      </c>
      <c r="T180">
        <v>0.70067837585873705</v>
      </c>
    </row>
    <row r="181" spans="1:20" x14ac:dyDescent="0.2">
      <c r="A181" t="str">
        <f t="shared" si="2"/>
        <v>sample_HS-CS6_C06_Pefloxacin-mesylate_S510</v>
      </c>
      <c r="B181" t="s">
        <v>418</v>
      </c>
      <c r="C181" s="3" t="s">
        <v>10</v>
      </c>
      <c r="D181" s="3" t="s">
        <v>8</v>
      </c>
      <c r="E181" s="3" t="s">
        <v>11</v>
      </c>
      <c r="F181" s="3" t="s">
        <v>11</v>
      </c>
      <c r="G181" s="3" t="s">
        <v>11</v>
      </c>
      <c r="H181" s="3" t="s">
        <v>13</v>
      </c>
      <c r="I181" s="3" t="s">
        <v>21</v>
      </c>
      <c r="J181" s="3" t="s">
        <v>52</v>
      </c>
      <c r="K181" s="3" t="s">
        <v>147</v>
      </c>
      <c r="L181" s="3">
        <v>30</v>
      </c>
      <c r="M181">
        <v>12294</v>
      </c>
      <c r="N181">
        <v>12338</v>
      </c>
      <c r="O181">
        <v>11908</v>
      </c>
      <c r="P181">
        <v>11711</v>
      </c>
      <c r="Q181">
        <v>0.98345649983204597</v>
      </c>
      <c r="R181">
        <v>38</v>
      </c>
      <c r="S181">
        <v>1.7275167168630099</v>
      </c>
      <c r="T181">
        <v>0.47490743614247599</v>
      </c>
    </row>
    <row r="182" spans="1:20" x14ac:dyDescent="0.2">
      <c r="A182" t="str">
        <f t="shared" si="2"/>
        <v>sample_16S-A-C07-L0_anaCS-Subj5-C07</v>
      </c>
      <c r="B182" t="s">
        <v>419</v>
      </c>
      <c r="C182" s="3" t="s">
        <v>9</v>
      </c>
      <c r="D182" s="3" t="s">
        <v>7</v>
      </c>
      <c r="E182" s="3" t="s">
        <v>3</v>
      </c>
      <c r="F182" s="3" t="s">
        <v>53</v>
      </c>
      <c r="G182" s="3" t="s">
        <v>18</v>
      </c>
      <c r="H182" s="3" t="s">
        <v>13</v>
      </c>
      <c r="I182" s="3" t="s">
        <v>19</v>
      </c>
      <c r="J182" s="3" t="s">
        <v>53</v>
      </c>
      <c r="K182" s="3" t="s">
        <v>148</v>
      </c>
      <c r="L182" s="3">
        <v>31</v>
      </c>
      <c r="M182">
        <v>81566</v>
      </c>
      <c r="N182">
        <v>81694</v>
      </c>
      <c r="O182">
        <v>79735</v>
      </c>
      <c r="P182">
        <v>74756</v>
      </c>
      <c r="Q182">
        <v>0.93755565310089695</v>
      </c>
      <c r="R182">
        <v>70</v>
      </c>
      <c r="S182">
        <v>2.8407488681089301</v>
      </c>
      <c r="T182">
        <v>0.668648240438802</v>
      </c>
    </row>
    <row r="183" spans="1:20" x14ac:dyDescent="0.2">
      <c r="A183" t="str">
        <f t="shared" si="2"/>
        <v>sample_16S-A-C07-L1_anaCS-Subj6-C07</v>
      </c>
      <c r="B183" t="s">
        <v>420</v>
      </c>
      <c r="C183" s="3" t="s">
        <v>9</v>
      </c>
      <c r="D183" s="3" t="s">
        <v>7</v>
      </c>
      <c r="E183" s="3" t="s">
        <v>3</v>
      </c>
      <c r="F183" s="3" t="s">
        <v>53</v>
      </c>
      <c r="G183" s="3" t="s">
        <v>20</v>
      </c>
      <c r="H183" s="3" t="s">
        <v>13</v>
      </c>
      <c r="I183" s="3" t="s">
        <v>21</v>
      </c>
      <c r="J183" s="3" t="s">
        <v>53</v>
      </c>
      <c r="K183" s="3" t="s">
        <v>148</v>
      </c>
      <c r="L183" s="3">
        <v>31</v>
      </c>
      <c r="M183">
        <v>76352</v>
      </c>
      <c r="N183">
        <v>76324</v>
      </c>
      <c r="O183">
        <v>74782</v>
      </c>
      <c r="P183">
        <v>68787</v>
      </c>
      <c r="Q183">
        <v>0.91983364980877702</v>
      </c>
      <c r="R183">
        <v>69</v>
      </c>
      <c r="S183">
        <v>2.5799800716536501</v>
      </c>
      <c r="T183">
        <v>0.60933282354905005</v>
      </c>
    </row>
    <row r="184" spans="1:20" x14ac:dyDescent="0.2">
      <c r="A184" t="str">
        <f t="shared" si="2"/>
        <v>sample_16S-A-C07-L2_anaCS-Subj5-C07</v>
      </c>
      <c r="B184" t="s">
        <v>421</v>
      </c>
      <c r="C184" s="3" t="s">
        <v>9</v>
      </c>
      <c r="D184" s="3" t="s">
        <v>7</v>
      </c>
      <c r="E184" s="3" t="s">
        <v>3</v>
      </c>
      <c r="F184" s="3" t="s">
        <v>53</v>
      </c>
      <c r="G184" s="3" t="s">
        <v>22</v>
      </c>
      <c r="H184" s="3" t="s">
        <v>13</v>
      </c>
      <c r="I184" s="3" t="s">
        <v>19</v>
      </c>
      <c r="J184" s="3" t="s">
        <v>53</v>
      </c>
      <c r="K184" s="3" t="s">
        <v>148</v>
      </c>
      <c r="L184" s="3">
        <v>31</v>
      </c>
      <c r="M184">
        <v>73923</v>
      </c>
      <c r="N184">
        <v>73992</v>
      </c>
      <c r="O184">
        <v>71574</v>
      </c>
      <c r="P184">
        <v>64473</v>
      </c>
      <c r="Q184">
        <v>0.90078799564087497</v>
      </c>
      <c r="R184">
        <v>68</v>
      </c>
      <c r="S184">
        <v>2.8264721673151998</v>
      </c>
      <c r="T184">
        <v>0.669858278454603</v>
      </c>
    </row>
    <row r="185" spans="1:20" x14ac:dyDescent="0.2">
      <c r="A185" t="str">
        <f t="shared" si="2"/>
        <v>sample_16S-A-C07-L3_anaCS-Subj6-C07</v>
      </c>
      <c r="B185" t="s">
        <v>422</v>
      </c>
      <c r="C185" s="3" t="s">
        <v>9</v>
      </c>
      <c r="D185" s="3" t="s">
        <v>7</v>
      </c>
      <c r="E185" s="3" t="s">
        <v>3</v>
      </c>
      <c r="F185" s="3" t="s">
        <v>53</v>
      </c>
      <c r="G185" s="3" t="s">
        <v>23</v>
      </c>
      <c r="H185" s="3" t="s">
        <v>13</v>
      </c>
      <c r="I185" s="3" t="s">
        <v>21</v>
      </c>
      <c r="J185" s="3" t="s">
        <v>53</v>
      </c>
      <c r="K185" s="3" t="s">
        <v>148</v>
      </c>
      <c r="L185" s="3">
        <v>31</v>
      </c>
      <c r="M185">
        <v>101901</v>
      </c>
      <c r="N185">
        <v>102011</v>
      </c>
      <c r="O185">
        <v>99380</v>
      </c>
      <c r="P185">
        <v>88273</v>
      </c>
      <c r="Q185">
        <v>0.88823706983296402</v>
      </c>
      <c r="R185">
        <v>71</v>
      </c>
      <c r="S185">
        <v>2.5257388432728498</v>
      </c>
      <c r="T185">
        <v>0.592523697797813</v>
      </c>
    </row>
    <row r="186" spans="1:20" x14ac:dyDescent="0.2">
      <c r="A186" t="str">
        <f t="shared" si="2"/>
        <v>sample_HS-CS5_C07_Repaglinide_S415</v>
      </c>
      <c r="B186" t="s">
        <v>423</v>
      </c>
      <c r="C186" s="3" t="s">
        <v>10</v>
      </c>
      <c r="D186" s="3" t="s">
        <v>8</v>
      </c>
      <c r="E186" s="3" t="s">
        <v>11</v>
      </c>
      <c r="F186" s="3" t="s">
        <v>11</v>
      </c>
      <c r="G186" s="3" t="s">
        <v>11</v>
      </c>
      <c r="H186" s="3" t="s">
        <v>13</v>
      </c>
      <c r="I186" s="3" t="s">
        <v>19</v>
      </c>
      <c r="J186" s="3" t="s">
        <v>53</v>
      </c>
      <c r="K186" s="3" t="s">
        <v>148</v>
      </c>
      <c r="L186" s="3">
        <v>31</v>
      </c>
      <c r="M186">
        <v>16560</v>
      </c>
      <c r="N186">
        <v>16648</v>
      </c>
      <c r="O186">
        <v>16176</v>
      </c>
      <c r="P186">
        <v>16085</v>
      </c>
      <c r="Q186">
        <v>0.99437438180019799</v>
      </c>
      <c r="R186">
        <v>41</v>
      </c>
      <c r="S186">
        <v>2.3588965725489102</v>
      </c>
      <c r="T186">
        <v>0.63520958532046501</v>
      </c>
    </row>
    <row r="187" spans="1:20" x14ac:dyDescent="0.2">
      <c r="A187" t="str">
        <f t="shared" si="2"/>
        <v>sample_HS-CS6_C07_Repaglinide_S511</v>
      </c>
      <c r="B187" t="s">
        <v>424</v>
      </c>
      <c r="C187" s="3" t="s">
        <v>10</v>
      </c>
      <c r="D187" s="3" t="s">
        <v>8</v>
      </c>
      <c r="E187" s="3" t="s">
        <v>11</v>
      </c>
      <c r="F187" s="3" t="s">
        <v>11</v>
      </c>
      <c r="G187" s="3" t="s">
        <v>11</v>
      </c>
      <c r="H187" s="3" t="s">
        <v>13</v>
      </c>
      <c r="I187" s="3" t="s">
        <v>21</v>
      </c>
      <c r="J187" s="3" t="s">
        <v>53</v>
      </c>
      <c r="K187" s="3" t="s">
        <v>148</v>
      </c>
      <c r="L187" s="3">
        <v>31</v>
      </c>
      <c r="M187">
        <v>10746</v>
      </c>
      <c r="N187">
        <v>10768</v>
      </c>
      <c r="O187">
        <v>10459</v>
      </c>
      <c r="P187">
        <v>10285</v>
      </c>
      <c r="Q187">
        <v>0.98336361028778996</v>
      </c>
      <c r="R187">
        <v>27</v>
      </c>
      <c r="S187">
        <v>1.3045352126876699</v>
      </c>
      <c r="T187">
        <v>0.395813041034768</v>
      </c>
    </row>
    <row r="188" spans="1:20" x14ac:dyDescent="0.2">
      <c r="A188" t="str">
        <f t="shared" si="2"/>
        <v>sample_HS-CS5_C08_Bicalutamide_S416</v>
      </c>
      <c r="B188" t="s">
        <v>425</v>
      </c>
      <c r="C188" s="3" t="s">
        <v>10</v>
      </c>
      <c r="D188" s="3" t="s">
        <v>8</v>
      </c>
      <c r="E188" s="3" t="s">
        <v>11</v>
      </c>
      <c r="F188" s="3" t="s">
        <v>11</v>
      </c>
      <c r="G188" s="3" t="s">
        <v>11</v>
      </c>
      <c r="H188" s="3" t="s">
        <v>13</v>
      </c>
      <c r="I188" s="3" t="s">
        <v>19</v>
      </c>
      <c r="J188" s="3" t="s">
        <v>54</v>
      </c>
      <c r="K188" s="3" t="s">
        <v>149</v>
      </c>
      <c r="L188" s="3">
        <v>32</v>
      </c>
      <c r="M188">
        <v>16212</v>
      </c>
      <c r="N188">
        <v>16263</v>
      </c>
      <c r="O188">
        <v>15877</v>
      </c>
      <c r="P188">
        <v>15702</v>
      </c>
      <c r="Q188">
        <v>0.988977766580588</v>
      </c>
      <c r="R188">
        <v>39</v>
      </c>
      <c r="S188">
        <v>2.3110033685744602</v>
      </c>
      <c r="T188">
        <v>0.63080782904688104</v>
      </c>
    </row>
    <row r="189" spans="1:20" x14ac:dyDescent="0.2">
      <c r="A189" t="str">
        <f t="shared" si="2"/>
        <v>sample_HS-CS6_C08_Bicalutamide_S512</v>
      </c>
      <c r="B189" t="s">
        <v>426</v>
      </c>
      <c r="C189" s="3" t="s">
        <v>10</v>
      </c>
      <c r="D189" s="3" t="s">
        <v>8</v>
      </c>
      <c r="E189" s="3" t="s">
        <v>11</v>
      </c>
      <c r="F189" s="3" t="s">
        <v>11</v>
      </c>
      <c r="G189" s="3" t="s">
        <v>11</v>
      </c>
      <c r="H189" s="3" t="s">
        <v>13</v>
      </c>
      <c r="I189" s="3" t="s">
        <v>21</v>
      </c>
      <c r="J189" s="3" t="s">
        <v>54</v>
      </c>
      <c r="K189" s="3" t="s">
        <v>149</v>
      </c>
      <c r="L189" s="3">
        <v>32</v>
      </c>
      <c r="M189">
        <v>11987</v>
      </c>
      <c r="N189">
        <v>12040</v>
      </c>
      <c r="O189">
        <v>11629</v>
      </c>
      <c r="P189">
        <v>11351</v>
      </c>
      <c r="Q189">
        <v>0.97609424714076898</v>
      </c>
      <c r="R189">
        <v>26</v>
      </c>
      <c r="S189">
        <v>1.3200874559006099</v>
      </c>
      <c r="T189">
        <v>0.40517137552414301</v>
      </c>
    </row>
    <row r="190" spans="1:20" x14ac:dyDescent="0.2">
      <c r="A190" t="str">
        <f t="shared" si="2"/>
        <v>sample_16S-A-C08-L0_anaCS-Subj5-C08</v>
      </c>
      <c r="B190" t="s">
        <v>427</v>
      </c>
      <c r="C190" s="3" t="s">
        <v>9</v>
      </c>
      <c r="D190" s="3" t="s">
        <v>7</v>
      </c>
      <c r="E190" s="3" t="s">
        <v>3</v>
      </c>
      <c r="F190" s="3" t="s">
        <v>54</v>
      </c>
      <c r="G190" s="3" t="s">
        <v>18</v>
      </c>
      <c r="H190" s="3" t="s">
        <v>13</v>
      </c>
      <c r="I190" s="3" t="s">
        <v>19</v>
      </c>
      <c r="J190" s="3" t="s">
        <v>54</v>
      </c>
      <c r="K190" s="3" t="s">
        <v>149</v>
      </c>
      <c r="L190" s="3">
        <v>32</v>
      </c>
      <c r="M190">
        <v>7074</v>
      </c>
      <c r="N190">
        <v>7122</v>
      </c>
      <c r="O190">
        <v>6850</v>
      </c>
      <c r="P190">
        <v>6799</v>
      </c>
      <c r="Q190">
        <v>0.99255474452554704</v>
      </c>
      <c r="R190" t="s">
        <v>11</v>
      </c>
      <c r="S190" t="s">
        <v>11</v>
      </c>
      <c r="T190" t="s">
        <v>11</v>
      </c>
    </row>
    <row r="191" spans="1:20" x14ac:dyDescent="0.2">
      <c r="A191" t="str">
        <f t="shared" si="2"/>
        <v>sample_16S-A-C08-L1_anaCS-Subj6-C08</v>
      </c>
      <c r="B191" t="s">
        <v>428</v>
      </c>
      <c r="C191" s="3" t="s">
        <v>9</v>
      </c>
      <c r="D191" s="3" t="s">
        <v>7</v>
      </c>
      <c r="E191" s="3" t="s">
        <v>3</v>
      </c>
      <c r="F191" s="3" t="s">
        <v>54</v>
      </c>
      <c r="G191" s="3" t="s">
        <v>20</v>
      </c>
      <c r="H191" s="3" t="s">
        <v>13</v>
      </c>
      <c r="I191" s="3" t="s">
        <v>21</v>
      </c>
      <c r="J191" s="3" t="s">
        <v>54</v>
      </c>
      <c r="K191" s="3" t="s">
        <v>149</v>
      </c>
      <c r="L191" s="3">
        <v>32</v>
      </c>
      <c r="M191">
        <v>6596</v>
      </c>
      <c r="N191">
        <v>6623</v>
      </c>
      <c r="O191">
        <v>6452</v>
      </c>
      <c r="P191">
        <v>6350</v>
      </c>
      <c r="Q191">
        <v>0.98419094854308697</v>
      </c>
      <c r="R191" t="s">
        <v>11</v>
      </c>
      <c r="S191" t="s">
        <v>11</v>
      </c>
      <c r="T191" t="s">
        <v>11</v>
      </c>
    </row>
    <row r="192" spans="1:20" x14ac:dyDescent="0.2">
      <c r="A192" t="str">
        <f t="shared" si="2"/>
        <v>sample_16S-A-C08-L2_anaCS-Subj5-C08</v>
      </c>
      <c r="B192" t="s">
        <v>429</v>
      </c>
      <c r="C192" s="3" t="s">
        <v>9</v>
      </c>
      <c r="D192" s="3" t="s">
        <v>7</v>
      </c>
      <c r="E192" s="3" t="s">
        <v>3</v>
      </c>
      <c r="F192" s="3" t="s">
        <v>54</v>
      </c>
      <c r="G192" s="3" t="s">
        <v>22</v>
      </c>
      <c r="H192" s="3" t="s">
        <v>13</v>
      </c>
      <c r="I192" s="3" t="s">
        <v>19</v>
      </c>
      <c r="J192" s="3" t="s">
        <v>54</v>
      </c>
      <c r="K192" s="3" t="s">
        <v>149</v>
      </c>
      <c r="L192" s="3">
        <v>32</v>
      </c>
      <c r="M192">
        <v>7312</v>
      </c>
      <c r="N192">
        <v>7344</v>
      </c>
      <c r="O192">
        <v>6943</v>
      </c>
      <c r="P192">
        <v>6776</v>
      </c>
      <c r="Q192">
        <v>0.97594699697537102</v>
      </c>
      <c r="R192" t="s">
        <v>11</v>
      </c>
      <c r="S192" t="s">
        <v>11</v>
      </c>
      <c r="T192" t="s">
        <v>11</v>
      </c>
    </row>
    <row r="193" spans="1:20" x14ac:dyDescent="0.2">
      <c r="A193" t="str">
        <f t="shared" si="2"/>
        <v>sample_16S-A-C08-L3_anaCS-Subj6-C08</v>
      </c>
      <c r="B193" t="s">
        <v>430</v>
      </c>
      <c r="C193" s="3" t="s">
        <v>9</v>
      </c>
      <c r="D193" s="3" t="s">
        <v>7</v>
      </c>
      <c r="E193" s="3" t="s">
        <v>3</v>
      </c>
      <c r="F193" s="3" t="s">
        <v>54</v>
      </c>
      <c r="G193" s="3" t="s">
        <v>23</v>
      </c>
      <c r="H193" s="3" t="s">
        <v>13</v>
      </c>
      <c r="I193" s="3" t="s">
        <v>21</v>
      </c>
      <c r="J193" s="3" t="s">
        <v>54</v>
      </c>
      <c r="K193" s="3" t="s">
        <v>149</v>
      </c>
      <c r="L193" s="3">
        <v>32</v>
      </c>
      <c r="M193">
        <v>8452</v>
      </c>
      <c r="N193">
        <v>8483</v>
      </c>
      <c r="O193">
        <v>8149</v>
      </c>
      <c r="P193">
        <v>7900</v>
      </c>
      <c r="Q193">
        <v>0.96944410357098998</v>
      </c>
      <c r="R193" t="s">
        <v>11</v>
      </c>
      <c r="S193" t="s">
        <v>11</v>
      </c>
      <c r="T193" t="s">
        <v>11</v>
      </c>
    </row>
    <row r="194" spans="1:20" x14ac:dyDescent="0.2">
      <c r="A194" t="str">
        <f t="shared" si="2"/>
        <v>sample_HS-CS5_C09_Doxapram-hydrochloride_S417</v>
      </c>
      <c r="B194" t="s">
        <v>431</v>
      </c>
      <c r="C194" s="3" t="s">
        <v>10</v>
      </c>
      <c r="D194" s="3" t="s">
        <v>8</v>
      </c>
      <c r="E194" s="3" t="s">
        <v>11</v>
      </c>
      <c r="F194" s="3" t="s">
        <v>11</v>
      </c>
      <c r="G194" s="3" t="s">
        <v>11</v>
      </c>
      <c r="H194" s="3" t="s">
        <v>13</v>
      </c>
      <c r="I194" s="3" t="s">
        <v>19</v>
      </c>
      <c r="J194" s="3" t="s">
        <v>55</v>
      </c>
      <c r="K194" s="3" t="s">
        <v>150</v>
      </c>
      <c r="L194" s="3">
        <v>33</v>
      </c>
      <c r="M194">
        <v>15759</v>
      </c>
      <c r="N194">
        <v>15829</v>
      </c>
      <c r="O194">
        <v>15462</v>
      </c>
      <c r="P194">
        <v>15368</v>
      </c>
      <c r="Q194">
        <v>0.99392057948518997</v>
      </c>
      <c r="R194">
        <v>43</v>
      </c>
      <c r="S194">
        <v>2.3442158068864001</v>
      </c>
      <c r="T194">
        <v>0.62326271795674604</v>
      </c>
    </row>
    <row r="195" spans="1:20" x14ac:dyDescent="0.2">
      <c r="A195" t="str">
        <f t="shared" ref="A195:A258" si="3">_xlfn.CONCAT("sample_",B195)</f>
        <v>sample_HS-CS6_C09_Doxapram-hydrochloride_S513</v>
      </c>
      <c r="B195" t="s">
        <v>432</v>
      </c>
      <c r="C195" s="3" t="s">
        <v>10</v>
      </c>
      <c r="D195" s="3" t="s">
        <v>8</v>
      </c>
      <c r="E195" s="3" t="s">
        <v>11</v>
      </c>
      <c r="F195" s="3" t="s">
        <v>11</v>
      </c>
      <c r="G195" s="3" t="s">
        <v>11</v>
      </c>
      <c r="H195" s="3" t="s">
        <v>13</v>
      </c>
      <c r="I195" s="3" t="s">
        <v>21</v>
      </c>
      <c r="J195" s="3" t="s">
        <v>55</v>
      </c>
      <c r="K195" s="3" t="s">
        <v>150</v>
      </c>
      <c r="L195" s="3">
        <v>33</v>
      </c>
      <c r="M195">
        <v>12731</v>
      </c>
      <c r="N195">
        <v>12759</v>
      </c>
      <c r="O195">
        <v>12344</v>
      </c>
      <c r="P195">
        <v>12076</v>
      </c>
      <c r="Q195">
        <v>0.97828904731043398</v>
      </c>
      <c r="R195">
        <v>29</v>
      </c>
      <c r="S195">
        <v>1.3610691413546401</v>
      </c>
      <c r="T195">
        <v>0.40420242535094097</v>
      </c>
    </row>
    <row r="196" spans="1:20" x14ac:dyDescent="0.2">
      <c r="A196" t="str">
        <f t="shared" si="3"/>
        <v>sample_16S-A-C09-L0_anaCS-Subj5-C09</v>
      </c>
      <c r="B196" t="s">
        <v>433</v>
      </c>
      <c r="C196" s="3" t="s">
        <v>9</v>
      </c>
      <c r="D196" s="3" t="s">
        <v>7</v>
      </c>
      <c r="E196" s="3" t="s">
        <v>3</v>
      </c>
      <c r="F196" s="3" t="s">
        <v>55</v>
      </c>
      <c r="G196" s="3" t="s">
        <v>18</v>
      </c>
      <c r="H196" s="3" t="s">
        <v>13</v>
      </c>
      <c r="I196" s="3" t="s">
        <v>19</v>
      </c>
      <c r="J196" s="3" t="s">
        <v>55</v>
      </c>
      <c r="K196" s="3" t="s">
        <v>150</v>
      </c>
      <c r="L196" s="3">
        <v>33</v>
      </c>
      <c r="M196">
        <v>89529</v>
      </c>
      <c r="N196">
        <v>89535</v>
      </c>
      <c r="O196">
        <v>87566</v>
      </c>
      <c r="P196">
        <v>82313</v>
      </c>
      <c r="Q196">
        <v>0.94001096315921695</v>
      </c>
      <c r="R196">
        <v>67</v>
      </c>
      <c r="S196">
        <v>2.7879390592926701</v>
      </c>
      <c r="T196">
        <v>0.66305419008167299</v>
      </c>
    </row>
    <row r="197" spans="1:20" x14ac:dyDescent="0.2">
      <c r="A197" t="str">
        <f t="shared" si="3"/>
        <v>sample_16S-A-C09-L1_anaCS-Subj6-C09</v>
      </c>
      <c r="B197" t="s">
        <v>434</v>
      </c>
      <c r="C197" s="3" t="s">
        <v>9</v>
      </c>
      <c r="D197" s="3" t="s">
        <v>7</v>
      </c>
      <c r="E197" s="3" t="s">
        <v>3</v>
      </c>
      <c r="F197" s="3" t="s">
        <v>55</v>
      </c>
      <c r="G197" s="3" t="s">
        <v>20</v>
      </c>
      <c r="H197" s="3" t="s">
        <v>13</v>
      </c>
      <c r="I197" s="3" t="s">
        <v>21</v>
      </c>
      <c r="J197" s="3" t="s">
        <v>55</v>
      </c>
      <c r="K197" s="3" t="s">
        <v>150</v>
      </c>
      <c r="L197" s="3">
        <v>33</v>
      </c>
      <c r="M197">
        <v>89279</v>
      </c>
      <c r="N197">
        <v>89426</v>
      </c>
      <c r="O197">
        <v>87425</v>
      </c>
      <c r="P197">
        <v>80021</v>
      </c>
      <c r="Q197">
        <v>0.91531026594223597</v>
      </c>
      <c r="R197">
        <v>72</v>
      </c>
      <c r="S197">
        <v>2.61833122680199</v>
      </c>
      <c r="T197">
        <v>0.61223653049735705</v>
      </c>
    </row>
    <row r="198" spans="1:20" x14ac:dyDescent="0.2">
      <c r="A198" t="str">
        <f t="shared" si="3"/>
        <v>sample_16S-A-C09-L2_anaCS-Subj5-C09</v>
      </c>
      <c r="B198" t="s">
        <v>435</v>
      </c>
      <c r="C198" s="3" t="s">
        <v>9</v>
      </c>
      <c r="D198" s="3" t="s">
        <v>7</v>
      </c>
      <c r="E198" s="3" t="s">
        <v>3</v>
      </c>
      <c r="F198" s="3" t="s">
        <v>55</v>
      </c>
      <c r="G198" s="3" t="s">
        <v>22</v>
      </c>
      <c r="H198" s="3" t="s">
        <v>13</v>
      </c>
      <c r="I198" s="3" t="s">
        <v>19</v>
      </c>
      <c r="J198" s="3" t="s">
        <v>55</v>
      </c>
      <c r="K198" s="3" t="s">
        <v>150</v>
      </c>
      <c r="L198" s="3">
        <v>33</v>
      </c>
      <c r="M198">
        <v>70768</v>
      </c>
      <c r="N198">
        <v>70823</v>
      </c>
      <c r="O198">
        <v>68688</v>
      </c>
      <c r="P198">
        <v>62174</v>
      </c>
      <c r="Q198">
        <v>0.90516538551129699</v>
      </c>
      <c r="R198">
        <v>67</v>
      </c>
      <c r="S198">
        <v>2.73276896937297</v>
      </c>
      <c r="T198">
        <v>0.64993311443746005</v>
      </c>
    </row>
    <row r="199" spans="1:20" x14ac:dyDescent="0.2">
      <c r="A199" t="str">
        <f t="shared" si="3"/>
        <v>sample_16S-A-C09-L3_anaCS-Subj6-C09</v>
      </c>
      <c r="B199" t="s">
        <v>436</v>
      </c>
      <c r="C199" s="3" t="s">
        <v>9</v>
      </c>
      <c r="D199" s="3" t="s">
        <v>7</v>
      </c>
      <c r="E199" s="3" t="s">
        <v>3</v>
      </c>
      <c r="F199" s="3" t="s">
        <v>55</v>
      </c>
      <c r="G199" s="3" t="s">
        <v>23</v>
      </c>
      <c r="H199" s="3" t="s">
        <v>13</v>
      </c>
      <c r="I199" s="3" t="s">
        <v>21</v>
      </c>
      <c r="J199" s="3" t="s">
        <v>55</v>
      </c>
      <c r="K199" s="3" t="s">
        <v>150</v>
      </c>
      <c r="L199" s="3">
        <v>33</v>
      </c>
      <c r="M199">
        <v>109898</v>
      </c>
      <c r="N199">
        <v>109862</v>
      </c>
      <c r="O199">
        <v>107018</v>
      </c>
      <c r="P199">
        <v>94343</v>
      </c>
      <c r="Q199">
        <v>0.881561980227625</v>
      </c>
      <c r="R199">
        <v>76</v>
      </c>
      <c r="S199">
        <v>2.5795008301097901</v>
      </c>
      <c r="T199">
        <v>0.59562679745579705</v>
      </c>
    </row>
    <row r="200" spans="1:20" x14ac:dyDescent="0.2">
      <c r="A200" t="str">
        <f t="shared" si="3"/>
        <v>sample_HS-CS5_C10_Idebenone_S418</v>
      </c>
      <c r="B200" t="s">
        <v>437</v>
      </c>
      <c r="C200" s="3" t="s">
        <v>10</v>
      </c>
      <c r="D200" s="3" t="s">
        <v>8</v>
      </c>
      <c r="E200" s="3" t="s">
        <v>11</v>
      </c>
      <c r="F200" s="3" t="s">
        <v>11</v>
      </c>
      <c r="G200" s="3" t="s">
        <v>11</v>
      </c>
      <c r="H200" s="3" t="s">
        <v>13</v>
      </c>
      <c r="I200" s="3" t="s">
        <v>19</v>
      </c>
      <c r="J200" s="3" t="s">
        <v>56</v>
      </c>
      <c r="K200" s="3" t="s">
        <v>151</v>
      </c>
      <c r="L200" s="3">
        <v>34</v>
      </c>
      <c r="M200">
        <v>20458</v>
      </c>
      <c r="N200">
        <v>20519</v>
      </c>
      <c r="O200">
        <v>20033</v>
      </c>
      <c r="P200">
        <v>19828</v>
      </c>
      <c r="Q200">
        <v>0.98976688464034301</v>
      </c>
      <c r="R200">
        <v>45</v>
      </c>
      <c r="S200">
        <v>2.4377506241857199</v>
      </c>
      <c r="T200">
        <v>0.64039053389595402</v>
      </c>
    </row>
    <row r="201" spans="1:20" x14ac:dyDescent="0.2">
      <c r="A201" t="str">
        <f t="shared" si="3"/>
        <v>sample_HS-CS6_C10_Idebenone_S514</v>
      </c>
      <c r="B201" t="s">
        <v>438</v>
      </c>
      <c r="C201" s="3" t="s">
        <v>10</v>
      </c>
      <c r="D201" s="3" t="s">
        <v>8</v>
      </c>
      <c r="E201" s="3" t="s">
        <v>11</v>
      </c>
      <c r="F201" s="3" t="s">
        <v>11</v>
      </c>
      <c r="G201" s="3" t="s">
        <v>11</v>
      </c>
      <c r="H201" s="3" t="s">
        <v>13</v>
      </c>
      <c r="I201" s="3" t="s">
        <v>21</v>
      </c>
      <c r="J201" s="3" t="s">
        <v>56</v>
      </c>
      <c r="K201" s="3" t="s">
        <v>151</v>
      </c>
      <c r="L201" s="3">
        <v>34</v>
      </c>
      <c r="M201">
        <v>11117</v>
      </c>
      <c r="N201">
        <v>11086</v>
      </c>
      <c r="O201">
        <v>10744</v>
      </c>
      <c r="P201">
        <v>10603</v>
      </c>
      <c r="Q201">
        <v>0.98687639612807099</v>
      </c>
      <c r="R201">
        <v>27</v>
      </c>
      <c r="S201">
        <v>1.3408857316235501</v>
      </c>
      <c r="T201">
        <v>0.40684226378266097</v>
      </c>
    </row>
    <row r="202" spans="1:20" x14ac:dyDescent="0.2">
      <c r="A202" t="str">
        <f t="shared" si="3"/>
        <v>sample_16S-A-C10-L0_anaCS-Subj5-C10</v>
      </c>
      <c r="B202" t="s">
        <v>439</v>
      </c>
      <c r="C202" s="3" t="s">
        <v>9</v>
      </c>
      <c r="D202" s="3" t="s">
        <v>7</v>
      </c>
      <c r="E202" s="3" t="s">
        <v>3</v>
      </c>
      <c r="F202" s="3" t="s">
        <v>56</v>
      </c>
      <c r="G202" s="3" t="s">
        <v>18</v>
      </c>
      <c r="H202" s="3" t="s">
        <v>13</v>
      </c>
      <c r="I202" s="3" t="s">
        <v>19</v>
      </c>
      <c r="J202" s="3" t="s">
        <v>56</v>
      </c>
      <c r="K202" s="3" t="s">
        <v>151</v>
      </c>
      <c r="L202" s="3">
        <v>34</v>
      </c>
      <c r="M202">
        <v>79254</v>
      </c>
      <c r="N202">
        <v>79311</v>
      </c>
      <c r="O202">
        <v>77555</v>
      </c>
      <c r="P202">
        <v>72209</v>
      </c>
      <c r="Q202">
        <v>0.93106827412803805</v>
      </c>
      <c r="R202">
        <v>73</v>
      </c>
      <c r="S202">
        <v>2.8334004330066702</v>
      </c>
      <c r="T202">
        <v>0.660395575782038</v>
      </c>
    </row>
    <row r="203" spans="1:20" x14ac:dyDescent="0.2">
      <c r="A203" t="str">
        <f t="shared" si="3"/>
        <v>sample_16S-A-C10-L1_anaCS-Subj6-C10</v>
      </c>
      <c r="B203" t="s">
        <v>440</v>
      </c>
      <c r="C203" s="3" t="s">
        <v>9</v>
      </c>
      <c r="D203" s="3" t="s">
        <v>7</v>
      </c>
      <c r="E203" s="3" t="s">
        <v>3</v>
      </c>
      <c r="F203" s="3" t="s">
        <v>56</v>
      </c>
      <c r="G203" s="3" t="s">
        <v>20</v>
      </c>
      <c r="H203" s="3" t="s">
        <v>13</v>
      </c>
      <c r="I203" s="3" t="s">
        <v>21</v>
      </c>
      <c r="J203" s="3" t="s">
        <v>56</v>
      </c>
      <c r="K203" s="3" t="s">
        <v>151</v>
      </c>
      <c r="L203" s="3">
        <v>34</v>
      </c>
      <c r="M203">
        <v>72890</v>
      </c>
      <c r="N203">
        <v>72937</v>
      </c>
      <c r="O203">
        <v>71269</v>
      </c>
      <c r="P203">
        <v>65528</v>
      </c>
      <c r="Q203">
        <v>0.91944604245885297</v>
      </c>
      <c r="R203">
        <v>70</v>
      </c>
      <c r="S203">
        <v>2.57350785863669</v>
      </c>
      <c r="T203">
        <v>0.60574573160997502</v>
      </c>
    </row>
    <row r="204" spans="1:20" x14ac:dyDescent="0.2">
      <c r="A204" t="str">
        <f t="shared" si="3"/>
        <v>sample_16S-A-C10-L2_anaCS-Subj5-C10</v>
      </c>
      <c r="B204" t="s">
        <v>441</v>
      </c>
      <c r="C204" s="3" t="s">
        <v>9</v>
      </c>
      <c r="D204" s="3" t="s">
        <v>7</v>
      </c>
      <c r="E204" s="3" t="s">
        <v>3</v>
      </c>
      <c r="F204" s="3" t="s">
        <v>56</v>
      </c>
      <c r="G204" s="3" t="s">
        <v>22</v>
      </c>
      <c r="H204" s="3" t="s">
        <v>13</v>
      </c>
      <c r="I204" s="3" t="s">
        <v>19</v>
      </c>
      <c r="J204" s="3" t="s">
        <v>56</v>
      </c>
      <c r="K204" s="3" t="s">
        <v>151</v>
      </c>
      <c r="L204" s="3">
        <v>34</v>
      </c>
      <c r="M204">
        <v>80581</v>
      </c>
      <c r="N204">
        <v>80587</v>
      </c>
      <c r="O204">
        <v>77989</v>
      </c>
      <c r="P204">
        <v>69573</v>
      </c>
      <c r="Q204">
        <v>0.89208734565130998</v>
      </c>
      <c r="R204">
        <v>63</v>
      </c>
      <c r="S204">
        <v>2.81602072817706</v>
      </c>
      <c r="T204">
        <v>0.679683600496786</v>
      </c>
    </row>
    <row r="205" spans="1:20" x14ac:dyDescent="0.2">
      <c r="A205" t="str">
        <f t="shared" si="3"/>
        <v>sample_16S-A-C10-L3_anaCS-Subj6-C10</v>
      </c>
      <c r="B205" t="s">
        <v>442</v>
      </c>
      <c r="C205" s="3" t="s">
        <v>9</v>
      </c>
      <c r="D205" s="3" t="s">
        <v>7</v>
      </c>
      <c r="E205" s="3" t="s">
        <v>3</v>
      </c>
      <c r="F205" s="3" t="s">
        <v>56</v>
      </c>
      <c r="G205" s="3" t="s">
        <v>23</v>
      </c>
      <c r="H205" s="3" t="s">
        <v>13</v>
      </c>
      <c r="I205" s="3" t="s">
        <v>21</v>
      </c>
      <c r="J205" s="3" t="s">
        <v>56</v>
      </c>
      <c r="K205" s="3" t="s">
        <v>151</v>
      </c>
      <c r="L205" s="3">
        <v>34</v>
      </c>
      <c r="M205">
        <v>100590</v>
      </c>
      <c r="N205">
        <v>100693</v>
      </c>
      <c r="O205">
        <v>97984</v>
      </c>
      <c r="P205">
        <v>86301</v>
      </c>
      <c r="Q205">
        <v>0.88076624755062005</v>
      </c>
      <c r="R205">
        <v>66</v>
      </c>
      <c r="S205">
        <v>2.5188549309605701</v>
      </c>
      <c r="T205">
        <v>0.60120823458170303</v>
      </c>
    </row>
    <row r="206" spans="1:20" x14ac:dyDescent="0.2">
      <c r="A206" t="str">
        <f t="shared" si="3"/>
        <v>sample_16S-A-C11-L0_anaCS-Subj5-C11</v>
      </c>
      <c r="B206" t="s">
        <v>443</v>
      </c>
      <c r="C206" s="3" t="s">
        <v>9</v>
      </c>
      <c r="D206" s="3" t="s">
        <v>7</v>
      </c>
      <c r="E206" s="3" t="s">
        <v>3</v>
      </c>
      <c r="F206" s="3" t="s">
        <v>57</v>
      </c>
      <c r="G206" s="3" t="s">
        <v>18</v>
      </c>
      <c r="H206" s="3" t="s">
        <v>13</v>
      </c>
      <c r="I206" s="3" t="s">
        <v>19</v>
      </c>
      <c r="J206" s="3" t="s">
        <v>57</v>
      </c>
      <c r="K206" s="3" t="s">
        <v>152</v>
      </c>
      <c r="L206" s="3">
        <v>35</v>
      </c>
      <c r="M206">
        <v>75076</v>
      </c>
      <c r="N206">
        <v>75158</v>
      </c>
      <c r="O206">
        <v>73470</v>
      </c>
      <c r="P206">
        <v>69124</v>
      </c>
      <c r="Q206">
        <v>0.94084660405607701</v>
      </c>
      <c r="R206">
        <v>65</v>
      </c>
      <c r="S206">
        <v>2.79447883316739</v>
      </c>
      <c r="T206">
        <v>0.66943449481084105</v>
      </c>
    </row>
    <row r="207" spans="1:20" x14ac:dyDescent="0.2">
      <c r="A207" t="str">
        <f t="shared" si="3"/>
        <v>sample_16S-A-C11-L1_anaCS-Subj6-C11</v>
      </c>
      <c r="B207" t="s">
        <v>444</v>
      </c>
      <c r="C207" s="3" t="s">
        <v>9</v>
      </c>
      <c r="D207" s="3" t="s">
        <v>7</v>
      </c>
      <c r="E207" s="3" t="s">
        <v>3</v>
      </c>
      <c r="F207" s="3" t="s">
        <v>57</v>
      </c>
      <c r="G207" s="3" t="s">
        <v>20</v>
      </c>
      <c r="H207" s="3" t="s">
        <v>13</v>
      </c>
      <c r="I207" s="3" t="s">
        <v>21</v>
      </c>
      <c r="J207" s="3" t="s">
        <v>57</v>
      </c>
      <c r="K207" s="3" t="s">
        <v>152</v>
      </c>
      <c r="L207" s="3">
        <v>35</v>
      </c>
      <c r="M207">
        <v>69944</v>
      </c>
      <c r="N207">
        <v>69958</v>
      </c>
      <c r="O207">
        <v>68534</v>
      </c>
      <c r="P207">
        <v>63019</v>
      </c>
      <c r="Q207">
        <v>0.91952899290862899</v>
      </c>
      <c r="R207">
        <v>66</v>
      </c>
      <c r="S207">
        <v>2.6049317584857201</v>
      </c>
      <c r="T207">
        <v>0.62175332309740305</v>
      </c>
    </row>
    <row r="208" spans="1:20" x14ac:dyDescent="0.2">
      <c r="A208" t="str">
        <f t="shared" si="3"/>
        <v>sample_16S-A-C11-L2_anaCS-Subj5-C11</v>
      </c>
      <c r="B208" t="s">
        <v>445</v>
      </c>
      <c r="C208" s="3" t="s">
        <v>9</v>
      </c>
      <c r="D208" s="3" t="s">
        <v>7</v>
      </c>
      <c r="E208" s="3" t="s">
        <v>3</v>
      </c>
      <c r="F208" s="3" t="s">
        <v>57</v>
      </c>
      <c r="G208" s="3" t="s">
        <v>22</v>
      </c>
      <c r="H208" s="3" t="s">
        <v>13</v>
      </c>
      <c r="I208" s="3" t="s">
        <v>19</v>
      </c>
      <c r="J208" s="3" t="s">
        <v>57</v>
      </c>
      <c r="K208" s="3" t="s">
        <v>152</v>
      </c>
      <c r="L208" s="3">
        <v>35</v>
      </c>
      <c r="M208">
        <v>32275</v>
      </c>
      <c r="N208">
        <v>32213</v>
      </c>
      <c r="O208">
        <v>31070</v>
      </c>
      <c r="P208">
        <v>28699</v>
      </c>
      <c r="Q208">
        <v>0.923688445445768</v>
      </c>
      <c r="R208">
        <v>58</v>
      </c>
      <c r="S208">
        <v>2.68181832823758</v>
      </c>
      <c r="T208">
        <v>0.66047431801700995</v>
      </c>
    </row>
    <row r="209" spans="1:20" x14ac:dyDescent="0.2">
      <c r="A209" t="str">
        <f t="shared" si="3"/>
        <v>sample_16S-A-C11-L3_anaCS-Subj6-C11</v>
      </c>
      <c r="B209" t="s">
        <v>446</v>
      </c>
      <c r="C209" s="3" t="s">
        <v>9</v>
      </c>
      <c r="D209" s="3" t="s">
        <v>7</v>
      </c>
      <c r="E209" s="3" t="s">
        <v>3</v>
      </c>
      <c r="F209" s="3" t="s">
        <v>57</v>
      </c>
      <c r="G209" s="3" t="s">
        <v>23</v>
      </c>
      <c r="H209" s="3" t="s">
        <v>13</v>
      </c>
      <c r="I209" s="3" t="s">
        <v>21</v>
      </c>
      <c r="J209" s="3" t="s">
        <v>57</v>
      </c>
      <c r="K209" s="3" t="s">
        <v>152</v>
      </c>
      <c r="L209" s="3">
        <v>35</v>
      </c>
      <c r="M209">
        <v>40022</v>
      </c>
      <c r="N209">
        <v>40006</v>
      </c>
      <c r="O209">
        <v>39047</v>
      </c>
      <c r="P209">
        <v>36249</v>
      </c>
      <c r="Q209">
        <v>0.92834276640971103</v>
      </c>
      <c r="R209">
        <v>56</v>
      </c>
      <c r="S209">
        <v>2.3151987806164702</v>
      </c>
      <c r="T209">
        <v>0.57515441096617403</v>
      </c>
    </row>
    <row r="210" spans="1:20" x14ac:dyDescent="0.2">
      <c r="A210" t="str">
        <f t="shared" si="3"/>
        <v>sample_HS-CS5_C11_Zonisamide_S419</v>
      </c>
      <c r="B210" t="s">
        <v>447</v>
      </c>
      <c r="C210" s="3" t="s">
        <v>10</v>
      </c>
      <c r="D210" s="3" t="s">
        <v>8</v>
      </c>
      <c r="E210" s="3" t="s">
        <v>11</v>
      </c>
      <c r="F210" s="3" t="s">
        <v>11</v>
      </c>
      <c r="G210" s="3" t="s">
        <v>11</v>
      </c>
      <c r="H210" s="3" t="s">
        <v>13</v>
      </c>
      <c r="I210" s="3" t="s">
        <v>19</v>
      </c>
      <c r="J210" s="3" t="s">
        <v>57</v>
      </c>
      <c r="K210" s="3" t="s">
        <v>152</v>
      </c>
      <c r="L210" s="3">
        <v>35</v>
      </c>
      <c r="M210">
        <v>23769</v>
      </c>
      <c r="N210">
        <v>23819</v>
      </c>
      <c r="O210">
        <v>23216</v>
      </c>
      <c r="P210">
        <v>22785</v>
      </c>
      <c r="Q210">
        <v>0.98143521709166104</v>
      </c>
      <c r="R210">
        <v>49</v>
      </c>
      <c r="S210">
        <v>2.4506258242846002</v>
      </c>
      <c r="T210">
        <v>0.62968627443418002</v>
      </c>
    </row>
    <row r="211" spans="1:20" x14ac:dyDescent="0.2">
      <c r="A211" t="str">
        <f t="shared" si="3"/>
        <v>sample_HS-CS6_C11_Zonisamide_S515</v>
      </c>
      <c r="B211" t="s">
        <v>448</v>
      </c>
      <c r="C211" s="3" t="s">
        <v>10</v>
      </c>
      <c r="D211" s="3" t="s">
        <v>8</v>
      </c>
      <c r="E211" s="3" t="s">
        <v>11</v>
      </c>
      <c r="F211" s="3" t="s">
        <v>11</v>
      </c>
      <c r="G211" s="3" t="s">
        <v>11</v>
      </c>
      <c r="H211" s="3" t="s">
        <v>13</v>
      </c>
      <c r="I211" s="3" t="s">
        <v>21</v>
      </c>
      <c r="J211" s="3" t="s">
        <v>57</v>
      </c>
      <c r="K211" s="3" t="s">
        <v>152</v>
      </c>
      <c r="L211" s="3">
        <v>35</v>
      </c>
      <c r="M211">
        <v>14261</v>
      </c>
      <c r="N211">
        <v>14299</v>
      </c>
      <c r="O211">
        <v>13770</v>
      </c>
      <c r="P211">
        <v>13453</v>
      </c>
      <c r="Q211">
        <v>0.97697893972403804</v>
      </c>
      <c r="R211">
        <v>31</v>
      </c>
      <c r="S211">
        <v>1.4627719038126701</v>
      </c>
      <c r="T211">
        <v>0.42596894417723402</v>
      </c>
    </row>
    <row r="212" spans="1:20" x14ac:dyDescent="0.2">
      <c r="A212" t="str">
        <f t="shared" si="3"/>
        <v>sample_HS-CS5_C12_Cyproheptadine-hydrochloride_S420</v>
      </c>
      <c r="B212" t="s">
        <v>449</v>
      </c>
      <c r="C212" s="3" t="s">
        <v>10</v>
      </c>
      <c r="D212" s="3" t="s">
        <v>8</v>
      </c>
      <c r="E212" s="3" t="s">
        <v>11</v>
      </c>
      <c r="F212" s="3" t="s">
        <v>11</v>
      </c>
      <c r="G212" s="3" t="s">
        <v>11</v>
      </c>
      <c r="H212" s="3" t="s">
        <v>13</v>
      </c>
      <c r="I212" s="3" t="s">
        <v>19</v>
      </c>
      <c r="J212" s="3" t="s">
        <v>58</v>
      </c>
      <c r="K212" s="3" t="s">
        <v>153</v>
      </c>
      <c r="L212" s="3">
        <v>36</v>
      </c>
      <c r="M212">
        <v>46461</v>
      </c>
      <c r="N212">
        <v>46462</v>
      </c>
      <c r="O212">
        <v>45357</v>
      </c>
      <c r="P212">
        <v>43031</v>
      </c>
      <c r="Q212">
        <v>0.94871794871794901</v>
      </c>
      <c r="R212">
        <v>54</v>
      </c>
      <c r="S212">
        <v>2.5423830883478402</v>
      </c>
      <c r="T212">
        <v>0.637351029402487</v>
      </c>
    </row>
    <row r="213" spans="1:20" x14ac:dyDescent="0.2">
      <c r="A213" t="str">
        <f t="shared" si="3"/>
        <v>sample_HS-CS6_C12_Cyproheptadine-hydrochloride_S516</v>
      </c>
      <c r="B213" t="s">
        <v>450</v>
      </c>
      <c r="C213" s="3" t="s">
        <v>10</v>
      </c>
      <c r="D213" s="3" t="s">
        <v>8</v>
      </c>
      <c r="E213" s="3" t="s">
        <v>11</v>
      </c>
      <c r="F213" s="3" t="s">
        <v>11</v>
      </c>
      <c r="G213" s="3" t="s">
        <v>11</v>
      </c>
      <c r="H213" s="3" t="s">
        <v>13</v>
      </c>
      <c r="I213" s="3" t="s">
        <v>21</v>
      </c>
      <c r="J213" s="3" t="s">
        <v>58</v>
      </c>
      <c r="K213" s="3" t="s">
        <v>153</v>
      </c>
      <c r="L213" s="3">
        <v>36</v>
      </c>
      <c r="M213">
        <v>19118</v>
      </c>
      <c r="N213">
        <v>19163</v>
      </c>
      <c r="O213">
        <v>18373</v>
      </c>
      <c r="P213">
        <v>17667</v>
      </c>
      <c r="Q213">
        <v>0.96157404887606801</v>
      </c>
      <c r="R213">
        <v>34</v>
      </c>
      <c r="S213">
        <v>1.5355859951844399</v>
      </c>
      <c r="T213">
        <v>0.43545916092955</v>
      </c>
    </row>
    <row r="214" spans="1:20" x14ac:dyDescent="0.2">
      <c r="A214" t="str">
        <f t="shared" si="3"/>
        <v>sample_16S-A-C12-L0_anaCS-Subj5-C12</v>
      </c>
      <c r="B214" t="s">
        <v>451</v>
      </c>
      <c r="C214" s="3" t="s">
        <v>9</v>
      </c>
      <c r="D214" s="3" t="s">
        <v>7</v>
      </c>
      <c r="E214" s="3" t="s">
        <v>3</v>
      </c>
      <c r="F214" s="3" t="s">
        <v>58</v>
      </c>
      <c r="G214" s="3" t="s">
        <v>18</v>
      </c>
      <c r="H214" s="3" t="s">
        <v>13</v>
      </c>
      <c r="I214" s="3" t="s">
        <v>19</v>
      </c>
      <c r="J214" s="3" t="s">
        <v>58</v>
      </c>
      <c r="K214" s="3" t="s">
        <v>153</v>
      </c>
      <c r="L214" s="3">
        <v>36</v>
      </c>
      <c r="M214">
        <v>45087</v>
      </c>
      <c r="N214">
        <v>45122</v>
      </c>
      <c r="O214">
        <v>43782</v>
      </c>
      <c r="P214">
        <v>40822</v>
      </c>
      <c r="Q214">
        <v>0.93239230734091605</v>
      </c>
      <c r="R214">
        <v>61</v>
      </c>
      <c r="S214">
        <v>2.8210176198530501</v>
      </c>
      <c r="T214">
        <v>0.68623307672816403</v>
      </c>
    </row>
    <row r="215" spans="1:20" x14ac:dyDescent="0.2">
      <c r="A215" t="str">
        <f t="shared" si="3"/>
        <v>sample_16S-A-C12-L1_anaCS-Subj6-C12</v>
      </c>
      <c r="B215" t="s">
        <v>452</v>
      </c>
      <c r="C215" s="3" t="s">
        <v>9</v>
      </c>
      <c r="D215" s="3" t="s">
        <v>7</v>
      </c>
      <c r="E215" s="3" t="s">
        <v>3</v>
      </c>
      <c r="F215" s="3" t="s">
        <v>58</v>
      </c>
      <c r="G215" s="3" t="s">
        <v>20</v>
      </c>
      <c r="H215" s="3" t="s">
        <v>13</v>
      </c>
      <c r="I215" s="3" t="s">
        <v>21</v>
      </c>
      <c r="J215" s="3" t="s">
        <v>58</v>
      </c>
      <c r="K215" s="3" t="s">
        <v>153</v>
      </c>
      <c r="L215" s="3">
        <v>36</v>
      </c>
      <c r="M215">
        <v>62518</v>
      </c>
      <c r="N215">
        <v>62547</v>
      </c>
      <c r="O215">
        <v>61209</v>
      </c>
      <c r="P215">
        <v>55591</v>
      </c>
      <c r="Q215">
        <v>0.90821611200967201</v>
      </c>
      <c r="R215">
        <v>67</v>
      </c>
      <c r="S215">
        <v>2.6041355666855299</v>
      </c>
      <c r="T215">
        <v>0.61934029485911102</v>
      </c>
    </row>
    <row r="216" spans="1:20" x14ac:dyDescent="0.2">
      <c r="A216" t="str">
        <f t="shared" si="3"/>
        <v>sample_16S-A-C12-L2_anaCS-Subj5-C12</v>
      </c>
      <c r="B216" t="s">
        <v>453</v>
      </c>
      <c r="C216" s="3" t="s">
        <v>9</v>
      </c>
      <c r="D216" s="3" t="s">
        <v>7</v>
      </c>
      <c r="E216" s="3" t="s">
        <v>3</v>
      </c>
      <c r="F216" s="3" t="s">
        <v>58</v>
      </c>
      <c r="G216" s="3" t="s">
        <v>22</v>
      </c>
      <c r="H216" s="3" t="s">
        <v>13</v>
      </c>
      <c r="I216" s="3" t="s">
        <v>19</v>
      </c>
      <c r="J216" s="3" t="s">
        <v>58</v>
      </c>
      <c r="K216" s="3" t="s">
        <v>153</v>
      </c>
      <c r="L216" s="3">
        <v>36</v>
      </c>
      <c r="M216">
        <v>55121</v>
      </c>
      <c r="N216">
        <v>55262</v>
      </c>
      <c r="O216">
        <v>52819</v>
      </c>
      <c r="P216">
        <v>45520</v>
      </c>
      <c r="Q216">
        <v>0.86181109070599604</v>
      </c>
      <c r="R216">
        <v>61</v>
      </c>
      <c r="S216">
        <v>2.7896095414650399</v>
      </c>
      <c r="T216">
        <v>0.67859283296838002</v>
      </c>
    </row>
    <row r="217" spans="1:20" x14ac:dyDescent="0.2">
      <c r="A217" t="str">
        <f t="shared" si="3"/>
        <v>sample_16S-A-C12-L3_anaCS-Subj6-C12</v>
      </c>
      <c r="B217" t="s">
        <v>454</v>
      </c>
      <c r="C217" s="3" t="s">
        <v>9</v>
      </c>
      <c r="D217" s="3" t="s">
        <v>7</v>
      </c>
      <c r="E217" s="3" t="s">
        <v>3</v>
      </c>
      <c r="F217" s="3" t="s">
        <v>58</v>
      </c>
      <c r="G217" s="3" t="s">
        <v>23</v>
      </c>
      <c r="H217" s="3" t="s">
        <v>13</v>
      </c>
      <c r="I217" s="3" t="s">
        <v>21</v>
      </c>
      <c r="J217" s="3" t="s">
        <v>58</v>
      </c>
      <c r="K217" s="3" t="s">
        <v>153</v>
      </c>
      <c r="L217" s="3">
        <v>36</v>
      </c>
      <c r="M217">
        <v>59133</v>
      </c>
      <c r="N217">
        <v>59132</v>
      </c>
      <c r="O217">
        <v>57583</v>
      </c>
      <c r="P217">
        <v>51304</v>
      </c>
      <c r="Q217">
        <v>0.89095740062171103</v>
      </c>
      <c r="R217">
        <v>66</v>
      </c>
      <c r="S217">
        <v>2.4982466260732199</v>
      </c>
      <c r="T217">
        <v>0.59628937941193805</v>
      </c>
    </row>
    <row r="218" spans="1:20" x14ac:dyDescent="0.2">
      <c r="A218" t="str">
        <f t="shared" si="3"/>
        <v>sample_HS-CS5_D01_Erythromycin_S421</v>
      </c>
      <c r="B218" t="s">
        <v>455</v>
      </c>
      <c r="C218" s="3" t="s">
        <v>10</v>
      </c>
      <c r="D218" s="3" t="s">
        <v>8</v>
      </c>
      <c r="E218" s="3" t="s">
        <v>11</v>
      </c>
      <c r="F218" s="3" t="s">
        <v>11</v>
      </c>
      <c r="G218" s="3" t="s">
        <v>11</v>
      </c>
      <c r="H218" s="3" t="s">
        <v>13</v>
      </c>
      <c r="I218" s="3" t="s">
        <v>19</v>
      </c>
      <c r="J218" s="3" t="s">
        <v>59</v>
      </c>
      <c r="K218" s="3" t="s">
        <v>154</v>
      </c>
      <c r="L218" s="3">
        <v>37</v>
      </c>
      <c r="M218">
        <v>32632</v>
      </c>
      <c r="N218">
        <v>32632</v>
      </c>
      <c r="O218">
        <v>31941</v>
      </c>
      <c r="P218">
        <v>30851</v>
      </c>
      <c r="Q218">
        <v>0.96587458125919701</v>
      </c>
      <c r="R218">
        <v>32</v>
      </c>
      <c r="S218">
        <v>1.9876041175063199</v>
      </c>
      <c r="T218">
        <v>0.57350132071536897</v>
      </c>
    </row>
    <row r="219" spans="1:20" x14ac:dyDescent="0.2">
      <c r="A219" t="str">
        <f t="shared" si="3"/>
        <v>sample_HS-CS6_D01_Erythromycin_S517</v>
      </c>
      <c r="B219" t="s">
        <v>456</v>
      </c>
      <c r="C219" s="3" t="s">
        <v>10</v>
      </c>
      <c r="D219" s="3" t="s">
        <v>8</v>
      </c>
      <c r="E219" s="3" t="s">
        <v>11</v>
      </c>
      <c r="F219" s="3" t="s">
        <v>11</v>
      </c>
      <c r="G219" s="3" t="s">
        <v>11</v>
      </c>
      <c r="H219" s="3" t="s">
        <v>13</v>
      </c>
      <c r="I219" s="3" t="s">
        <v>21</v>
      </c>
      <c r="J219" s="3" t="s">
        <v>59</v>
      </c>
      <c r="K219" s="3" t="s">
        <v>154</v>
      </c>
      <c r="L219" s="3">
        <v>37</v>
      </c>
      <c r="M219">
        <v>13480</v>
      </c>
      <c r="N219">
        <v>13512</v>
      </c>
      <c r="O219">
        <v>13273</v>
      </c>
      <c r="P219">
        <v>13155</v>
      </c>
      <c r="Q219">
        <v>0.99110977171701997</v>
      </c>
      <c r="R219">
        <v>23</v>
      </c>
      <c r="S219">
        <v>0.79971905058496995</v>
      </c>
      <c r="T219">
        <v>0.25505358821017199</v>
      </c>
    </row>
    <row r="220" spans="1:20" x14ac:dyDescent="0.2">
      <c r="A220" t="str">
        <f t="shared" si="3"/>
        <v>sample_16S-A-D01-L0_anaCS-Subj5-D01</v>
      </c>
      <c r="B220" t="s">
        <v>457</v>
      </c>
      <c r="C220" s="3" t="s">
        <v>9</v>
      </c>
      <c r="D220" s="3" t="s">
        <v>7</v>
      </c>
      <c r="E220" s="3" t="s">
        <v>3</v>
      </c>
      <c r="F220" s="3" t="s">
        <v>59</v>
      </c>
      <c r="G220" s="3" t="s">
        <v>18</v>
      </c>
      <c r="H220" s="3" t="s">
        <v>13</v>
      </c>
      <c r="I220" s="3" t="s">
        <v>19</v>
      </c>
      <c r="J220" s="3" t="s">
        <v>59</v>
      </c>
      <c r="K220" s="3" t="s">
        <v>154</v>
      </c>
      <c r="L220" s="3">
        <v>37</v>
      </c>
      <c r="M220">
        <v>91433</v>
      </c>
      <c r="N220">
        <v>91492</v>
      </c>
      <c r="O220">
        <v>90558</v>
      </c>
      <c r="P220">
        <v>82452</v>
      </c>
      <c r="Q220">
        <v>0.91048830583714302</v>
      </c>
      <c r="R220">
        <v>40</v>
      </c>
      <c r="S220">
        <v>2.36357427844586</v>
      </c>
      <c r="T220">
        <v>0.64072960579125005</v>
      </c>
    </row>
    <row r="221" spans="1:20" x14ac:dyDescent="0.2">
      <c r="A221" t="str">
        <f t="shared" si="3"/>
        <v>sample_16S-A-D01-L1_anaCS-Subj6-D01</v>
      </c>
      <c r="B221" t="s">
        <v>458</v>
      </c>
      <c r="C221" s="3" t="s">
        <v>9</v>
      </c>
      <c r="D221" s="3" t="s">
        <v>7</v>
      </c>
      <c r="E221" s="3" t="s">
        <v>3</v>
      </c>
      <c r="F221" s="3" t="s">
        <v>59</v>
      </c>
      <c r="G221" s="3" t="s">
        <v>20</v>
      </c>
      <c r="H221" s="3" t="s">
        <v>13</v>
      </c>
      <c r="I221" s="3" t="s">
        <v>21</v>
      </c>
      <c r="J221" s="3" t="s">
        <v>59</v>
      </c>
      <c r="K221" s="3" t="s">
        <v>154</v>
      </c>
      <c r="L221" s="3">
        <v>37</v>
      </c>
      <c r="M221">
        <v>58157</v>
      </c>
      <c r="N221">
        <v>58237</v>
      </c>
      <c r="O221">
        <v>57084</v>
      </c>
      <c r="P221">
        <v>53535</v>
      </c>
      <c r="Q221">
        <v>0.93782846331721703</v>
      </c>
      <c r="R221">
        <v>43</v>
      </c>
      <c r="S221">
        <v>2.20666665447771</v>
      </c>
      <c r="T221">
        <v>0.586692169148464</v>
      </c>
    </row>
    <row r="222" spans="1:20" x14ac:dyDescent="0.2">
      <c r="A222" t="str">
        <f t="shared" si="3"/>
        <v>sample_16S-A-D01-L2_anaCS-Subj5-D01</v>
      </c>
      <c r="B222" t="s">
        <v>459</v>
      </c>
      <c r="C222" s="3" t="s">
        <v>9</v>
      </c>
      <c r="D222" s="3" t="s">
        <v>7</v>
      </c>
      <c r="E222" s="3" t="s">
        <v>3</v>
      </c>
      <c r="F222" s="3" t="s">
        <v>59</v>
      </c>
      <c r="G222" s="3" t="s">
        <v>22</v>
      </c>
      <c r="H222" s="3" t="s">
        <v>13</v>
      </c>
      <c r="I222" s="3" t="s">
        <v>19</v>
      </c>
      <c r="J222" s="3" t="s">
        <v>59</v>
      </c>
      <c r="K222" s="3" t="s">
        <v>154</v>
      </c>
      <c r="L222" s="3">
        <v>37</v>
      </c>
      <c r="M222">
        <v>51036</v>
      </c>
      <c r="N222">
        <v>51109</v>
      </c>
      <c r="O222">
        <v>50223</v>
      </c>
      <c r="P222">
        <v>43692</v>
      </c>
      <c r="Q222">
        <v>0.869959978495908</v>
      </c>
      <c r="R222">
        <v>37</v>
      </c>
      <c r="S222">
        <v>2.3733324520500898</v>
      </c>
      <c r="T222">
        <v>0.65726568962963094</v>
      </c>
    </row>
    <row r="223" spans="1:20" x14ac:dyDescent="0.2">
      <c r="A223" t="str">
        <f t="shared" si="3"/>
        <v>sample_16S-A-D01-L3_anaCS-Subj6-D01</v>
      </c>
      <c r="B223" t="s">
        <v>460</v>
      </c>
      <c r="C223" s="3" t="s">
        <v>9</v>
      </c>
      <c r="D223" s="3" t="s">
        <v>7</v>
      </c>
      <c r="E223" s="3" t="s">
        <v>3</v>
      </c>
      <c r="F223" s="3" t="s">
        <v>59</v>
      </c>
      <c r="G223" s="3" t="s">
        <v>23</v>
      </c>
      <c r="H223" s="3" t="s">
        <v>13</v>
      </c>
      <c r="I223" s="3" t="s">
        <v>21</v>
      </c>
      <c r="J223" s="3" t="s">
        <v>59</v>
      </c>
      <c r="K223" s="3" t="s">
        <v>154</v>
      </c>
      <c r="L223" s="3">
        <v>37</v>
      </c>
      <c r="M223">
        <v>80532</v>
      </c>
      <c r="N223">
        <v>80658</v>
      </c>
      <c r="O223">
        <v>79060</v>
      </c>
      <c r="P223">
        <v>72197</v>
      </c>
      <c r="Q223">
        <v>0.91319251201619001</v>
      </c>
      <c r="R223">
        <v>44</v>
      </c>
      <c r="S223">
        <v>2.14682909409991</v>
      </c>
      <c r="T223">
        <v>0.56731541010988495</v>
      </c>
    </row>
    <row r="224" spans="1:20" x14ac:dyDescent="0.2">
      <c r="A224" t="str">
        <f t="shared" si="3"/>
        <v>sample_16S-A-D02-L0_anaCS-Subj5-D02</v>
      </c>
      <c r="B224" t="s">
        <v>461</v>
      </c>
      <c r="C224" s="3" t="s">
        <v>9</v>
      </c>
      <c r="D224" s="3" t="s">
        <v>7</v>
      </c>
      <c r="E224" s="3" t="s">
        <v>3</v>
      </c>
      <c r="F224" s="3" t="s">
        <v>60</v>
      </c>
      <c r="G224" s="3" t="s">
        <v>18</v>
      </c>
      <c r="H224" s="3" t="s">
        <v>13</v>
      </c>
      <c r="I224" s="3" t="s">
        <v>19</v>
      </c>
      <c r="J224" s="3" t="s">
        <v>60</v>
      </c>
      <c r="K224" s="3" t="s">
        <v>155</v>
      </c>
      <c r="L224" s="3">
        <v>38</v>
      </c>
      <c r="M224">
        <v>85424</v>
      </c>
      <c r="N224">
        <v>85393</v>
      </c>
      <c r="O224">
        <v>84422</v>
      </c>
      <c r="P224">
        <v>78872</v>
      </c>
      <c r="Q224">
        <v>0.93425884248181801</v>
      </c>
      <c r="R224">
        <v>17</v>
      </c>
      <c r="S224">
        <v>1.63370623343258</v>
      </c>
      <c r="T224">
        <v>0.57662661968606099</v>
      </c>
    </row>
    <row r="225" spans="1:20" x14ac:dyDescent="0.2">
      <c r="A225" t="str">
        <f t="shared" si="3"/>
        <v>sample_16S-A-D02-L1_anaCS-Subj6-D02</v>
      </c>
      <c r="B225" t="s">
        <v>462</v>
      </c>
      <c r="C225" s="3" t="s">
        <v>9</v>
      </c>
      <c r="D225" s="3" t="s">
        <v>7</v>
      </c>
      <c r="E225" s="3" t="s">
        <v>3</v>
      </c>
      <c r="F225" s="3" t="s">
        <v>60</v>
      </c>
      <c r="G225" s="3" t="s">
        <v>20</v>
      </c>
      <c r="H225" s="3" t="s">
        <v>13</v>
      </c>
      <c r="I225" s="3" t="s">
        <v>21</v>
      </c>
      <c r="J225" s="3" t="s">
        <v>60</v>
      </c>
      <c r="K225" s="3" t="s">
        <v>155</v>
      </c>
      <c r="L225" s="3">
        <v>38</v>
      </c>
      <c r="M225">
        <v>54268</v>
      </c>
      <c r="N225">
        <v>54292</v>
      </c>
      <c r="O225">
        <v>53821</v>
      </c>
      <c r="P225">
        <v>51036</v>
      </c>
      <c r="Q225">
        <v>0.94825439884060103</v>
      </c>
      <c r="R225">
        <v>18</v>
      </c>
      <c r="S225">
        <v>1.0908141670686899</v>
      </c>
      <c r="T225">
        <v>0.37739580179909898</v>
      </c>
    </row>
    <row r="226" spans="1:20" x14ac:dyDescent="0.2">
      <c r="A226" t="str">
        <f t="shared" si="3"/>
        <v>sample_16S-A-D02-L2_anaCS-Subj5-D02</v>
      </c>
      <c r="B226" t="s">
        <v>463</v>
      </c>
      <c r="C226" s="3" t="s">
        <v>9</v>
      </c>
      <c r="D226" s="3" t="s">
        <v>7</v>
      </c>
      <c r="E226" s="3" t="s">
        <v>3</v>
      </c>
      <c r="F226" s="3" t="s">
        <v>60</v>
      </c>
      <c r="G226" s="3" t="s">
        <v>22</v>
      </c>
      <c r="H226" s="3" t="s">
        <v>13</v>
      </c>
      <c r="I226" s="3" t="s">
        <v>19</v>
      </c>
      <c r="J226" s="3" t="s">
        <v>60</v>
      </c>
      <c r="K226" s="3" t="s">
        <v>155</v>
      </c>
      <c r="L226" s="3">
        <v>38</v>
      </c>
      <c r="M226">
        <v>56564</v>
      </c>
      <c r="N226">
        <v>56615</v>
      </c>
      <c r="O226">
        <v>55830</v>
      </c>
      <c r="P226">
        <v>50494</v>
      </c>
      <c r="Q226">
        <v>0.90442414472505805</v>
      </c>
      <c r="R226">
        <v>16</v>
      </c>
      <c r="S226">
        <v>1.61414180502201</v>
      </c>
      <c r="T226">
        <v>0.58217859434920405</v>
      </c>
    </row>
    <row r="227" spans="1:20" x14ac:dyDescent="0.2">
      <c r="A227" t="str">
        <f t="shared" si="3"/>
        <v>sample_16S-A-D02-L3_anaCS-Subj6-D02</v>
      </c>
      <c r="B227" t="s">
        <v>464</v>
      </c>
      <c r="C227" s="3" t="s">
        <v>9</v>
      </c>
      <c r="D227" s="3" t="s">
        <v>7</v>
      </c>
      <c r="E227" s="3" t="s">
        <v>3</v>
      </c>
      <c r="F227" s="3" t="s">
        <v>60</v>
      </c>
      <c r="G227" s="3" t="s">
        <v>23</v>
      </c>
      <c r="H227" s="3" t="s">
        <v>13</v>
      </c>
      <c r="I227" s="3" t="s">
        <v>21</v>
      </c>
      <c r="J227" s="3" t="s">
        <v>60</v>
      </c>
      <c r="K227" s="3" t="s">
        <v>155</v>
      </c>
      <c r="L227" s="3">
        <v>38</v>
      </c>
      <c r="M227">
        <v>66602</v>
      </c>
      <c r="N227">
        <v>66767</v>
      </c>
      <c r="O227">
        <v>65880</v>
      </c>
      <c r="P227">
        <v>61271</v>
      </c>
      <c r="Q227">
        <v>0.93003946569520302</v>
      </c>
      <c r="R227">
        <v>18</v>
      </c>
      <c r="S227">
        <v>1.104570503488</v>
      </c>
      <c r="T227">
        <v>0.38215516757332002</v>
      </c>
    </row>
    <row r="228" spans="1:20" x14ac:dyDescent="0.2">
      <c r="A228" t="str">
        <f t="shared" si="3"/>
        <v>sample_HS-CS5_D02_Ornidazole_S422</v>
      </c>
      <c r="B228" t="s">
        <v>465</v>
      </c>
      <c r="C228" s="3" t="s">
        <v>10</v>
      </c>
      <c r="D228" s="3" t="s">
        <v>8</v>
      </c>
      <c r="E228" s="3" t="s">
        <v>11</v>
      </c>
      <c r="F228" s="3" t="s">
        <v>11</v>
      </c>
      <c r="G228" s="3" t="s">
        <v>11</v>
      </c>
      <c r="H228" s="3" t="s">
        <v>13</v>
      </c>
      <c r="I228" s="3" t="s">
        <v>19</v>
      </c>
      <c r="J228" s="3" t="s">
        <v>60</v>
      </c>
      <c r="K228" s="3" t="s">
        <v>155</v>
      </c>
      <c r="L228" s="3">
        <v>38</v>
      </c>
      <c r="M228">
        <v>31345</v>
      </c>
      <c r="N228">
        <v>31398</v>
      </c>
      <c r="O228">
        <v>30869</v>
      </c>
      <c r="P228">
        <v>29531</v>
      </c>
      <c r="Q228">
        <v>0.95665554439729195</v>
      </c>
      <c r="R228">
        <v>14</v>
      </c>
      <c r="S228">
        <v>1.42819013223215</v>
      </c>
      <c r="T228">
        <v>0.54117434896359795</v>
      </c>
    </row>
    <row r="229" spans="1:20" x14ac:dyDescent="0.2">
      <c r="A229" t="str">
        <f t="shared" si="3"/>
        <v>sample_HS-CS6_D02_Ornidazole_S518</v>
      </c>
      <c r="B229" t="s">
        <v>466</v>
      </c>
      <c r="C229" s="3" t="s">
        <v>10</v>
      </c>
      <c r="D229" s="3" t="s">
        <v>8</v>
      </c>
      <c r="E229" s="3" t="s">
        <v>11</v>
      </c>
      <c r="F229" s="3" t="s">
        <v>11</v>
      </c>
      <c r="G229" s="3" t="s">
        <v>11</v>
      </c>
      <c r="H229" s="3" t="s">
        <v>13</v>
      </c>
      <c r="I229" s="3" t="s">
        <v>21</v>
      </c>
      <c r="J229" s="3" t="s">
        <v>60</v>
      </c>
      <c r="K229" s="3" t="s">
        <v>155</v>
      </c>
      <c r="L229" s="3">
        <v>38</v>
      </c>
      <c r="M229">
        <v>17874</v>
      </c>
      <c r="N229">
        <v>17893</v>
      </c>
      <c r="O229">
        <v>17521</v>
      </c>
      <c r="P229">
        <v>17316</v>
      </c>
      <c r="Q229">
        <v>0.98829975458021802</v>
      </c>
      <c r="R229">
        <v>10</v>
      </c>
      <c r="S229">
        <v>0.56913654275708803</v>
      </c>
      <c r="T229">
        <v>0.24717285996889701</v>
      </c>
    </row>
    <row r="230" spans="1:20" x14ac:dyDescent="0.2">
      <c r="A230" t="str">
        <f t="shared" si="3"/>
        <v>sample_16S-A-D03-L0_anaCS-Subj5-D03</v>
      </c>
      <c r="B230" t="s">
        <v>467</v>
      </c>
      <c r="C230" s="3" t="s">
        <v>9</v>
      </c>
      <c r="D230" s="3" t="s">
        <v>7</v>
      </c>
      <c r="E230" s="3" t="s">
        <v>3</v>
      </c>
      <c r="F230" s="3" t="s">
        <v>61</v>
      </c>
      <c r="G230" s="3" t="s">
        <v>18</v>
      </c>
      <c r="H230" s="3" t="s">
        <v>13</v>
      </c>
      <c r="I230" s="3" t="s">
        <v>19</v>
      </c>
      <c r="J230" s="3" t="s">
        <v>61</v>
      </c>
      <c r="K230" s="3" t="s">
        <v>156</v>
      </c>
      <c r="L230" s="3">
        <v>39</v>
      </c>
      <c r="M230">
        <v>69039</v>
      </c>
      <c r="N230">
        <v>69050</v>
      </c>
      <c r="O230">
        <v>68021</v>
      </c>
      <c r="P230">
        <v>62176</v>
      </c>
      <c r="Q230">
        <v>0.91407065465076998</v>
      </c>
      <c r="R230">
        <v>27</v>
      </c>
      <c r="S230">
        <v>1.98047437703608</v>
      </c>
      <c r="T230">
        <v>0.60090182176919704</v>
      </c>
    </row>
    <row r="231" spans="1:20" x14ac:dyDescent="0.2">
      <c r="A231" t="str">
        <f t="shared" si="3"/>
        <v>sample_16S-A-D03-L1_anaCS-Subj6-D03</v>
      </c>
      <c r="B231" t="s">
        <v>468</v>
      </c>
      <c r="C231" s="3" t="s">
        <v>9</v>
      </c>
      <c r="D231" s="3" t="s">
        <v>7</v>
      </c>
      <c r="E231" s="3" t="s">
        <v>3</v>
      </c>
      <c r="F231" s="3" t="s">
        <v>61</v>
      </c>
      <c r="G231" s="3" t="s">
        <v>20</v>
      </c>
      <c r="H231" s="3" t="s">
        <v>13</v>
      </c>
      <c r="I231" s="3" t="s">
        <v>21</v>
      </c>
      <c r="J231" s="3" t="s">
        <v>61</v>
      </c>
      <c r="K231" s="3" t="s">
        <v>156</v>
      </c>
      <c r="L231" s="3">
        <v>39</v>
      </c>
      <c r="M231">
        <v>43074</v>
      </c>
      <c r="N231">
        <v>43116</v>
      </c>
      <c r="O231">
        <v>42360</v>
      </c>
      <c r="P231">
        <v>40065</v>
      </c>
      <c r="Q231">
        <v>0.94582152974504297</v>
      </c>
      <c r="R231">
        <v>22</v>
      </c>
      <c r="S231">
        <v>1.67765746495528</v>
      </c>
      <c r="T231">
        <v>0.54274811500325904</v>
      </c>
    </row>
    <row r="232" spans="1:20" x14ac:dyDescent="0.2">
      <c r="A232" t="str">
        <f t="shared" si="3"/>
        <v>sample_16S-A-D03-L2_anaCS-Subj5-D03</v>
      </c>
      <c r="B232" t="s">
        <v>469</v>
      </c>
      <c r="C232" s="3" t="s">
        <v>9</v>
      </c>
      <c r="D232" s="3" t="s">
        <v>7</v>
      </c>
      <c r="E232" s="3" t="s">
        <v>3</v>
      </c>
      <c r="F232" s="3" t="s">
        <v>61</v>
      </c>
      <c r="G232" s="3" t="s">
        <v>22</v>
      </c>
      <c r="H232" s="3" t="s">
        <v>13</v>
      </c>
      <c r="I232" s="3" t="s">
        <v>19</v>
      </c>
      <c r="J232" s="3" t="s">
        <v>61</v>
      </c>
      <c r="K232" s="3" t="s">
        <v>156</v>
      </c>
      <c r="L232" s="3">
        <v>39</v>
      </c>
      <c r="M232">
        <v>38487</v>
      </c>
      <c r="N232">
        <v>38480</v>
      </c>
      <c r="O232">
        <v>37669</v>
      </c>
      <c r="P232">
        <v>33571</v>
      </c>
      <c r="Q232">
        <v>0.89121027900926497</v>
      </c>
      <c r="R232">
        <v>24</v>
      </c>
      <c r="S232">
        <v>1.9666025773965601</v>
      </c>
      <c r="T232">
        <v>0.61880719533981399</v>
      </c>
    </row>
    <row r="233" spans="1:20" x14ac:dyDescent="0.2">
      <c r="A233" t="str">
        <f t="shared" si="3"/>
        <v>sample_16S-A-D03-L3_anaCS-Subj6-D03</v>
      </c>
      <c r="B233" t="s">
        <v>470</v>
      </c>
      <c r="C233" s="3" t="s">
        <v>9</v>
      </c>
      <c r="D233" s="3" t="s">
        <v>7</v>
      </c>
      <c r="E233" s="3" t="s">
        <v>3</v>
      </c>
      <c r="F233" s="3" t="s">
        <v>61</v>
      </c>
      <c r="G233" s="3" t="s">
        <v>23</v>
      </c>
      <c r="H233" s="3" t="s">
        <v>13</v>
      </c>
      <c r="I233" s="3" t="s">
        <v>21</v>
      </c>
      <c r="J233" s="3" t="s">
        <v>61</v>
      </c>
      <c r="K233" s="3" t="s">
        <v>156</v>
      </c>
      <c r="L233" s="3">
        <v>39</v>
      </c>
      <c r="M233">
        <v>32872</v>
      </c>
      <c r="N233">
        <v>32927</v>
      </c>
      <c r="O233">
        <v>32160</v>
      </c>
      <c r="P233">
        <v>30146</v>
      </c>
      <c r="Q233">
        <v>0.93737562189054702</v>
      </c>
      <c r="R233">
        <v>22</v>
      </c>
      <c r="S233">
        <v>1.6577260472317601</v>
      </c>
      <c r="T233">
        <v>0.53629999336654</v>
      </c>
    </row>
    <row r="234" spans="1:20" x14ac:dyDescent="0.2">
      <c r="A234" t="str">
        <f t="shared" si="3"/>
        <v>sample_HS-CS5_D03_Rifaximin_S423</v>
      </c>
      <c r="B234" t="s">
        <v>471</v>
      </c>
      <c r="C234" s="3" t="s">
        <v>10</v>
      </c>
      <c r="D234" s="3" t="s">
        <v>8</v>
      </c>
      <c r="E234" s="3" t="s">
        <v>11</v>
      </c>
      <c r="F234" s="3" t="s">
        <v>11</v>
      </c>
      <c r="G234" s="3" t="s">
        <v>11</v>
      </c>
      <c r="H234" s="3" t="s">
        <v>13</v>
      </c>
      <c r="I234" s="3" t="s">
        <v>19</v>
      </c>
      <c r="J234" s="3" t="s">
        <v>61</v>
      </c>
      <c r="K234" s="3" t="s">
        <v>156</v>
      </c>
      <c r="L234" s="3">
        <v>39</v>
      </c>
      <c r="M234">
        <v>18188</v>
      </c>
      <c r="N234">
        <v>18242</v>
      </c>
      <c r="O234">
        <v>17868</v>
      </c>
      <c r="P234">
        <v>17147</v>
      </c>
      <c r="Q234">
        <v>0.95964853369151604</v>
      </c>
      <c r="R234">
        <v>18</v>
      </c>
      <c r="S234">
        <v>1.88865465916663</v>
      </c>
      <c r="T234">
        <v>0.65342966834873095</v>
      </c>
    </row>
    <row r="235" spans="1:20" x14ac:dyDescent="0.2">
      <c r="A235" t="str">
        <f t="shared" si="3"/>
        <v>sample_HS-CS6_D03_Rifaximin_S519</v>
      </c>
      <c r="B235" t="s">
        <v>472</v>
      </c>
      <c r="C235" s="3" t="s">
        <v>10</v>
      </c>
      <c r="D235" s="3" t="s">
        <v>8</v>
      </c>
      <c r="E235" s="3" t="s">
        <v>11</v>
      </c>
      <c r="F235" s="3" t="s">
        <v>11</v>
      </c>
      <c r="G235" s="3" t="s">
        <v>11</v>
      </c>
      <c r="H235" s="3" t="s">
        <v>13</v>
      </c>
      <c r="I235" s="3" t="s">
        <v>21</v>
      </c>
      <c r="J235" s="3" t="s">
        <v>61</v>
      </c>
      <c r="K235" s="3" t="s">
        <v>156</v>
      </c>
      <c r="L235" s="3">
        <v>39</v>
      </c>
      <c r="M235">
        <v>14690</v>
      </c>
      <c r="N235">
        <v>14723</v>
      </c>
      <c r="O235">
        <v>14431</v>
      </c>
      <c r="P235">
        <v>14239</v>
      </c>
      <c r="Q235">
        <v>0.986695308710415</v>
      </c>
      <c r="R235">
        <v>14</v>
      </c>
      <c r="S235">
        <v>1.03258613120497</v>
      </c>
      <c r="T235">
        <v>0.39127082220510501</v>
      </c>
    </row>
    <row r="236" spans="1:20" x14ac:dyDescent="0.2">
      <c r="A236" t="str">
        <f t="shared" si="3"/>
        <v>sample_HS-CS5_D04_Demeclocycline_S424</v>
      </c>
      <c r="B236" t="s">
        <v>473</v>
      </c>
      <c r="C236" s="3" t="s">
        <v>10</v>
      </c>
      <c r="D236" s="3" t="s">
        <v>8</v>
      </c>
      <c r="E236" s="3" t="s">
        <v>11</v>
      </c>
      <c r="F236" s="3" t="s">
        <v>11</v>
      </c>
      <c r="G236" s="3" t="s">
        <v>11</v>
      </c>
      <c r="H236" s="3" t="s">
        <v>13</v>
      </c>
      <c r="I236" s="3" t="s">
        <v>19</v>
      </c>
      <c r="J236" s="3" t="s">
        <v>62</v>
      </c>
      <c r="K236" s="3" t="s">
        <v>157</v>
      </c>
      <c r="L236" s="3">
        <v>40</v>
      </c>
      <c r="M236">
        <v>20432</v>
      </c>
      <c r="N236">
        <v>20445</v>
      </c>
      <c r="O236">
        <v>20285</v>
      </c>
      <c r="P236">
        <v>20249</v>
      </c>
      <c r="Q236">
        <v>0.99822528962287405</v>
      </c>
      <c r="R236">
        <v>18</v>
      </c>
      <c r="S236">
        <v>0.32837542929751801</v>
      </c>
      <c r="T236">
        <v>0.113610101676518</v>
      </c>
    </row>
    <row r="237" spans="1:20" x14ac:dyDescent="0.2">
      <c r="A237" t="str">
        <f t="shared" si="3"/>
        <v>sample_HS-CS6_D04_Demeclocycline_S520</v>
      </c>
      <c r="B237" t="s">
        <v>474</v>
      </c>
      <c r="C237" s="3" t="s">
        <v>10</v>
      </c>
      <c r="D237" s="3" t="s">
        <v>8</v>
      </c>
      <c r="E237" s="3" t="s">
        <v>11</v>
      </c>
      <c r="F237" s="3" t="s">
        <v>11</v>
      </c>
      <c r="G237" s="3" t="s">
        <v>11</v>
      </c>
      <c r="H237" s="3" t="s">
        <v>13</v>
      </c>
      <c r="I237" s="3" t="s">
        <v>21</v>
      </c>
      <c r="J237" s="3" t="s">
        <v>62</v>
      </c>
      <c r="K237" s="3" t="s">
        <v>157</v>
      </c>
      <c r="L237" s="3">
        <v>40</v>
      </c>
      <c r="M237">
        <v>18264</v>
      </c>
      <c r="N237">
        <v>18286</v>
      </c>
      <c r="O237">
        <v>18029</v>
      </c>
      <c r="P237">
        <v>17945</v>
      </c>
      <c r="Q237">
        <v>0.99534083975816701</v>
      </c>
      <c r="R237">
        <v>5</v>
      </c>
      <c r="S237">
        <v>0.18394665184387099</v>
      </c>
      <c r="T237">
        <v>0.114292480885871</v>
      </c>
    </row>
    <row r="238" spans="1:20" x14ac:dyDescent="0.2">
      <c r="A238" t="str">
        <f t="shared" si="3"/>
        <v>sample_16S-A-D04-L0_anaCS-Subj5-D04</v>
      </c>
      <c r="B238" t="s">
        <v>475</v>
      </c>
      <c r="C238" s="3" t="s">
        <v>9</v>
      </c>
      <c r="D238" s="3" t="s">
        <v>7</v>
      </c>
      <c r="E238" s="3" t="s">
        <v>3</v>
      </c>
      <c r="F238" s="3" t="s">
        <v>62</v>
      </c>
      <c r="G238" s="3" t="s">
        <v>18</v>
      </c>
      <c r="H238" s="3" t="s">
        <v>13</v>
      </c>
      <c r="I238" s="3" t="s">
        <v>19</v>
      </c>
      <c r="J238" s="3" t="s">
        <v>62</v>
      </c>
      <c r="K238" s="3" t="s">
        <v>157</v>
      </c>
      <c r="L238" s="3">
        <v>40</v>
      </c>
      <c r="M238">
        <v>93066</v>
      </c>
      <c r="N238">
        <v>93050</v>
      </c>
      <c r="O238">
        <v>92425</v>
      </c>
      <c r="P238">
        <v>90219</v>
      </c>
      <c r="Q238">
        <v>0.97613199891804203</v>
      </c>
      <c r="R238">
        <v>51</v>
      </c>
      <c r="S238">
        <v>0.88889867249217602</v>
      </c>
      <c r="T238">
        <v>0.226077846660831</v>
      </c>
    </row>
    <row r="239" spans="1:20" x14ac:dyDescent="0.2">
      <c r="A239" t="str">
        <f t="shared" si="3"/>
        <v>sample_16S-A-D04-L1_anaCS-Subj6-D04</v>
      </c>
      <c r="B239" t="s">
        <v>476</v>
      </c>
      <c r="C239" s="3" t="s">
        <v>9</v>
      </c>
      <c r="D239" s="3" t="s">
        <v>7</v>
      </c>
      <c r="E239" s="3" t="s">
        <v>3</v>
      </c>
      <c r="F239" s="3" t="s">
        <v>62</v>
      </c>
      <c r="G239" s="3" t="s">
        <v>20</v>
      </c>
      <c r="H239" s="3" t="s">
        <v>13</v>
      </c>
      <c r="I239" s="3" t="s">
        <v>21</v>
      </c>
      <c r="J239" s="3" t="s">
        <v>62</v>
      </c>
      <c r="K239" s="3" t="s">
        <v>157</v>
      </c>
      <c r="L239" s="3">
        <v>40</v>
      </c>
      <c r="M239">
        <v>63393</v>
      </c>
      <c r="N239">
        <v>63410</v>
      </c>
      <c r="O239">
        <v>63134</v>
      </c>
      <c r="P239">
        <v>60478</v>
      </c>
      <c r="Q239">
        <v>0.95793075046725995</v>
      </c>
      <c r="R239">
        <v>15</v>
      </c>
      <c r="S239">
        <v>0.486898042783106</v>
      </c>
      <c r="T239">
        <v>0.17979653500696999</v>
      </c>
    </row>
    <row r="240" spans="1:20" x14ac:dyDescent="0.2">
      <c r="A240" t="str">
        <f t="shared" si="3"/>
        <v>sample_16S-A-D04-L2_anaCS-Subj5-D04</v>
      </c>
      <c r="B240" t="s">
        <v>477</v>
      </c>
      <c r="C240" s="3" t="s">
        <v>9</v>
      </c>
      <c r="D240" s="3" t="s">
        <v>7</v>
      </c>
      <c r="E240" s="3" t="s">
        <v>3</v>
      </c>
      <c r="F240" s="3" t="s">
        <v>62</v>
      </c>
      <c r="G240" s="3" t="s">
        <v>22</v>
      </c>
      <c r="H240" s="3" t="s">
        <v>13</v>
      </c>
      <c r="I240" s="3" t="s">
        <v>19</v>
      </c>
      <c r="J240" s="3" t="s">
        <v>62</v>
      </c>
      <c r="K240" s="3" t="s">
        <v>157</v>
      </c>
      <c r="L240" s="3">
        <v>40</v>
      </c>
      <c r="M240">
        <v>74777</v>
      </c>
      <c r="N240">
        <v>74779</v>
      </c>
      <c r="O240">
        <v>74149</v>
      </c>
      <c r="P240">
        <v>71231</v>
      </c>
      <c r="Q240">
        <v>0.96064680575597805</v>
      </c>
      <c r="R240">
        <v>43</v>
      </c>
      <c r="S240">
        <v>1.00272102226919</v>
      </c>
      <c r="T240">
        <v>0.26659603090124101</v>
      </c>
    </row>
    <row r="241" spans="1:20" x14ac:dyDescent="0.2">
      <c r="A241" t="str">
        <f t="shared" si="3"/>
        <v>sample_16S-A-D04-L3_anaCS-Subj6-D04</v>
      </c>
      <c r="B241" t="s">
        <v>478</v>
      </c>
      <c r="C241" s="3" t="s">
        <v>9</v>
      </c>
      <c r="D241" s="3" t="s">
        <v>7</v>
      </c>
      <c r="E241" s="3" t="s">
        <v>3</v>
      </c>
      <c r="F241" s="3" t="s">
        <v>62</v>
      </c>
      <c r="G241" s="3" t="s">
        <v>23</v>
      </c>
      <c r="H241" s="3" t="s">
        <v>13</v>
      </c>
      <c r="I241" s="3" t="s">
        <v>21</v>
      </c>
      <c r="J241" s="3" t="s">
        <v>62</v>
      </c>
      <c r="K241" s="3" t="s">
        <v>157</v>
      </c>
      <c r="L241" s="3">
        <v>40</v>
      </c>
      <c r="M241">
        <v>88039</v>
      </c>
      <c r="N241">
        <v>88019</v>
      </c>
      <c r="O241">
        <v>87505</v>
      </c>
      <c r="P241">
        <v>82170</v>
      </c>
      <c r="Q241">
        <v>0.93903205531112499</v>
      </c>
      <c r="R241">
        <v>19</v>
      </c>
      <c r="S241">
        <v>0.50132029652406096</v>
      </c>
      <c r="T241">
        <v>0.170260039372928</v>
      </c>
    </row>
    <row r="242" spans="1:20" x14ac:dyDescent="0.2">
      <c r="A242" t="str">
        <f t="shared" si="3"/>
        <v>sample_HS-CS5_D05_Levofloxacin_S425</v>
      </c>
      <c r="B242" t="s">
        <v>479</v>
      </c>
      <c r="C242" s="3" t="s">
        <v>10</v>
      </c>
      <c r="D242" s="3" t="s">
        <v>8</v>
      </c>
      <c r="E242" s="3" t="s">
        <v>11</v>
      </c>
      <c r="F242" s="3" t="s">
        <v>11</v>
      </c>
      <c r="G242" s="3" t="s">
        <v>11</v>
      </c>
      <c r="H242" s="3" t="s">
        <v>13</v>
      </c>
      <c r="I242" s="3" t="s">
        <v>19</v>
      </c>
      <c r="J242" s="3" t="s">
        <v>63</v>
      </c>
      <c r="K242" s="3" t="s">
        <v>158</v>
      </c>
      <c r="L242" s="3">
        <v>41</v>
      </c>
      <c r="M242">
        <v>23499</v>
      </c>
      <c r="N242">
        <v>23544</v>
      </c>
      <c r="O242">
        <v>23045</v>
      </c>
      <c r="P242">
        <v>22548</v>
      </c>
      <c r="Q242">
        <v>0.97843349967454996</v>
      </c>
      <c r="R242">
        <v>47</v>
      </c>
      <c r="S242">
        <v>2.4392658418101498</v>
      </c>
      <c r="T242">
        <v>0.63355125417185099</v>
      </c>
    </row>
    <row r="243" spans="1:20" x14ac:dyDescent="0.2">
      <c r="A243" t="str">
        <f t="shared" si="3"/>
        <v>sample_HS-CS6_D05_Levofloxacin_S521</v>
      </c>
      <c r="B243" t="s">
        <v>480</v>
      </c>
      <c r="C243" s="3" t="s">
        <v>10</v>
      </c>
      <c r="D243" s="3" t="s">
        <v>8</v>
      </c>
      <c r="E243" s="3" t="s">
        <v>11</v>
      </c>
      <c r="F243" s="3" t="s">
        <v>11</v>
      </c>
      <c r="G243" s="3" t="s">
        <v>11</v>
      </c>
      <c r="H243" s="3" t="s">
        <v>13</v>
      </c>
      <c r="I243" s="3" t="s">
        <v>21</v>
      </c>
      <c r="J243" s="3" t="s">
        <v>63</v>
      </c>
      <c r="K243" s="3" t="s">
        <v>158</v>
      </c>
      <c r="L243" s="3">
        <v>41</v>
      </c>
      <c r="M243">
        <v>7529</v>
      </c>
      <c r="N243">
        <v>7574</v>
      </c>
      <c r="O243">
        <v>7360</v>
      </c>
      <c r="P243">
        <v>7147</v>
      </c>
      <c r="Q243">
        <v>0.97105978260869596</v>
      </c>
      <c r="R243" t="s">
        <v>11</v>
      </c>
      <c r="S243" t="s">
        <v>11</v>
      </c>
      <c r="T243" t="s">
        <v>11</v>
      </c>
    </row>
    <row r="244" spans="1:20" x14ac:dyDescent="0.2">
      <c r="A244" t="str">
        <f t="shared" si="3"/>
        <v>sample_16S-A-D05-L0_anaCS-Subj5-D05</v>
      </c>
      <c r="B244" t="s">
        <v>481</v>
      </c>
      <c r="C244" s="3" t="s">
        <v>9</v>
      </c>
      <c r="D244" s="3" t="s">
        <v>7</v>
      </c>
      <c r="E244" s="3" t="s">
        <v>3</v>
      </c>
      <c r="F244" s="3" t="s">
        <v>63</v>
      </c>
      <c r="G244" s="3" t="s">
        <v>18</v>
      </c>
      <c r="H244" s="3" t="s">
        <v>13</v>
      </c>
      <c r="I244" s="3" t="s">
        <v>19</v>
      </c>
      <c r="J244" s="3" t="s">
        <v>63</v>
      </c>
      <c r="K244" s="3" t="s">
        <v>158</v>
      </c>
      <c r="L244" s="3">
        <v>41</v>
      </c>
      <c r="M244">
        <v>134832</v>
      </c>
      <c r="N244">
        <v>134932</v>
      </c>
      <c r="O244">
        <v>132650</v>
      </c>
      <c r="P244">
        <v>123448</v>
      </c>
      <c r="Q244">
        <v>0.93062947606483204</v>
      </c>
      <c r="R244">
        <v>66</v>
      </c>
      <c r="S244">
        <v>2.5714457444064398</v>
      </c>
      <c r="T244">
        <v>0.61376077570599497</v>
      </c>
    </row>
    <row r="245" spans="1:20" x14ac:dyDescent="0.2">
      <c r="A245" t="str">
        <f t="shared" si="3"/>
        <v>sample_16S-A-D05-L1_anaCS-Subj6-D05</v>
      </c>
      <c r="B245" t="s">
        <v>482</v>
      </c>
      <c r="C245" s="3" t="s">
        <v>9</v>
      </c>
      <c r="D245" s="3" t="s">
        <v>7</v>
      </c>
      <c r="E245" s="3" t="s">
        <v>3</v>
      </c>
      <c r="F245" s="3" t="s">
        <v>63</v>
      </c>
      <c r="G245" s="3" t="s">
        <v>20</v>
      </c>
      <c r="H245" s="3" t="s">
        <v>13</v>
      </c>
      <c r="I245" s="3" t="s">
        <v>21</v>
      </c>
      <c r="J245" s="3" t="s">
        <v>63</v>
      </c>
      <c r="K245" s="3" t="s">
        <v>158</v>
      </c>
      <c r="L245" s="3">
        <v>41</v>
      </c>
      <c r="M245">
        <v>79214</v>
      </c>
      <c r="N245">
        <v>79323</v>
      </c>
      <c r="O245">
        <v>77992</v>
      </c>
      <c r="P245">
        <v>73599</v>
      </c>
      <c r="Q245">
        <v>0.94367371012411505</v>
      </c>
      <c r="R245">
        <v>63</v>
      </c>
      <c r="S245">
        <v>2.6725842426561099</v>
      </c>
      <c r="T245">
        <v>0.64506332020339696</v>
      </c>
    </row>
    <row r="246" spans="1:20" x14ac:dyDescent="0.2">
      <c r="A246" t="str">
        <f t="shared" si="3"/>
        <v>sample_16S-A-D05-L2_anaCS-Subj5-D05</v>
      </c>
      <c r="B246" t="s">
        <v>483</v>
      </c>
      <c r="C246" s="3" t="s">
        <v>9</v>
      </c>
      <c r="D246" s="3" t="s">
        <v>7</v>
      </c>
      <c r="E246" s="3" t="s">
        <v>3</v>
      </c>
      <c r="F246" s="3" t="s">
        <v>63</v>
      </c>
      <c r="G246" s="3" t="s">
        <v>22</v>
      </c>
      <c r="H246" s="3" t="s">
        <v>13</v>
      </c>
      <c r="I246" s="3" t="s">
        <v>19</v>
      </c>
      <c r="J246" s="3" t="s">
        <v>63</v>
      </c>
      <c r="K246" s="3" t="s">
        <v>158</v>
      </c>
      <c r="L246" s="3">
        <v>41</v>
      </c>
      <c r="M246">
        <v>77618</v>
      </c>
      <c r="N246">
        <v>77713</v>
      </c>
      <c r="O246">
        <v>75494</v>
      </c>
      <c r="P246">
        <v>68615</v>
      </c>
      <c r="Q246">
        <v>0.90888017590801895</v>
      </c>
      <c r="R246">
        <v>55</v>
      </c>
      <c r="S246">
        <v>2.51237752753251</v>
      </c>
      <c r="T246">
        <v>0.62694500591838498</v>
      </c>
    </row>
    <row r="247" spans="1:20" x14ac:dyDescent="0.2">
      <c r="A247" t="str">
        <f t="shared" si="3"/>
        <v>sample_16S-A-D05-L3_anaCS-Subj6-D05</v>
      </c>
      <c r="B247" t="s">
        <v>484</v>
      </c>
      <c r="C247" s="3" t="s">
        <v>9</v>
      </c>
      <c r="D247" s="3" t="s">
        <v>7</v>
      </c>
      <c r="E247" s="3" t="s">
        <v>3</v>
      </c>
      <c r="F247" s="3" t="s">
        <v>63</v>
      </c>
      <c r="G247" s="3" t="s">
        <v>23</v>
      </c>
      <c r="H247" s="3" t="s">
        <v>13</v>
      </c>
      <c r="I247" s="3" t="s">
        <v>21</v>
      </c>
      <c r="J247" s="3" t="s">
        <v>63</v>
      </c>
      <c r="K247" s="3" t="s">
        <v>158</v>
      </c>
      <c r="L247" s="3">
        <v>41</v>
      </c>
      <c r="M247">
        <v>94377</v>
      </c>
      <c r="N247">
        <v>94383</v>
      </c>
      <c r="O247">
        <v>92459</v>
      </c>
      <c r="P247">
        <v>84583</v>
      </c>
      <c r="Q247">
        <v>0.91481629695324396</v>
      </c>
      <c r="R247">
        <v>64</v>
      </c>
      <c r="S247">
        <v>2.6576401387027402</v>
      </c>
      <c r="T247">
        <v>0.63902737476231697</v>
      </c>
    </row>
    <row r="248" spans="1:20" x14ac:dyDescent="0.2">
      <c r="A248" t="str">
        <f t="shared" si="3"/>
        <v>sample_16S-A-D06-L0_anaCS-Subj5-D06</v>
      </c>
      <c r="B248" t="s">
        <v>485</v>
      </c>
      <c r="C248" s="3" t="s">
        <v>9</v>
      </c>
      <c r="D248" s="3" t="s">
        <v>7</v>
      </c>
      <c r="E248" s="3" t="s">
        <v>3</v>
      </c>
      <c r="F248" s="3" t="s">
        <v>64</v>
      </c>
      <c r="G248" s="3" t="s">
        <v>18</v>
      </c>
      <c r="H248" s="3" t="s">
        <v>13</v>
      </c>
      <c r="I248" s="3" t="s">
        <v>19</v>
      </c>
      <c r="J248" s="3" t="s">
        <v>64</v>
      </c>
      <c r="K248" s="3" t="s">
        <v>159</v>
      </c>
      <c r="L248" s="3">
        <v>42</v>
      </c>
      <c r="M248">
        <v>114458</v>
      </c>
      <c r="N248">
        <v>114455</v>
      </c>
      <c r="O248">
        <v>112336</v>
      </c>
      <c r="P248">
        <v>103675</v>
      </c>
      <c r="Q248">
        <v>0.92290094003703205</v>
      </c>
      <c r="R248">
        <v>61</v>
      </c>
      <c r="S248">
        <v>2.7571058307623799</v>
      </c>
      <c r="T248">
        <v>0.67068606867042102</v>
      </c>
    </row>
    <row r="249" spans="1:20" x14ac:dyDescent="0.2">
      <c r="A249" t="str">
        <f t="shared" si="3"/>
        <v>sample_16S-A-D06-L1_anaCS-Subj6-D06</v>
      </c>
      <c r="B249" t="s">
        <v>486</v>
      </c>
      <c r="C249" s="3" t="s">
        <v>9</v>
      </c>
      <c r="D249" s="3" t="s">
        <v>7</v>
      </c>
      <c r="E249" s="3" t="s">
        <v>3</v>
      </c>
      <c r="F249" s="3" t="s">
        <v>64</v>
      </c>
      <c r="G249" s="3" t="s">
        <v>20</v>
      </c>
      <c r="H249" s="3" t="s">
        <v>13</v>
      </c>
      <c r="I249" s="3" t="s">
        <v>21</v>
      </c>
      <c r="J249" s="3" t="s">
        <v>64</v>
      </c>
      <c r="K249" s="3" t="s">
        <v>159</v>
      </c>
      <c r="L249" s="3">
        <v>42</v>
      </c>
      <c r="M249">
        <v>68496</v>
      </c>
      <c r="N249">
        <v>68567</v>
      </c>
      <c r="O249">
        <v>66783</v>
      </c>
      <c r="P249">
        <v>61309</v>
      </c>
      <c r="Q249">
        <v>0.91803303235853395</v>
      </c>
      <c r="R249">
        <v>89</v>
      </c>
      <c r="S249">
        <v>3.2430228682435298</v>
      </c>
      <c r="T249">
        <v>0.72249623295661602</v>
      </c>
    </row>
    <row r="250" spans="1:20" x14ac:dyDescent="0.2">
      <c r="A250" t="str">
        <f t="shared" si="3"/>
        <v>sample_16S-A-D06-L2_anaCS-Subj5-D06</v>
      </c>
      <c r="B250" t="s">
        <v>487</v>
      </c>
      <c r="C250" s="3" t="s">
        <v>9</v>
      </c>
      <c r="D250" s="3" t="s">
        <v>7</v>
      </c>
      <c r="E250" s="3" t="s">
        <v>3</v>
      </c>
      <c r="F250" s="3" t="s">
        <v>64</v>
      </c>
      <c r="G250" s="3" t="s">
        <v>22</v>
      </c>
      <c r="H250" s="3" t="s">
        <v>13</v>
      </c>
      <c r="I250" s="3" t="s">
        <v>19</v>
      </c>
      <c r="J250" s="3" t="s">
        <v>64</v>
      </c>
      <c r="K250" s="3" t="s">
        <v>159</v>
      </c>
      <c r="L250" s="3">
        <v>42</v>
      </c>
      <c r="M250">
        <v>95571</v>
      </c>
      <c r="N250">
        <v>95566</v>
      </c>
      <c r="O250">
        <v>93019</v>
      </c>
      <c r="P250">
        <v>82549</v>
      </c>
      <c r="Q250">
        <v>0.88744235048753495</v>
      </c>
      <c r="R250">
        <v>59</v>
      </c>
      <c r="S250">
        <v>2.7365946212612702</v>
      </c>
      <c r="T250">
        <v>0.67113905363429005</v>
      </c>
    </row>
    <row r="251" spans="1:20" x14ac:dyDescent="0.2">
      <c r="A251" t="str">
        <f t="shared" si="3"/>
        <v>sample_16S-A-D06-L3_anaCS-Subj6-D06</v>
      </c>
      <c r="B251" t="s">
        <v>488</v>
      </c>
      <c r="C251" s="3" t="s">
        <v>9</v>
      </c>
      <c r="D251" s="3" t="s">
        <v>7</v>
      </c>
      <c r="E251" s="3" t="s">
        <v>3</v>
      </c>
      <c r="F251" s="3" t="s">
        <v>64</v>
      </c>
      <c r="G251" s="3" t="s">
        <v>23</v>
      </c>
      <c r="H251" s="3" t="s">
        <v>13</v>
      </c>
      <c r="I251" s="3" t="s">
        <v>21</v>
      </c>
      <c r="J251" s="3" t="s">
        <v>64</v>
      </c>
      <c r="K251" s="3" t="s">
        <v>159</v>
      </c>
      <c r="L251" s="3">
        <v>42</v>
      </c>
      <c r="M251">
        <v>127013</v>
      </c>
      <c r="N251">
        <v>127010</v>
      </c>
      <c r="O251">
        <v>123158</v>
      </c>
      <c r="P251">
        <v>106755</v>
      </c>
      <c r="Q251">
        <v>0.86681336169798096</v>
      </c>
      <c r="R251">
        <v>94</v>
      </c>
      <c r="S251">
        <v>3.2593407178662099</v>
      </c>
      <c r="T251">
        <v>0.71739582705168803</v>
      </c>
    </row>
    <row r="252" spans="1:20" x14ac:dyDescent="0.2">
      <c r="A252" t="str">
        <f t="shared" si="3"/>
        <v>sample_HS-CS5_D06_Pazufloxacin_S426</v>
      </c>
      <c r="B252" t="s">
        <v>489</v>
      </c>
      <c r="C252" s="3" t="s">
        <v>10</v>
      </c>
      <c r="D252" s="3" t="s">
        <v>8</v>
      </c>
      <c r="E252" s="3" t="s">
        <v>11</v>
      </c>
      <c r="F252" s="3" t="s">
        <v>11</v>
      </c>
      <c r="G252" s="3" t="s">
        <v>11</v>
      </c>
      <c r="H252" s="3" t="s">
        <v>13</v>
      </c>
      <c r="I252" s="3" t="s">
        <v>19</v>
      </c>
      <c r="J252" s="3" t="s">
        <v>64</v>
      </c>
      <c r="K252" s="3" t="s">
        <v>159</v>
      </c>
      <c r="L252" s="3">
        <v>42</v>
      </c>
      <c r="M252">
        <v>17191</v>
      </c>
      <c r="N252">
        <v>17240</v>
      </c>
      <c r="O252">
        <v>16836</v>
      </c>
      <c r="P252">
        <v>16381</v>
      </c>
      <c r="Q252">
        <v>0.97297457828462797</v>
      </c>
      <c r="R252">
        <v>44</v>
      </c>
      <c r="S252">
        <v>2.5391782328105301</v>
      </c>
      <c r="T252">
        <v>0.67099656160238197</v>
      </c>
    </row>
    <row r="253" spans="1:20" x14ac:dyDescent="0.2">
      <c r="A253" t="str">
        <f t="shared" si="3"/>
        <v>sample_HS-CS6_D06_Pazufloxacin_S522</v>
      </c>
      <c r="B253" t="s">
        <v>490</v>
      </c>
      <c r="C253" s="3" t="s">
        <v>10</v>
      </c>
      <c r="D253" s="3" t="s">
        <v>8</v>
      </c>
      <c r="E253" s="3" t="s">
        <v>11</v>
      </c>
      <c r="F253" s="3" t="s">
        <v>11</v>
      </c>
      <c r="G253" s="3" t="s">
        <v>11</v>
      </c>
      <c r="H253" s="3" t="s">
        <v>13</v>
      </c>
      <c r="I253" s="3" t="s">
        <v>21</v>
      </c>
      <c r="J253" s="3" t="s">
        <v>64</v>
      </c>
      <c r="K253" s="3" t="s">
        <v>159</v>
      </c>
      <c r="L253" s="3">
        <v>42</v>
      </c>
      <c r="M253">
        <v>8898</v>
      </c>
      <c r="N253">
        <v>8907</v>
      </c>
      <c r="O253">
        <v>8626</v>
      </c>
      <c r="P253">
        <v>8437</v>
      </c>
      <c r="Q253">
        <v>0.97808949686992797</v>
      </c>
      <c r="R253" t="s">
        <v>11</v>
      </c>
      <c r="S253" t="s">
        <v>11</v>
      </c>
      <c r="T253" t="s">
        <v>11</v>
      </c>
    </row>
    <row r="254" spans="1:20" x14ac:dyDescent="0.2">
      <c r="A254" t="str">
        <f t="shared" si="3"/>
        <v>sample_HS-CS5_D07_Clomifene-citrate_S427</v>
      </c>
      <c r="B254" t="s">
        <v>491</v>
      </c>
      <c r="C254" s="3" t="s">
        <v>10</v>
      </c>
      <c r="D254" s="3" t="s">
        <v>8</v>
      </c>
      <c r="E254" s="3" t="s">
        <v>11</v>
      </c>
      <c r="F254" s="3" t="s">
        <v>11</v>
      </c>
      <c r="G254" s="3" t="s">
        <v>11</v>
      </c>
      <c r="H254" s="3" t="s">
        <v>13</v>
      </c>
      <c r="I254" s="3" t="s">
        <v>19</v>
      </c>
      <c r="J254" s="3" t="s">
        <v>65</v>
      </c>
      <c r="K254" s="3" t="s">
        <v>160</v>
      </c>
      <c r="L254" s="3">
        <v>43</v>
      </c>
      <c r="M254">
        <v>16446</v>
      </c>
      <c r="N254">
        <v>16520</v>
      </c>
      <c r="O254">
        <v>16096</v>
      </c>
      <c r="P254">
        <v>15992</v>
      </c>
      <c r="Q254">
        <v>0.99353876739562597</v>
      </c>
      <c r="R254">
        <v>40</v>
      </c>
      <c r="S254">
        <v>2.35845614027301</v>
      </c>
      <c r="T254">
        <v>0.63934215514762704</v>
      </c>
    </row>
    <row r="255" spans="1:20" x14ac:dyDescent="0.2">
      <c r="A255" t="str">
        <f t="shared" si="3"/>
        <v>sample_HS-CS6_D07_Clomifene-citrate_S523</v>
      </c>
      <c r="B255" t="s">
        <v>492</v>
      </c>
      <c r="C255" s="3" t="s">
        <v>10</v>
      </c>
      <c r="D255" s="3" t="s">
        <v>8</v>
      </c>
      <c r="E255" s="3" t="s">
        <v>11</v>
      </c>
      <c r="F255" s="3" t="s">
        <v>11</v>
      </c>
      <c r="G255" s="3" t="s">
        <v>11</v>
      </c>
      <c r="H255" s="3" t="s">
        <v>13</v>
      </c>
      <c r="I255" s="3" t="s">
        <v>21</v>
      </c>
      <c r="J255" s="3" t="s">
        <v>65</v>
      </c>
      <c r="K255" s="3" t="s">
        <v>160</v>
      </c>
      <c r="L255" s="3">
        <v>43</v>
      </c>
      <c r="M255">
        <v>13020</v>
      </c>
      <c r="N255">
        <v>12992</v>
      </c>
      <c r="O255">
        <v>12589</v>
      </c>
      <c r="P255">
        <v>12457</v>
      </c>
      <c r="Q255">
        <v>0.989514655651759</v>
      </c>
      <c r="R255">
        <v>30</v>
      </c>
      <c r="S255">
        <v>1.3922161389014001</v>
      </c>
      <c r="T255">
        <v>0.409331180368317</v>
      </c>
    </row>
    <row r="256" spans="1:20" x14ac:dyDescent="0.2">
      <c r="A256" t="str">
        <f t="shared" si="3"/>
        <v>sample_16S-A-D07-L0_anaCS-Subj5-D07</v>
      </c>
      <c r="B256" t="s">
        <v>493</v>
      </c>
      <c r="C256" s="3" t="s">
        <v>9</v>
      </c>
      <c r="D256" s="3" t="s">
        <v>7</v>
      </c>
      <c r="E256" s="3" t="s">
        <v>3</v>
      </c>
      <c r="F256" s="3" t="s">
        <v>65</v>
      </c>
      <c r="G256" s="3" t="s">
        <v>18</v>
      </c>
      <c r="H256" s="3" t="s">
        <v>13</v>
      </c>
      <c r="I256" s="3" t="s">
        <v>19</v>
      </c>
      <c r="J256" s="3" t="s">
        <v>65</v>
      </c>
      <c r="K256" s="3" t="s">
        <v>160</v>
      </c>
      <c r="L256" s="3">
        <v>43</v>
      </c>
      <c r="M256">
        <v>108446</v>
      </c>
      <c r="N256">
        <v>108471</v>
      </c>
      <c r="O256">
        <v>106322</v>
      </c>
      <c r="P256">
        <v>98991</v>
      </c>
      <c r="Q256">
        <v>0.93104907733112596</v>
      </c>
      <c r="R256">
        <v>70</v>
      </c>
      <c r="S256">
        <v>2.79150074491523</v>
      </c>
      <c r="T256">
        <v>0.65705634251073897</v>
      </c>
    </row>
    <row r="257" spans="1:20" x14ac:dyDescent="0.2">
      <c r="A257" t="str">
        <f t="shared" si="3"/>
        <v>sample_16S-A-D07-L1_anaCS-Subj6-D07</v>
      </c>
      <c r="B257" t="s">
        <v>494</v>
      </c>
      <c r="C257" s="3" t="s">
        <v>9</v>
      </c>
      <c r="D257" s="3" t="s">
        <v>7</v>
      </c>
      <c r="E257" s="3" t="s">
        <v>3</v>
      </c>
      <c r="F257" s="3" t="s">
        <v>65</v>
      </c>
      <c r="G257" s="3" t="s">
        <v>20</v>
      </c>
      <c r="H257" s="3" t="s">
        <v>13</v>
      </c>
      <c r="I257" s="3" t="s">
        <v>21</v>
      </c>
      <c r="J257" s="3" t="s">
        <v>65</v>
      </c>
      <c r="K257" s="3" t="s">
        <v>160</v>
      </c>
      <c r="L257" s="3">
        <v>43</v>
      </c>
      <c r="M257">
        <v>75687</v>
      </c>
      <c r="N257">
        <v>75539</v>
      </c>
      <c r="O257">
        <v>73774</v>
      </c>
      <c r="P257">
        <v>67158</v>
      </c>
      <c r="Q257">
        <v>0.91032070919294095</v>
      </c>
      <c r="R257">
        <v>71</v>
      </c>
      <c r="S257">
        <v>2.5952894790911998</v>
      </c>
      <c r="T257">
        <v>0.60883987396505201</v>
      </c>
    </row>
    <row r="258" spans="1:20" x14ac:dyDescent="0.2">
      <c r="A258" t="str">
        <f t="shared" si="3"/>
        <v>sample_16S-A-D07-L2_anaCS-Subj5-D07</v>
      </c>
      <c r="B258" t="s">
        <v>495</v>
      </c>
      <c r="C258" s="3" t="s">
        <v>9</v>
      </c>
      <c r="D258" s="3" t="s">
        <v>7</v>
      </c>
      <c r="E258" s="3" t="s">
        <v>3</v>
      </c>
      <c r="F258" s="3" t="s">
        <v>65</v>
      </c>
      <c r="G258" s="3" t="s">
        <v>22</v>
      </c>
      <c r="H258" s="3" t="s">
        <v>13</v>
      </c>
      <c r="I258" s="3" t="s">
        <v>19</v>
      </c>
      <c r="J258" s="3" t="s">
        <v>65</v>
      </c>
      <c r="K258" s="3" t="s">
        <v>160</v>
      </c>
      <c r="L258" s="3">
        <v>43</v>
      </c>
      <c r="M258">
        <v>91049</v>
      </c>
      <c r="N258">
        <v>91338</v>
      </c>
      <c r="O258">
        <v>88497</v>
      </c>
      <c r="P258">
        <v>79010</v>
      </c>
      <c r="Q258">
        <v>0.892798625942122</v>
      </c>
      <c r="R258">
        <v>71</v>
      </c>
      <c r="S258">
        <v>2.7839970996377699</v>
      </c>
      <c r="T258">
        <v>0.65310958832079002</v>
      </c>
    </row>
    <row r="259" spans="1:20" x14ac:dyDescent="0.2">
      <c r="A259" t="str">
        <f t="shared" ref="A259:A322" si="4">_xlfn.CONCAT("sample_",B259)</f>
        <v>sample_16S-A-D07-L3_anaCS-Subj6-D07</v>
      </c>
      <c r="B259" t="s">
        <v>496</v>
      </c>
      <c r="C259" s="3" t="s">
        <v>9</v>
      </c>
      <c r="D259" s="3" t="s">
        <v>7</v>
      </c>
      <c r="E259" s="3" t="s">
        <v>3</v>
      </c>
      <c r="F259" s="3" t="s">
        <v>65</v>
      </c>
      <c r="G259" s="3" t="s">
        <v>23</v>
      </c>
      <c r="H259" s="3" t="s">
        <v>13</v>
      </c>
      <c r="I259" s="3" t="s">
        <v>21</v>
      </c>
      <c r="J259" s="3" t="s">
        <v>65</v>
      </c>
      <c r="K259" s="3" t="s">
        <v>160</v>
      </c>
      <c r="L259" s="3">
        <v>43</v>
      </c>
      <c r="M259">
        <v>126747</v>
      </c>
      <c r="N259">
        <v>126873</v>
      </c>
      <c r="O259">
        <v>123574</v>
      </c>
      <c r="P259">
        <v>107246</v>
      </c>
      <c r="Q259">
        <v>0.86786864550795495</v>
      </c>
      <c r="R259">
        <v>77</v>
      </c>
      <c r="S259">
        <v>2.58842850181885</v>
      </c>
      <c r="T259">
        <v>0.59588960610354902</v>
      </c>
    </row>
    <row r="260" spans="1:20" x14ac:dyDescent="0.2">
      <c r="A260" t="str">
        <f t="shared" si="4"/>
        <v>sample_HS-CS5_D08_Crotamiton_S428</v>
      </c>
      <c r="B260" t="s">
        <v>497</v>
      </c>
      <c r="C260" s="3" t="s">
        <v>10</v>
      </c>
      <c r="D260" s="3" t="s">
        <v>8</v>
      </c>
      <c r="E260" s="3" t="s">
        <v>11</v>
      </c>
      <c r="F260" s="3" t="s">
        <v>11</v>
      </c>
      <c r="G260" s="3" t="s">
        <v>11</v>
      </c>
      <c r="H260" s="3" t="s">
        <v>13</v>
      </c>
      <c r="I260" s="3" t="s">
        <v>19</v>
      </c>
      <c r="J260" s="3" t="s">
        <v>66</v>
      </c>
      <c r="K260" s="3" t="s">
        <v>161</v>
      </c>
      <c r="L260" s="3">
        <v>44</v>
      </c>
      <c r="M260">
        <v>17424</v>
      </c>
      <c r="N260">
        <v>17478</v>
      </c>
      <c r="O260">
        <v>17049</v>
      </c>
      <c r="P260">
        <v>16978</v>
      </c>
      <c r="Q260">
        <v>0.99583553287582804</v>
      </c>
      <c r="R260">
        <v>45</v>
      </c>
      <c r="S260">
        <v>2.3137729606535702</v>
      </c>
      <c r="T260">
        <v>0.60782193506027704</v>
      </c>
    </row>
    <row r="261" spans="1:20" x14ac:dyDescent="0.2">
      <c r="A261" t="str">
        <f t="shared" si="4"/>
        <v>sample_HS-CS6_D08_Crotamiton_S524</v>
      </c>
      <c r="B261" t="s">
        <v>498</v>
      </c>
      <c r="C261" s="3" t="s">
        <v>10</v>
      </c>
      <c r="D261" s="3" t="s">
        <v>8</v>
      </c>
      <c r="E261" s="3" t="s">
        <v>11</v>
      </c>
      <c r="F261" s="3" t="s">
        <v>11</v>
      </c>
      <c r="G261" s="3" t="s">
        <v>11</v>
      </c>
      <c r="H261" s="3" t="s">
        <v>13</v>
      </c>
      <c r="I261" s="3" t="s">
        <v>21</v>
      </c>
      <c r="J261" s="3" t="s">
        <v>66</v>
      </c>
      <c r="K261" s="3" t="s">
        <v>161</v>
      </c>
      <c r="L261" s="3">
        <v>44</v>
      </c>
      <c r="M261">
        <v>15456</v>
      </c>
      <c r="N261">
        <v>15454</v>
      </c>
      <c r="O261">
        <v>15008</v>
      </c>
      <c r="P261">
        <v>14662</v>
      </c>
      <c r="Q261">
        <v>0.97694562899786797</v>
      </c>
      <c r="R261">
        <v>32</v>
      </c>
      <c r="S261">
        <v>1.31646873953455</v>
      </c>
      <c r="T261">
        <v>0.37985258440236702</v>
      </c>
    </row>
    <row r="262" spans="1:20" x14ac:dyDescent="0.2">
      <c r="A262" t="str">
        <f t="shared" si="4"/>
        <v>sample_16S-A-D08-L0_anaCS-Subj5-D08</v>
      </c>
      <c r="B262" t="s">
        <v>499</v>
      </c>
      <c r="C262" s="3" t="s">
        <v>9</v>
      </c>
      <c r="D262" s="3" t="s">
        <v>7</v>
      </c>
      <c r="E262" s="3" t="s">
        <v>3</v>
      </c>
      <c r="F262" s="3" t="s">
        <v>66</v>
      </c>
      <c r="G262" s="3" t="s">
        <v>18</v>
      </c>
      <c r="H262" s="3" t="s">
        <v>13</v>
      </c>
      <c r="I262" s="3" t="s">
        <v>19</v>
      </c>
      <c r="J262" s="3" t="s">
        <v>66</v>
      </c>
      <c r="K262" s="3" t="s">
        <v>161</v>
      </c>
      <c r="L262" s="3">
        <v>44</v>
      </c>
      <c r="M262">
        <v>91996</v>
      </c>
      <c r="N262">
        <v>92092</v>
      </c>
      <c r="O262">
        <v>90061</v>
      </c>
      <c r="P262">
        <v>84477</v>
      </c>
      <c r="Q262">
        <v>0.93799757941839401</v>
      </c>
      <c r="R262">
        <v>69</v>
      </c>
      <c r="S262">
        <v>2.7917233815345699</v>
      </c>
      <c r="T262">
        <v>0.65934179466279597</v>
      </c>
    </row>
    <row r="263" spans="1:20" x14ac:dyDescent="0.2">
      <c r="A263" t="str">
        <f t="shared" si="4"/>
        <v>sample_16S-A-D08-L1_anaCS-Subj6-D08</v>
      </c>
      <c r="B263" t="s">
        <v>500</v>
      </c>
      <c r="C263" s="3" t="s">
        <v>9</v>
      </c>
      <c r="D263" s="3" t="s">
        <v>7</v>
      </c>
      <c r="E263" s="3" t="s">
        <v>3</v>
      </c>
      <c r="F263" s="3" t="s">
        <v>66</v>
      </c>
      <c r="G263" s="3" t="s">
        <v>20</v>
      </c>
      <c r="H263" s="3" t="s">
        <v>13</v>
      </c>
      <c r="I263" s="3" t="s">
        <v>21</v>
      </c>
      <c r="J263" s="3" t="s">
        <v>66</v>
      </c>
      <c r="K263" s="3" t="s">
        <v>161</v>
      </c>
      <c r="L263" s="3">
        <v>44</v>
      </c>
      <c r="M263">
        <v>71588</v>
      </c>
      <c r="N263">
        <v>71627</v>
      </c>
      <c r="O263">
        <v>70346</v>
      </c>
      <c r="P263">
        <v>65433</v>
      </c>
      <c r="Q263">
        <v>0.93015949734171099</v>
      </c>
      <c r="R263">
        <v>69</v>
      </c>
      <c r="S263">
        <v>2.49627299779032</v>
      </c>
      <c r="T263">
        <v>0.589563109732821</v>
      </c>
    </row>
    <row r="264" spans="1:20" x14ac:dyDescent="0.2">
      <c r="A264" t="str">
        <f t="shared" si="4"/>
        <v>sample_16S-A-D08-L2_anaCS-Subj5-D08</v>
      </c>
      <c r="B264" t="s">
        <v>501</v>
      </c>
      <c r="C264" s="3" t="s">
        <v>9</v>
      </c>
      <c r="D264" s="3" t="s">
        <v>7</v>
      </c>
      <c r="E264" s="3" t="s">
        <v>3</v>
      </c>
      <c r="F264" s="3" t="s">
        <v>66</v>
      </c>
      <c r="G264" s="3" t="s">
        <v>22</v>
      </c>
      <c r="H264" s="3" t="s">
        <v>13</v>
      </c>
      <c r="I264" s="3" t="s">
        <v>19</v>
      </c>
      <c r="J264" s="3" t="s">
        <v>66</v>
      </c>
      <c r="K264" s="3" t="s">
        <v>161</v>
      </c>
      <c r="L264" s="3">
        <v>44</v>
      </c>
      <c r="M264">
        <v>72811</v>
      </c>
      <c r="N264">
        <v>72853</v>
      </c>
      <c r="O264">
        <v>70423</v>
      </c>
      <c r="P264">
        <v>63240</v>
      </c>
      <c r="Q264">
        <v>0.89800207318631697</v>
      </c>
      <c r="R264">
        <v>68</v>
      </c>
      <c r="S264">
        <v>2.7476103427757201</v>
      </c>
      <c r="T264">
        <v>0.65116846199977496</v>
      </c>
    </row>
    <row r="265" spans="1:20" x14ac:dyDescent="0.2">
      <c r="A265" t="str">
        <f t="shared" si="4"/>
        <v>sample_16S-A-D08-L3_anaCS-Subj6-D08</v>
      </c>
      <c r="B265" t="s">
        <v>502</v>
      </c>
      <c r="C265" s="3" t="s">
        <v>9</v>
      </c>
      <c r="D265" s="3" t="s">
        <v>7</v>
      </c>
      <c r="E265" s="3" t="s">
        <v>3</v>
      </c>
      <c r="F265" s="3" t="s">
        <v>66</v>
      </c>
      <c r="G265" s="3" t="s">
        <v>23</v>
      </c>
      <c r="H265" s="3" t="s">
        <v>13</v>
      </c>
      <c r="I265" s="3" t="s">
        <v>21</v>
      </c>
      <c r="J265" s="3" t="s">
        <v>66</v>
      </c>
      <c r="K265" s="3" t="s">
        <v>161</v>
      </c>
      <c r="L265" s="3">
        <v>44</v>
      </c>
      <c r="M265">
        <v>91010</v>
      </c>
      <c r="N265">
        <v>91060</v>
      </c>
      <c r="O265">
        <v>88861</v>
      </c>
      <c r="P265">
        <v>80657</v>
      </c>
      <c r="Q265">
        <v>0.90767603335546498</v>
      </c>
      <c r="R265">
        <v>70</v>
      </c>
      <c r="S265">
        <v>2.40982471193287</v>
      </c>
      <c r="T265">
        <v>0.56721840902202303</v>
      </c>
    </row>
    <row r="266" spans="1:20" x14ac:dyDescent="0.2">
      <c r="A266" t="str">
        <f t="shared" si="4"/>
        <v>sample_16S-A-D09-L0_anaCS-Subj5-D09</v>
      </c>
      <c r="B266" t="s">
        <v>503</v>
      </c>
      <c r="C266" s="3" t="s">
        <v>9</v>
      </c>
      <c r="D266" s="3" t="s">
        <v>7</v>
      </c>
      <c r="E266" s="3" t="s">
        <v>3</v>
      </c>
      <c r="F266" s="3" t="s">
        <v>67</v>
      </c>
      <c r="G266" s="3" t="s">
        <v>18</v>
      </c>
      <c r="H266" s="3" t="s">
        <v>13</v>
      </c>
      <c r="I266" s="3" t="s">
        <v>19</v>
      </c>
      <c r="J266" s="3" t="s">
        <v>67</v>
      </c>
      <c r="K266" s="3" t="s">
        <v>162</v>
      </c>
      <c r="L266" s="3">
        <v>45</v>
      </c>
      <c r="M266">
        <v>103149</v>
      </c>
      <c r="N266">
        <v>103163</v>
      </c>
      <c r="O266">
        <v>100846</v>
      </c>
      <c r="P266">
        <v>94455</v>
      </c>
      <c r="Q266">
        <v>0.93662614283164403</v>
      </c>
      <c r="R266">
        <v>71</v>
      </c>
      <c r="S266">
        <v>2.8143825443667301</v>
      </c>
      <c r="T266">
        <v>0.660237837592479</v>
      </c>
    </row>
    <row r="267" spans="1:20" x14ac:dyDescent="0.2">
      <c r="A267" t="str">
        <f t="shared" si="4"/>
        <v>sample_16S-A-D09-L1_anaCS-Subj6-D09</v>
      </c>
      <c r="B267" t="s">
        <v>504</v>
      </c>
      <c r="C267" s="3" t="s">
        <v>9</v>
      </c>
      <c r="D267" s="3" t="s">
        <v>7</v>
      </c>
      <c r="E267" s="3" t="s">
        <v>3</v>
      </c>
      <c r="F267" s="3" t="s">
        <v>67</v>
      </c>
      <c r="G267" s="3" t="s">
        <v>20</v>
      </c>
      <c r="H267" s="3" t="s">
        <v>13</v>
      </c>
      <c r="I267" s="3" t="s">
        <v>21</v>
      </c>
      <c r="J267" s="3" t="s">
        <v>67</v>
      </c>
      <c r="K267" s="3" t="s">
        <v>162</v>
      </c>
      <c r="L267" s="3">
        <v>45</v>
      </c>
      <c r="M267">
        <v>70996</v>
      </c>
      <c r="N267">
        <v>71015</v>
      </c>
      <c r="O267">
        <v>69419</v>
      </c>
      <c r="P267">
        <v>64859</v>
      </c>
      <c r="Q267">
        <v>0.93431193189184503</v>
      </c>
      <c r="R267">
        <v>65</v>
      </c>
      <c r="S267">
        <v>2.5471100690699999</v>
      </c>
      <c r="T267">
        <v>0.61017579452652904</v>
      </c>
    </row>
    <row r="268" spans="1:20" x14ac:dyDescent="0.2">
      <c r="A268" t="str">
        <f t="shared" si="4"/>
        <v>sample_16S-A-D09-L2_anaCS-Subj5-D09</v>
      </c>
      <c r="B268" t="s">
        <v>505</v>
      </c>
      <c r="C268" s="3" t="s">
        <v>9</v>
      </c>
      <c r="D268" s="3" t="s">
        <v>7</v>
      </c>
      <c r="E268" s="3" t="s">
        <v>3</v>
      </c>
      <c r="F268" s="3" t="s">
        <v>67</v>
      </c>
      <c r="G268" s="3" t="s">
        <v>22</v>
      </c>
      <c r="H268" s="3" t="s">
        <v>13</v>
      </c>
      <c r="I268" s="3" t="s">
        <v>19</v>
      </c>
      <c r="J268" s="3" t="s">
        <v>67</v>
      </c>
      <c r="K268" s="3" t="s">
        <v>162</v>
      </c>
      <c r="L268" s="3">
        <v>45</v>
      </c>
      <c r="M268">
        <v>71226</v>
      </c>
      <c r="N268">
        <v>71276</v>
      </c>
      <c r="O268">
        <v>68780</v>
      </c>
      <c r="P268">
        <v>62526</v>
      </c>
      <c r="Q268">
        <v>0.909072404768828</v>
      </c>
      <c r="R268">
        <v>67</v>
      </c>
      <c r="S268">
        <v>2.7514794717259399</v>
      </c>
      <c r="T268">
        <v>0.65438302410902105</v>
      </c>
    </row>
    <row r="269" spans="1:20" x14ac:dyDescent="0.2">
      <c r="A269" t="str">
        <f t="shared" si="4"/>
        <v>sample_16S-A-D09-L3_anaCS-Subj6-D09</v>
      </c>
      <c r="B269" t="s">
        <v>506</v>
      </c>
      <c r="C269" s="3" t="s">
        <v>9</v>
      </c>
      <c r="D269" s="3" t="s">
        <v>7</v>
      </c>
      <c r="E269" s="3" t="s">
        <v>3</v>
      </c>
      <c r="F269" s="3" t="s">
        <v>67</v>
      </c>
      <c r="G269" s="3" t="s">
        <v>23</v>
      </c>
      <c r="H269" s="3" t="s">
        <v>13</v>
      </c>
      <c r="I269" s="3" t="s">
        <v>21</v>
      </c>
      <c r="J269" s="3" t="s">
        <v>67</v>
      </c>
      <c r="K269" s="3" t="s">
        <v>162</v>
      </c>
      <c r="L269" s="3">
        <v>45</v>
      </c>
      <c r="M269">
        <v>121364</v>
      </c>
      <c r="N269">
        <v>121437</v>
      </c>
      <c r="O269">
        <v>118428</v>
      </c>
      <c r="P269">
        <v>105627</v>
      </c>
      <c r="Q269">
        <v>0.89190900800486395</v>
      </c>
      <c r="R269">
        <v>74</v>
      </c>
      <c r="S269">
        <v>2.5065737694620598</v>
      </c>
      <c r="T269">
        <v>0.58237357362921305</v>
      </c>
    </row>
    <row r="270" spans="1:20" x14ac:dyDescent="0.2">
      <c r="A270" t="str">
        <f t="shared" si="4"/>
        <v>sample_HS-CS5_D09_Piroxicam_S429</v>
      </c>
      <c r="B270" t="s">
        <v>507</v>
      </c>
      <c r="C270" s="3" t="s">
        <v>10</v>
      </c>
      <c r="D270" s="3" t="s">
        <v>8</v>
      </c>
      <c r="E270" s="3" t="s">
        <v>11</v>
      </c>
      <c r="F270" s="3" t="s">
        <v>11</v>
      </c>
      <c r="G270" s="3" t="s">
        <v>11</v>
      </c>
      <c r="H270" s="3" t="s">
        <v>13</v>
      </c>
      <c r="I270" s="3" t="s">
        <v>19</v>
      </c>
      <c r="J270" s="3" t="s">
        <v>67</v>
      </c>
      <c r="K270" s="3" t="s">
        <v>162</v>
      </c>
      <c r="L270" s="3">
        <v>45</v>
      </c>
      <c r="M270">
        <v>18268</v>
      </c>
      <c r="N270">
        <v>18319</v>
      </c>
      <c r="O270">
        <v>17877</v>
      </c>
      <c r="P270">
        <v>17679</v>
      </c>
      <c r="Q270">
        <v>0.98892431616042997</v>
      </c>
      <c r="R270">
        <v>43</v>
      </c>
      <c r="S270">
        <v>2.35568196557259</v>
      </c>
      <c r="T270">
        <v>0.62631125521440201</v>
      </c>
    </row>
    <row r="271" spans="1:20" x14ac:dyDescent="0.2">
      <c r="A271" t="str">
        <f t="shared" si="4"/>
        <v>sample_HS-CS6_D09_Piroxicam_S525</v>
      </c>
      <c r="B271" t="s">
        <v>508</v>
      </c>
      <c r="C271" s="3" t="s">
        <v>10</v>
      </c>
      <c r="D271" s="3" t="s">
        <v>8</v>
      </c>
      <c r="E271" s="3" t="s">
        <v>11</v>
      </c>
      <c r="F271" s="3" t="s">
        <v>11</v>
      </c>
      <c r="G271" s="3" t="s">
        <v>11</v>
      </c>
      <c r="H271" s="3" t="s">
        <v>13</v>
      </c>
      <c r="I271" s="3" t="s">
        <v>21</v>
      </c>
      <c r="J271" s="3" t="s">
        <v>67</v>
      </c>
      <c r="K271" s="3" t="s">
        <v>162</v>
      </c>
      <c r="L271" s="3">
        <v>45</v>
      </c>
      <c r="M271">
        <v>12568</v>
      </c>
      <c r="N271">
        <v>12600</v>
      </c>
      <c r="O271">
        <v>12172</v>
      </c>
      <c r="P271">
        <v>12055</v>
      </c>
      <c r="Q271">
        <v>0.99038777522182098</v>
      </c>
      <c r="R271">
        <v>31</v>
      </c>
      <c r="S271">
        <v>1.38339033452421</v>
      </c>
      <c r="T271">
        <v>0.40285250123161798</v>
      </c>
    </row>
    <row r="272" spans="1:20" x14ac:dyDescent="0.2">
      <c r="A272" t="str">
        <f t="shared" si="4"/>
        <v>sample_HS-CS5_D10_Anastrozole_S430</v>
      </c>
      <c r="B272" t="s">
        <v>509</v>
      </c>
      <c r="C272" s="3" t="s">
        <v>10</v>
      </c>
      <c r="D272" s="3" t="s">
        <v>8</v>
      </c>
      <c r="E272" s="3" t="s">
        <v>11</v>
      </c>
      <c r="F272" s="3" t="s">
        <v>11</v>
      </c>
      <c r="G272" s="3" t="s">
        <v>11</v>
      </c>
      <c r="H272" s="3" t="s">
        <v>13</v>
      </c>
      <c r="I272" s="3" t="s">
        <v>19</v>
      </c>
      <c r="J272" s="3" t="s">
        <v>68</v>
      </c>
      <c r="K272" s="3" t="s">
        <v>163</v>
      </c>
      <c r="L272" s="3">
        <v>46</v>
      </c>
      <c r="M272">
        <v>17219</v>
      </c>
      <c r="N272">
        <v>17259</v>
      </c>
      <c r="O272">
        <v>16868</v>
      </c>
      <c r="P272">
        <v>16614</v>
      </c>
      <c r="Q272">
        <v>0.98494190182594299</v>
      </c>
      <c r="R272">
        <v>39</v>
      </c>
      <c r="S272">
        <v>2.3205703109042202</v>
      </c>
      <c r="T272">
        <v>0.63341920651335903</v>
      </c>
    </row>
    <row r="273" spans="1:20" x14ac:dyDescent="0.2">
      <c r="A273" t="str">
        <f t="shared" si="4"/>
        <v>sample_HS-CS6_D10_Anastrozole_S526</v>
      </c>
      <c r="B273" t="s">
        <v>510</v>
      </c>
      <c r="C273" s="3" t="s">
        <v>10</v>
      </c>
      <c r="D273" s="3" t="s">
        <v>8</v>
      </c>
      <c r="E273" s="3" t="s">
        <v>11</v>
      </c>
      <c r="F273" s="3" t="s">
        <v>11</v>
      </c>
      <c r="G273" s="3" t="s">
        <v>11</v>
      </c>
      <c r="H273" s="3" t="s">
        <v>13</v>
      </c>
      <c r="I273" s="3" t="s">
        <v>21</v>
      </c>
      <c r="J273" s="3" t="s">
        <v>68</v>
      </c>
      <c r="K273" s="3" t="s">
        <v>163</v>
      </c>
      <c r="L273" s="3">
        <v>46</v>
      </c>
      <c r="M273">
        <v>11583</v>
      </c>
      <c r="N273">
        <v>11588</v>
      </c>
      <c r="O273">
        <v>11325</v>
      </c>
      <c r="P273">
        <v>11140</v>
      </c>
      <c r="Q273">
        <v>0.98366445916114797</v>
      </c>
      <c r="R273">
        <v>29</v>
      </c>
      <c r="S273">
        <v>1.27733836355191</v>
      </c>
      <c r="T273">
        <v>0.379336544231412</v>
      </c>
    </row>
    <row r="274" spans="1:20" x14ac:dyDescent="0.2">
      <c r="A274" t="str">
        <f t="shared" si="4"/>
        <v>sample_16S-A-D10-L0_anaCS-Subj5-D10</v>
      </c>
      <c r="B274" t="s">
        <v>511</v>
      </c>
      <c r="C274" s="3" t="s">
        <v>9</v>
      </c>
      <c r="D274" s="3" t="s">
        <v>7</v>
      </c>
      <c r="E274" s="3" t="s">
        <v>3</v>
      </c>
      <c r="F274" s="3" t="s">
        <v>68</v>
      </c>
      <c r="G274" s="3" t="s">
        <v>18</v>
      </c>
      <c r="H274" s="3" t="s">
        <v>13</v>
      </c>
      <c r="I274" s="3" t="s">
        <v>19</v>
      </c>
      <c r="J274" s="3" t="s">
        <v>68</v>
      </c>
      <c r="K274" s="3" t="s">
        <v>163</v>
      </c>
      <c r="L274" s="3">
        <v>46</v>
      </c>
      <c r="M274">
        <v>83056</v>
      </c>
      <c r="N274">
        <v>82930</v>
      </c>
      <c r="O274">
        <v>81316</v>
      </c>
      <c r="P274">
        <v>76648</v>
      </c>
      <c r="Q274">
        <v>0.94259432338039295</v>
      </c>
      <c r="R274">
        <v>68</v>
      </c>
      <c r="S274">
        <v>2.76905062530501</v>
      </c>
      <c r="T274">
        <v>0.65624969043383596</v>
      </c>
    </row>
    <row r="275" spans="1:20" x14ac:dyDescent="0.2">
      <c r="A275" t="str">
        <f t="shared" si="4"/>
        <v>sample_16S-A-D10-L1_anaCS-Subj6-D10</v>
      </c>
      <c r="B275" t="s">
        <v>512</v>
      </c>
      <c r="C275" s="3" t="s">
        <v>9</v>
      </c>
      <c r="D275" s="3" t="s">
        <v>7</v>
      </c>
      <c r="E275" s="3" t="s">
        <v>3</v>
      </c>
      <c r="F275" s="3" t="s">
        <v>68</v>
      </c>
      <c r="G275" s="3" t="s">
        <v>20</v>
      </c>
      <c r="H275" s="3" t="s">
        <v>13</v>
      </c>
      <c r="I275" s="3" t="s">
        <v>21</v>
      </c>
      <c r="J275" s="3" t="s">
        <v>68</v>
      </c>
      <c r="K275" s="3" t="s">
        <v>163</v>
      </c>
      <c r="L275" s="3">
        <v>46</v>
      </c>
      <c r="M275">
        <v>68493</v>
      </c>
      <c r="N275">
        <v>68608</v>
      </c>
      <c r="O275">
        <v>67002</v>
      </c>
      <c r="P275">
        <v>62270</v>
      </c>
      <c r="Q275">
        <v>0.92937524253007398</v>
      </c>
      <c r="R275">
        <v>64</v>
      </c>
      <c r="S275">
        <v>2.4653500434248099</v>
      </c>
      <c r="T275">
        <v>0.59279138028406098</v>
      </c>
    </row>
    <row r="276" spans="1:20" x14ac:dyDescent="0.2">
      <c r="A276" t="str">
        <f t="shared" si="4"/>
        <v>sample_16S-A-D10-L2_anaCS-Subj5-D10</v>
      </c>
      <c r="B276" t="s">
        <v>513</v>
      </c>
      <c r="C276" s="3" t="s">
        <v>9</v>
      </c>
      <c r="D276" s="3" t="s">
        <v>7</v>
      </c>
      <c r="E276" s="3" t="s">
        <v>3</v>
      </c>
      <c r="F276" s="3" t="s">
        <v>68</v>
      </c>
      <c r="G276" s="3" t="s">
        <v>22</v>
      </c>
      <c r="H276" s="3" t="s">
        <v>13</v>
      </c>
      <c r="I276" s="3" t="s">
        <v>19</v>
      </c>
      <c r="J276" s="3" t="s">
        <v>68</v>
      </c>
      <c r="K276" s="3" t="s">
        <v>163</v>
      </c>
      <c r="L276" s="3">
        <v>46</v>
      </c>
      <c r="M276">
        <v>57362</v>
      </c>
      <c r="N276">
        <v>57386</v>
      </c>
      <c r="O276">
        <v>55530</v>
      </c>
      <c r="P276">
        <v>49874</v>
      </c>
      <c r="Q276">
        <v>0.898145146767513</v>
      </c>
      <c r="R276">
        <v>57</v>
      </c>
      <c r="S276">
        <v>2.6688795967864198</v>
      </c>
      <c r="T276">
        <v>0.66011520012603397</v>
      </c>
    </row>
    <row r="277" spans="1:20" x14ac:dyDescent="0.2">
      <c r="A277" t="str">
        <f t="shared" si="4"/>
        <v>sample_16S-A-D10-L3_anaCS-Subj6-D10</v>
      </c>
      <c r="B277" t="s">
        <v>514</v>
      </c>
      <c r="C277" s="3" t="s">
        <v>9</v>
      </c>
      <c r="D277" s="3" t="s">
        <v>7</v>
      </c>
      <c r="E277" s="3" t="s">
        <v>3</v>
      </c>
      <c r="F277" s="3" t="s">
        <v>68</v>
      </c>
      <c r="G277" s="3" t="s">
        <v>23</v>
      </c>
      <c r="H277" s="3" t="s">
        <v>13</v>
      </c>
      <c r="I277" s="3" t="s">
        <v>21</v>
      </c>
      <c r="J277" s="3" t="s">
        <v>68</v>
      </c>
      <c r="K277" s="3" t="s">
        <v>163</v>
      </c>
      <c r="L277" s="3">
        <v>46</v>
      </c>
      <c r="M277">
        <v>70202</v>
      </c>
      <c r="N277">
        <v>70023</v>
      </c>
      <c r="O277">
        <v>68358</v>
      </c>
      <c r="P277">
        <v>61776</v>
      </c>
      <c r="Q277">
        <v>0.90371280610901406</v>
      </c>
      <c r="R277">
        <v>67</v>
      </c>
      <c r="S277">
        <v>2.3457806207271901</v>
      </c>
      <c r="T277">
        <v>0.55789586375685296</v>
      </c>
    </row>
    <row r="278" spans="1:20" x14ac:dyDescent="0.2">
      <c r="A278" t="str">
        <f t="shared" si="4"/>
        <v>sample_HS-CS5_D11_Ipratropium-bromide_S431</v>
      </c>
      <c r="B278" t="s">
        <v>515</v>
      </c>
      <c r="C278" s="3" t="s">
        <v>10</v>
      </c>
      <c r="D278" s="3" t="s">
        <v>8</v>
      </c>
      <c r="E278" s="3" t="s">
        <v>11</v>
      </c>
      <c r="F278" s="3" t="s">
        <v>11</v>
      </c>
      <c r="G278" s="3" t="s">
        <v>11</v>
      </c>
      <c r="H278" s="3" t="s">
        <v>13</v>
      </c>
      <c r="I278" s="3" t="s">
        <v>19</v>
      </c>
      <c r="J278" s="3" t="s">
        <v>69</v>
      </c>
      <c r="K278" s="3" t="s">
        <v>164</v>
      </c>
      <c r="L278" s="3">
        <v>47</v>
      </c>
      <c r="M278">
        <v>17895</v>
      </c>
      <c r="N278">
        <v>17977</v>
      </c>
      <c r="O278">
        <v>17513</v>
      </c>
      <c r="P278">
        <v>17369</v>
      </c>
      <c r="Q278">
        <v>0.99177753668703295</v>
      </c>
      <c r="R278">
        <v>40</v>
      </c>
      <c r="S278">
        <v>2.2612485967885299</v>
      </c>
      <c r="T278">
        <v>0.61299064523963298</v>
      </c>
    </row>
    <row r="279" spans="1:20" x14ac:dyDescent="0.2">
      <c r="A279" t="str">
        <f t="shared" si="4"/>
        <v>sample_HS-CS6_D11_Ipratropium-bromide_S527</v>
      </c>
      <c r="B279" t="s">
        <v>516</v>
      </c>
      <c r="C279" s="3" t="s">
        <v>10</v>
      </c>
      <c r="D279" s="3" t="s">
        <v>8</v>
      </c>
      <c r="E279" s="3" t="s">
        <v>11</v>
      </c>
      <c r="F279" s="3" t="s">
        <v>11</v>
      </c>
      <c r="G279" s="3" t="s">
        <v>11</v>
      </c>
      <c r="H279" s="3" t="s">
        <v>13</v>
      </c>
      <c r="I279" s="3" t="s">
        <v>21</v>
      </c>
      <c r="J279" s="3" t="s">
        <v>69</v>
      </c>
      <c r="K279" s="3" t="s">
        <v>164</v>
      </c>
      <c r="L279" s="3">
        <v>47</v>
      </c>
      <c r="M279">
        <v>11978</v>
      </c>
      <c r="N279">
        <v>12007</v>
      </c>
      <c r="O279">
        <v>11584</v>
      </c>
      <c r="P279">
        <v>11308</v>
      </c>
      <c r="Q279">
        <v>0.97617403314917095</v>
      </c>
      <c r="R279">
        <v>30</v>
      </c>
      <c r="S279">
        <v>1.48012679141197</v>
      </c>
      <c r="T279">
        <v>0.435178152080264</v>
      </c>
    </row>
    <row r="280" spans="1:20" x14ac:dyDescent="0.2">
      <c r="A280" t="str">
        <f t="shared" si="4"/>
        <v>sample_16S-A-D11-L0_anaCS-Subj5-D11</v>
      </c>
      <c r="B280" t="s">
        <v>517</v>
      </c>
      <c r="C280" s="3" t="s">
        <v>9</v>
      </c>
      <c r="D280" s="3" t="s">
        <v>7</v>
      </c>
      <c r="E280" s="3" t="s">
        <v>3</v>
      </c>
      <c r="F280" s="3" t="s">
        <v>69</v>
      </c>
      <c r="G280" s="3" t="s">
        <v>18</v>
      </c>
      <c r="H280" s="3" t="s">
        <v>13</v>
      </c>
      <c r="I280" s="3" t="s">
        <v>19</v>
      </c>
      <c r="J280" s="3" t="s">
        <v>69</v>
      </c>
      <c r="K280" s="3" t="s">
        <v>164</v>
      </c>
      <c r="L280" s="3">
        <v>47</v>
      </c>
      <c r="M280">
        <v>98909</v>
      </c>
      <c r="N280">
        <v>99008</v>
      </c>
      <c r="O280">
        <v>97053</v>
      </c>
      <c r="P280">
        <v>91391</v>
      </c>
      <c r="Q280">
        <v>0.94166074206876704</v>
      </c>
      <c r="R280">
        <v>60</v>
      </c>
      <c r="S280">
        <v>2.73990256372256</v>
      </c>
      <c r="T280">
        <v>0.66919198472039398</v>
      </c>
    </row>
    <row r="281" spans="1:20" x14ac:dyDescent="0.2">
      <c r="A281" t="str">
        <f t="shared" si="4"/>
        <v>sample_16S-A-D11-L1_anaCS-Subj6-D11</v>
      </c>
      <c r="B281" t="s">
        <v>518</v>
      </c>
      <c r="C281" s="3" t="s">
        <v>9</v>
      </c>
      <c r="D281" s="3" t="s">
        <v>7</v>
      </c>
      <c r="E281" s="3" t="s">
        <v>3</v>
      </c>
      <c r="F281" s="3" t="s">
        <v>69</v>
      </c>
      <c r="G281" s="3" t="s">
        <v>20</v>
      </c>
      <c r="H281" s="3" t="s">
        <v>13</v>
      </c>
      <c r="I281" s="3" t="s">
        <v>21</v>
      </c>
      <c r="J281" s="3" t="s">
        <v>69</v>
      </c>
      <c r="K281" s="3" t="s">
        <v>164</v>
      </c>
      <c r="L281" s="3">
        <v>47</v>
      </c>
      <c r="M281">
        <v>93960</v>
      </c>
      <c r="N281">
        <v>94017</v>
      </c>
      <c r="O281">
        <v>92547</v>
      </c>
      <c r="P281">
        <v>86019</v>
      </c>
      <c r="Q281">
        <v>0.92946286751596496</v>
      </c>
      <c r="R281">
        <v>68</v>
      </c>
      <c r="S281">
        <v>2.6494021755050898</v>
      </c>
      <c r="T281">
        <v>0.62789366926739998</v>
      </c>
    </row>
    <row r="282" spans="1:20" x14ac:dyDescent="0.2">
      <c r="A282" t="str">
        <f t="shared" si="4"/>
        <v>sample_16S-A-D11-L2_anaCS-Subj5-D11</v>
      </c>
      <c r="B282" t="s">
        <v>519</v>
      </c>
      <c r="C282" s="3" t="s">
        <v>9</v>
      </c>
      <c r="D282" s="3" t="s">
        <v>7</v>
      </c>
      <c r="E282" s="3" t="s">
        <v>3</v>
      </c>
      <c r="F282" s="3" t="s">
        <v>69</v>
      </c>
      <c r="G282" s="3" t="s">
        <v>22</v>
      </c>
      <c r="H282" s="3" t="s">
        <v>13</v>
      </c>
      <c r="I282" s="3" t="s">
        <v>19</v>
      </c>
      <c r="J282" s="3" t="s">
        <v>69</v>
      </c>
      <c r="K282" s="3" t="s">
        <v>164</v>
      </c>
      <c r="L282" s="3">
        <v>47</v>
      </c>
      <c r="M282">
        <v>80817</v>
      </c>
      <c r="N282">
        <v>80869</v>
      </c>
      <c r="O282">
        <v>78523</v>
      </c>
      <c r="P282">
        <v>71181</v>
      </c>
      <c r="Q282">
        <v>0.90649873285534199</v>
      </c>
      <c r="R282">
        <v>62</v>
      </c>
      <c r="S282">
        <v>2.7076292253770999</v>
      </c>
      <c r="T282">
        <v>0.65605550310848804</v>
      </c>
    </row>
    <row r="283" spans="1:20" x14ac:dyDescent="0.2">
      <c r="A283" t="str">
        <f t="shared" si="4"/>
        <v>sample_16S-A-D11-L3_anaCS-Subj6-D11</v>
      </c>
      <c r="B283" t="s">
        <v>520</v>
      </c>
      <c r="C283" s="3" t="s">
        <v>9</v>
      </c>
      <c r="D283" s="3" t="s">
        <v>7</v>
      </c>
      <c r="E283" s="3" t="s">
        <v>3</v>
      </c>
      <c r="F283" s="3" t="s">
        <v>69</v>
      </c>
      <c r="G283" s="3" t="s">
        <v>23</v>
      </c>
      <c r="H283" s="3" t="s">
        <v>13</v>
      </c>
      <c r="I283" s="3" t="s">
        <v>21</v>
      </c>
      <c r="J283" s="3" t="s">
        <v>69</v>
      </c>
      <c r="K283" s="3" t="s">
        <v>164</v>
      </c>
      <c r="L283" s="3">
        <v>47</v>
      </c>
      <c r="M283">
        <v>116977</v>
      </c>
      <c r="N283">
        <v>117060</v>
      </c>
      <c r="O283">
        <v>114614</v>
      </c>
      <c r="P283">
        <v>102904</v>
      </c>
      <c r="Q283">
        <v>0.89783098050848897</v>
      </c>
      <c r="R283">
        <v>72</v>
      </c>
      <c r="S283">
        <v>2.6242024661264498</v>
      </c>
      <c r="T283">
        <v>0.61360938476305704</v>
      </c>
    </row>
    <row r="284" spans="1:20" x14ac:dyDescent="0.2">
      <c r="A284" t="str">
        <f t="shared" si="4"/>
        <v>sample_16S-A-D12-L0_anaCS-Subj5-D12</v>
      </c>
      <c r="B284" t="s">
        <v>521</v>
      </c>
      <c r="C284" s="3" t="s">
        <v>9</v>
      </c>
      <c r="D284" s="3" t="s">
        <v>7</v>
      </c>
      <c r="E284" s="3" t="s">
        <v>3</v>
      </c>
      <c r="F284" s="3" t="s">
        <v>70</v>
      </c>
      <c r="G284" s="3" t="s">
        <v>18</v>
      </c>
      <c r="H284" s="3" t="s">
        <v>13</v>
      </c>
      <c r="I284" s="3" t="s">
        <v>19</v>
      </c>
      <c r="J284" s="3" t="s">
        <v>70</v>
      </c>
      <c r="K284" s="3" t="s">
        <v>165</v>
      </c>
      <c r="L284" s="3">
        <v>48</v>
      </c>
      <c r="M284">
        <v>66656</v>
      </c>
      <c r="N284">
        <v>66763</v>
      </c>
      <c r="O284">
        <v>64982</v>
      </c>
      <c r="P284">
        <v>60843</v>
      </c>
      <c r="Q284">
        <v>0.93630543842910297</v>
      </c>
      <c r="R284">
        <v>58</v>
      </c>
      <c r="S284">
        <v>2.74232826014822</v>
      </c>
      <c r="T284">
        <v>0.67537661605529697</v>
      </c>
    </row>
    <row r="285" spans="1:20" x14ac:dyDescent="0.2">
      <c r="A285" t="str">
        <f t="shared" si="4"/>
        <v>sample_16S-A-D12-L1_anaCS-Subj6-D12</v>
      </c>
      <c r="B285" t="s">
        <v>522</v>
      </c>
      <c r="C285" s="3" t="s">
        <v>9</v>
      </c>
      <c r="D285" s="3" t="s">
        <v>7</v>
      </c>
      <c r="E285" s="3" t="s">
        <v>3</v>
      </c>
      <c r="F285" s="3" t="s">
        <v>70</v>
      </c>
      <c r="G285" s="3" t="s">
        <v>20</v>
      </c>
      <c r="H285" s="3" t="s">
        <v>13</v>
      </c>
      <c r="I285" s="3" t="s">
        <v>21</v>
      </c>
      <c r="J285" s="3" t="s">
        <v>70</v>
      </c>
      <c r="K285" s="3" t="s">
        <v>165</v>
      </c>
      <c r="L285" s="3">
        <v>48</v>
      </c>
      <c r="M285">
        <v>79970</v>
      </c>
      <c r="N285">
        <v>79993</v>
      </c>
      <c r="O285">
        <v>78397</v>
      </c>
      <c r="P285">
        <v>71386</v>
      </c>
      <c r="Q285">
        <v>0.91057055754684502</v>
      </c>
      <c r="R285">
        <v>68</v>
      </c>
      <c r="S285">
        <v>2.6356242581885798</v>
      </c>
      <c r="T285">
        <v>0.62462837902996005</v>
      </c>
    </row>
    <row r="286" spans="1:20" x14ac:dyDescent="0.2">
      <c r="A286" t="str">
        <f t="shared" si="4"/>
        <v>sample_16S-A-D12-L2_anaCS-Subj5-D12</v>
      </c>
      <c r="B286" t="s">
        <v>523</v>
      </c>
      <c r="C286" s="3" t="s">
        <v>9</v>
      </c>
      <c r="D286" s="3" t="s">
        <v>7</v>
      </c>
      <c r="E286" s="3" t="s">
        <v>3</v>
      </c>
      <c r="F286" s="3" t="s">
        <v>70</v>
      </c>
      <c r="G286" s="3" t="s">
        <v>22</v>
      </c>
      <c r="H286" s="3" t="s">
        <v>13</v>
      </c>
      <c r="I286" s="3" t="s">
        <v>19</v>
      </c>
      <c r="J286" s="3" t="s">
        <v>70</v>
      </c>
      <c r="K286" s="3" t="s">
        <v>165</v>
      </c>
      <c r="L286" s="3">
        <v>48</v>
      </c>
      <c r="M286">
        <v>59438</v>
      </c>
      <c r="N286">
        <v>59515</v>
      </c>
      <c r="O286">
        <v>56536</v>
      </c>
      <c r="P286">
        <v>48849</v>
      </c>
      <c r="Q286">
        <v>0.86403353615395495</v>
      </c>
      <c r="R286">
        <v>58</v>
      </c>
      <c r="S286">
        <v>2.7114186855686699</v>
      </c>
      <c r="T286">
        <v>0.66776425097609904</v>
      </c>
    </row>
    <row r="287" spans="1:20" x14ac:dyDescent="0.2">
      <c r="A287" t="str">
        <f t="shared" si="4"/>
        <v>sample_16S-A-D12-L3_anaCS-Subj6-D12</v>
      </c>
      <c r="B287" t="s">
        <v>524</v>
      </c>
      <c r="C287" s="3" t="s">
        <v>9</v>
      </c>
      <c r="D287" s="3" t="s">
        <v>7</v>
      </c>
      <c r="E287" s="3" t="s">
        <v>3</v>
      </c>
      <c r="F287" s="3" t="s">
        <v>70</v>
      </c>
      <c r="G287" s="3" t="s">
        <v>23</v>
      </c>
      <c r="H287" s="3" t="s">
        <v>13</v>
      </c>
      <c r="I287" s="3" t="s">
        <v>21</v>
      </c>
      <c r="J287" s="3" t="s">
        <v>70</v>
      </c>
      <c r="K287" s="3" t="s">
        <v>165</v>
      </c>
      <c r="L287" s="3">
        <v>48</v>
      </c>
      <c r="M287">
        <v>74835</v>
      </c>
      <c r="N287">
        <v>74845</v>
      </c>
      <c r="O287">
        <v>72339</v>
      </c>
      <c r="P287">
        <v>63949</v>
      </c>
      <c r="Q287">
        <v>0.88401830271361204</v>
      </c>
      <c r="R287">
        <v>65</v>
      </c>
      <c r="S287">
        <v>2.5508102755064699</v>
      </c>
      <c r="T287">
        <v>0.61106220160791103</v>
      </c>
    </row>
    <row r="288" spans="1:20" x14ac:dyDescent="0.2">
      <c r="A288" t="str">
        <f t="shared" si="4"/>
        <v>sample_HS-CS5_D12_Thiabendazole_S432</v>
      </c>
      <c r="B288" t="s">
        <v>525</v>
      </c>
      <c r="C288" s="3" t="s">
        <v>10</v>
      </c>
      <c r="D288" s="3" t="s">
        <v>8</v>
      </c>
      <c r="E288" s="3" t="s">
        <v>11</v>
      </c>
      <c r="F288" s="3" t="s">
        <v>11</v>
      </c>
      <c r="G288" s="3" t="s">
        <v>11</v>
      </c>
      <c r="H288" s="3" t="s">
        <v>13</v>
      </c>
      <c r="I288" s="3" t="s">
        <v>19</v>
      </c>
      <c r="J288" s="3" t="s">
        <v>70</v>
      </c>
      <c r="K288" s="3" t="s">
        <v>165</v>
      </c>
      <c r="L288" s="3">
        <v>48</v>
      </c>
      <c r="M288">
        <v>27555</v>
      </c>
      <c r="N288">
        <v>27626</v>
      </c>
      <c r="O288">
        <v>26882</v>
      </c>
      <c r="P288">
        <v>26232</v>
      </c>
      <c r="Q288">
        <v>0.975820251469385</v>
      </c>
      <c r="R288">
        <v>43</v>
      </c>
      <c r="S288">
        <v>2.3410743908651401</v>
      </c>
      <c r="T288">
        <v>0.62242750155649396</v>
      </c>
    </row>
    <row r="289" spans="1:20" x14ac:dyDescent="0.2">
      <c r="A289" t="str">
        <f t="shared" si="4"/>
        <v>sample_HS-CS6_D12_Thiabendazole_S528</v>
      </c>
      <c r="B289" t="s">
        <v>526</v>
      </c>
      <c r="C289" s="3" t="s">
        <v>10</v>
      </c>
      <c r="D289" s="3" t="s">
        <v>8</v>
      </c>
      <c r="E289" s="3" t="s">
        <v>11</v>
      </c>
      <c r="F289" s="3" t="s">
        <v>11</v>
      </c>
      <c r="G289" s="3" t="s">
        <v>11</v>
      </c>
      <c r="H289" s="3" t="s">
        <v>13</v>
      </c>
      <c r="I289" s="3" t="s">
        <v>21</v>
      </c>
      <c r="J289" s="3" t="s">
        <v>70</v>
      </c>
      <c r="K289" s="3" t="s">
        <v>165</v>
      </c>
      <c r="L289" s="3">
        <v>48</v>
      </c>
      <c r="M289">
        <v>11882</v>
      </c>
      <c r="N289">
        <v>11906</v>
      </c>
      <c r="O289">
        <v>11627</v>
      </c>
      <c r="P289">
        <v>11465</v>
      </c>
      <c r="Q289">
        <v>0.98606691321923101</v>
      </c>
      <c r="R289">
        <v>30</v>
      </c>
      <c r="S289">
        <v>1.36213538872901</v>
      </c>
      <c r="T289">
        <v>0.40048701556489402</v>
      </c>
    </row>
    <row r="290" spans="1:20" x14ac:dyDescent="0.2">
      <c r="A290" t="str">
        <f t="shared" si="4"/>
        <v>sample_HS-CS5_E01_Clarithromycin_S433</v>
      </c>
      <c r="B290" t="s">
        <v>527</v>
      </c>
      <c r="C290" s="3" t="s">
        <v>10</v>
      </c>
      <c r="D290" s="3" t="s">
        <v>8</v>
      </c>
      <c r="E290" s="3" t="s">
        <v>11</v>
      </c>
      <c r="F290" s="3" t="s">
        <v>11</v>
      </c>
      <c r="G290" s="3" t="s">
        <v>11</v>
      </c>
      <c r="H290" s="3" t="s">
        <v>13</v>
      </c>
      <c r="I290" s="3" t="s">
        <v>19</v>
      </c>
      <c r="J290" s="3" t="s">
        <v>71</v>
      </c>
      <c r="K290" s="3" t="s">
        <v>166</v>
      </c>
      <c r="L290" s="3">
        <v>49</v>
      </c>
      <c r="M290">
        <v>27670</v>
      </c>
      <c r="N290">
        <v>27707</v>
      </c>
      <c r="O290">
        <v>27131</v>
      </c>
      <c r="P290">
        <v>26285</v>
      </c>
      <c r="Q290">
        <v>0.96881795731819698</v>
      </c>
      <c r="R290">
        <v>29</v>
      </c>
      <c r="S290">
        <v>1.69446191121683</v>
      </c>
      <c r="T290">
        <v>0.50321147792459797</v>
      </c>
    </row>
    <row r="291" spans="1:20" x14ac:dyDescent="0.2">
      <c r="A291" t="str">
        <f t="shared" si="4"/>
        <v>sample_HS-CS6_E01_Clarithromycin_S529</v>
      </c>
      <c r="B291" t="s">
        <v>528</v>
      </c>
      <c r="C291" s="3" t="s">
        <v>10</v>
      </c>
      <c r="D291" s="3" t="s">
        <v>8</v>
      </c>
      <c r="E291" s="3" t="s">
        <v>11</v>
      </c>
      <c r="F291" s="3" t="s">
        <v>11</v>
      </c>
      <c r="G291" s="3" t="s">
        <v>11</v>
      </c>
      <c r="H291" s="3" t="s">
        <v>13</v>
      </c>
      <c r="I291" s="3" t="s">
        <v>21</v>
      </c>
      <c r="J291" s="3" t="s">
        <v>71</v>
      </c>
      <c r="K291" s="3" t="s">
        <v>166</v>
      </c>
      <c r="L291" s="3">
        <v>49</v>
      </c>
      <c r="M291">
        <v>13677</v>
      </c>
      <c r="N291">
        <v>13702</v>
      </c>
      <c r="O291">
        <v>13451</v>
      </c>
      <c r="P291">
        <v>13275</v>
      </c>
      <c r="Q291">
        <v>0.98691547096870103</v>
      </c>
      <c r="R291">
        <v>23</v>
      </c>
      <c r="S291">
        <v>0.879843119843707</v>
      </c>
      <c r="T291">
        <v>0.280607476605719</v>
      </c>
    </row>
    <row r="292" spans="1:20" x14ac:dyDescent="0.2">
      <c r="A292" t="str">
        <f t="shared" si="4"/>
        <v>sample_16S-A-E01-L0_anaCS-Subj5-E01</v>
      </c>
      <c r="B292" t="s">
        <v>529</v>
      </c>
      <c r="C292" s="3" t="s">
        <v>9</v>
      </c>
      <c r="D292" s="3" t="s">
        <v>7</v>
      </c>
      <c r="E292" s="3" t="s">
        <v>3</v>
      </c>
      <c r="F292" s="3" t="s">
        <v>71</v>
      </c>
      <c r="G292" s="3" t="s">
        <v>18</v>
      </c>
      <c r="H292" s="3" t="s">
        <v>13</v>
      </c>
      <c r="I292" s="3" t="s">
        <v>19</v>
      </c>
      <c r="J292" s="3" t="s">
        <v>71</v>
      </c>
      <c r="K292" s="3" t="s">
        <v>166</v>
      </c>
      <c r="L292" s="3">
        <v>49</v>
      </c>
      <c r="M292">
        <v>94465</v>
      </c>
      <c r="N292">
        <v>94558</v>
      </c>
      <c r="O292">
        <v>93484</v>
      </c>
      <c r="P292">
        <v>85775</v>
      </c>
      <c r="Q292">
        <v>0.91753669077061295</v>
      </c>
      <c r="R292">
        <v>42</v>
      </c>
      <c r="S292">
        <v>2.3476097758035102</v>
      </c>
      <c r="T292">
        <v>0.62809451223827495</v>
      </c>
    </row>
    <row r="293" spans="1:20" x14ac:dyDescent="0.2">
      <c r="A293" t="str">
        <f t="shared" si="4"/>
        <v>sample_16S-A-E01-L1_anaCS-Subj6-E01</v>
      </c>
      <c r="B293" t="s">
        <v>530</v>
      </c>
      <c r="C293" s="3" t="s">
        <v>9</v>
      </c>
      <c r="D293" s="3" t="s">
        <v>7</v>
      </c>
      <c r="E293" s="3" t="s">
        <v>3</v>
      </c>
      <c r="F293" s="3" t="s">
        <v>71</v>
      </c>
      <c r="G293" s="3" t="s">
        <v>20</v>
      </c>
      <c r="H293" s="3" t="s">
        <v>13</v>
      </c>
      <c r="I293" s="3" t="s">
        <v>21</v>
      </c>
      <c r="J293" s="3" t="s">
        <v>71</v>
      </c>
      <c r="K293" s="3" t="s">
        <v>166</v>
      </c>
      <c r="L293" s="3">
        <v>49</v>
      </c>
      <c r="M293">
        <v>63250</v>
      </c>
      <c r="N293">
        <v>63137</v>
      </c>
      <c r="O293">
        <v>62343</v>
      </c>
      <c r="P293">
        <v>57565</v>
      </c>
      <c r="Q293">
        <v>0.92335947901127602</v>
      </c>
      <c r="R293">
        <v>38</v>
      </c>
      <c r="S293">
        <v>2.1465182214193499</v>
      </c>
      <c r="T293">
        <v>0.59009412483051804</v>
      </c>
    </row>
    <row r="294" spans="1:20" x14ac:dyDescent="0.2">
      <c r="A294" t="str">
        <f t="shared" si="4"/>
        <v>sample_16S-A-E01-L2_anaCS-Subj5-E01</v>
      </c>
      <c r="B294" t="s">
        <v>531</v>
      </c>
      <c r="C294" s="3" t="s">
        <v>9</v>
      </c>
      <c r="D294" s="3" t="s">
        <v>7</v>
      </c>
      <c r="E294" s="3" t="s">
        <v>3</v>
      </c>
      <c r="F294" s="3" t="s">
        <v>71</v>
      </c>
      <c r="G294" s="3" t="s">
        <v>22</v>
      </c>
      <c r="H294" s="3" t="s">
        <v>13</v>
      </c>
      <c r="I294" s="3" t="s">
        <v>19</v>
      </c>
      <c r="J294" s="3" t="s">
        <v>71</v>
      </c>
      <c r="K294" s="3" t="s">
        <v>166</v>
      </c>
      <c r="L294" s="3">
        <v>49</v>
      </c>
      <c r="M294">
        <v>66961</v>
      </c>
      <c r="N294">
        <v>66973</v>
      </c>
      <c r="O294">
        <v>66046</v>
      </c>
      <c r="P294">
        <v>59399</v>
      </c>
      <c r="Q294">
        <v>0.89935802319595404</v>
      </c>
      <c r="R294">
        <v>38</v>
      </c>
      <c r="S294">
        <v>2.3119871117125101</v>
      </c>
      <c r="T294">
        <v>0.63558277665274898</v>
      </c>
    </row>
    <row r="295" spans="1:20" x14ac:dyDescent="0.2">
      <c r="A295" t="str">
        <f t="shared" si="4"/>
        <v>sample_16S-A-E01-L3_anaCS-Subj6-E01</v>
      </c>
      <c r="B295" t="s">
        <v>532</v>
      </c>
      <c r="C295" s="3" t="s">
        <v>9</v>
      </c>
      <c r="D295" s="3" t="s">
        <v>7</v>
      </c>
      <c r="E295" s="3" t="s">
        <v>3</v>
      </c>
      <c r="F295" s="3" t="s">
        <v>71</v>
      </c>
      <c r="G295" s="3" t="s">
        <v>23</v>
      </c>
      <c r="H295" s="3" t="s">
        <v>13</v>
      </c>
      <c r="I295" s="3" t="s">
        <v>21</v>
      </c>
      <c r="J295" s="3" t="s">
        <v>71</v>
      </c>
      <c r="K295" s="3" t="s">
        <v>166</v>
      </c>
      <c r="L295" s="3">
        <v>49</v>
      </c>
      <c r="M295">
        <v>76258</v>
      </c>
      <c r="N295">
        <v>76296</v>
      </c>
      <c r="O295">
        <v>75018</v>
      </c>
      <c r="P295">
        <v>69491</v>
      </c>
      <c r="Q295">
        <v>0.92632434882294901</v>
      </c>
      <c r="R295">
        <v>39</v>
      </c>
      <c r="S295">
        <v>2.0116190599420798</v>
      </c>
      <c r="T295">
        <v>0.54908836106722703</v>
      </c>
    </row>
    <row r="296" spans="1:20" x14ac:dyDescent="0.2">
      <c r="A296" t="str">
        <f t="shared" si="4"/>
        <v>sample_16S-A-E02-L0_anaCS-Subj5-E02</v>
      </c>
      <c r="B296" t="s">
        <v>533</v>
      </c>
      <c r="C296" s="3" t="s">
        <v>9</v>
      </c>
      <c r="D296" s="3" t="s">
        <v>7</v>
      </c>
      <c r="E296" s="3" t="s">
        <v>3</v>
      </c>
      <c r="F296" s="3" t="s">
        <v>72</v>
      </c>
      <c r="G296" s="3" t="s">
        <v>18</v>
      </c>
      <c r="H296" s="3" t="s">
        <v>13</v>
      </c>
      <c r="I296" s="3" t="s">
        <v>19</v>
      </c>
      <c r="J296" s="3" t="s">
        <v>72</v>
      </c>
      <c r="K296" s="3" t="s">
        <v>167</v>
      </c>
      <c r="L296" s="3">
        <v>50</v>
      </c>
      <c r="M296">
        <v>90837</v>
      </c>
      <c r="N296">
        <v>90916</v>
      </c>
      <c r="O296">
        <v>89901</v>
      </c>
      <c r="P296">
        <v>83607</v>
      </c>
      <c r="Q296">
        <v>0.92998965528748301</v>
      </c>
      <c r="R296">
        <v>19</v>
      </c>
      <c r="S296">
        <v>1.6991004199619599</v>
      </c>
      <c r="T296">
        <v>0.57705404390583304</v>
      </c>
    </row>
    <row r="297" spans="1:20" x14ac:dyDescent="0.2">
      <c r="A297" t="str">
        <f t="shared" si="4"/>
        <v>sample_16S-A-E02-L1_anaCS-Subj6-E02</v>
      </c>
      <c r="B297" t="s">
        <v>534</v>
      </c>
      <c r="C297" s="3" t="s">
        <v>9</v>
      </c>
      <c r="D297" s="3" t="s">
        <v>7</v>
      </c>
      <c r="E297" s="3" t="s">
        <v>3</v>
      </c>
      <c r="F297" s="3" t="s">
        <v>72</v>
      </c>
      <c r="G297" s="3" t="s">
        <v>20</v>
      </c>
      <c r="H297" s="3" t="s">
        <v>13</v>
      </c>
      <c r="I297" s="3" t="s">
        <v>21</v>
      </c>
      <c r="J297" s="3" t="s">
        <v>72</v>
      </c>
      <c r="K297" s="3" t="s">
        <v>167</v>
      </c>
      <c r="L297" s="3">
        <v>50</v>
      </c>
      <c r="M297">
        <v>51870</v>
      </c>
      <c r="N297">
        <v>51898</v>
      </c>
      <c r="O297">
        <v>51365</v>
      </c>
      <c r="P297">
        <v>48918</v>
      </c>
      <c r="Q297">
        <v>0.95236055679937703</v>
      </c>
      <c r="R297">
        <v>17</v>
      </c>
      <c r="S297">
        <v>1.1767337450659501</v>
      </c>
      <c r="T297">
        <v>0.41533538147934101</v>
      </c>
    </row>
    <row r="298" spans="1:20" x14ac:dyDescent="0.2">
      <c r="A298" t="str">
        <f t="shared" si="4"/>
        <v>sample_16S-A-E02-L2_anaCS-Subj5-E02</v>
      </c>
      <c r="B298" t="s">
        <v>535</v>
      </c>
      <c r="C298" s="3" t="s">
        <v>9</v>
      </c>
      <c r="D298" s="3" t="s">
        <v>7</v>
      </c>
      <c r="E298" s="3" t="s">
        <v>3</v>
      </c>
      <c r="F298" s="3" t="s">
        <v>72</v>
      </c>
      <c r="G298" s="3" t="s">
        <v>22</v>
      </c>
      <c r="H298" s="3" t="s">
        <v>13</v>
      </c>
      <c r="I298" s="3" t="s">
        <v>19</v>
      </c>
      <c r="J298" s="3" t="s">
        <v>72</v>
      </c>
      <c r="K298" s="3" t="s">
        <v>167</v>
      </c>
      <c r="L298" s="3">
        <v>50</v>
      </c>
      <c r="M298">
        <v>49849</v>
      </c>
      <c r="N298">
        <v>49913</v>
      </c>
      <c r="O298">
        <v>49086</v>
      </c>
      <c r="P298">
        <v>45015</v>
      </c>
      <c r="Q298">
        <v>0.91706392861508401</v>
      </c>
      <c r="R298">
        <v>17</v>
      </c>
      <c r="S298">
        <v>1.6487957266284099</v>
      </c>
      <c r="T298">
        <v>0.58195254871554603</v>
      </c>
    </row>
    <row r="299" spans="1:20" x14ac:dyDescent="0.2">
      <c r="A299" t="str">
        <f t="shared" si="4"/>
        <v>sample_16S-A-E02-L3_anaCS-Subj6-E02</v>
      </c>
      <c r="B299" t="s">
        <v>536</v>
      </c>
      <c r="C299" s="3" t="s">
        <v>9</v>
      </c>
      <c r="D299" s="3" t="s">
        <v>7</v>
      </c>
      <c r="E299" s="3" t="s">
        <v>3</v>
      </c>
      <c r="F299" s="3" t="s">
        <v>72</v>
      </c>
      <c r="G299" s="3" t="s">
        <v>23</v>
      </c>
      <c r="H299" s="3" t="s">
        <v>13</v>
      </c>
      <c r="I299" s="3" t="s">
        <v>21</v>
      </c>
      <c r="J299" s="3" t="s">
        <v>72</v>
      </c>
      <c r="K299" s="3" t="s">
        <v>167</v>
      </c>
      <c r="L299" s="3">
        <v>50</v>
      </c>
      <c r="M299">
        <v>61482</v>
      </c>
      <c r="N299">
        <v>61510</v>
      </c>
      <c r="O299">
        <v>60899</v>
      </c>
      <c r="P299">
        <v>57167</v>
      </c>
      <c r="Q299">
        <v>0.93871820555345697</v>
      </c>
      <c r="R299">
        <v>21</v>
      </c>
      <c r="S299">
        <v>1.2111740374424</v>
      </c>
      <c r="T299">
        <v>0.39782069674877302</v>
      </c>
    </row>
    <row r="300" spans="1:20" x14ac:dyDescent="0.2">
      <c r="A300" t="str">
        <f t="shared" si="4"/>
        <v>sample_HS-CS5_E02_Secnidazole_S434</v>
      </c>
      <c r="B300" t="s">
        <v>537</v>
      </c>
      <c r="C300" s="3" t="s">
        <v>10</v>
      </c>
      <c r="D300" s="3" t="s">
        <v>8</v>
      </c>
      <c r="E300" s="3" t="s">
        <v>11</v>
      </c>
      <c r="F300" s="3" t="s">
        <v>11</v>
      </c>
      <c r="G300" s="3" t="s">
        <v>11</v>
      </c>
      <c r="H300" s="3" t="s">
        <v>13</v>
      </c>
      <c r="I300" s="3" t="s">
        <v>19</v>
      </c>
      <c r="J300" s="3" t="s">
        <v>72</v>
      </c>
      <c r="K300" s="3" t="s">
        <v>167</v>
      </c>
      <c r="L300" s="3">
        <v>50</v>
      </c>
      <c r="M300">
        <v>21916</v>
      </c>
      <c r="N300">
        <v>21924</v>
      </c>
      <c r="O300">
        <v>21550</v>
      </c>
      <c r="P300">
        <v>20956</v>
      </c>
      <c r="Q300">
        <v>0.97243619489559197</v>
      </c>
      <c r="R300">
        <v>16</v>
      </c>
      <c r="S300">
        <v>1.42003306911705</v>
      </c>
      <c r="T300">
        <v>0.51216866667837602</v>
      </c>
    </row>
    <row r="301" spans="1:20" x14ac:dyDescent="0.2">
      <c r="A301" t="str">
        <f t="shared" si="4"/>
        <v>sample_HS-CS6_E02_Secnidazole_S530</v>
      </c>
      <c r="B301" t="s">
        <v>538</v>
      </c>
      <c r="C301" s="3" t="s">
        <v>10</v>
      </c>
      <c r="D301" s="3" t="s">
        <v>8</v>
      </c>
      <c r="E301" s="3" t="s">
        <v>11</v>
      </c>
      <c r="F301" s="3" t="s">
        <v>11</v>
      </c>
      <c r="G301" s="3" t="s">
        <v>11</v>
      </c>
      <c r="H301" s="3" t="s">
        <v>13</v>
      </c>
      <c r="I301" s="3" t="s">
        <v>21</v>
      </c>
      <c r="J301" s="3" t="s">
        <v>72</v>
      </c>
      <c r="K301" s="3" t="s">
        <v>167</v>
      </c>
      <c r="L301" s="3">
        <v>50</v>
      </c>
      <c r="M301">
        <v>15388</v>
      </c>
      <c r="N301">
        <v>15410</v>
      </c>
      <c r="O301">
        <v>15052</v>
      </c>
      <c r="P301">
        <v>14876</v>
      </c>
      <c r="Q301">
        <v>0.98830720170077102</v>
      </c>
      <c r="R301">
        <v>9</v>
      </c>
      <c r="S301">
        <v>0.57568501192922195</v>
      </c>
      <c r="T301">
        <v>0.262005540019559</v>
      </c>
    </row>
    <row r="302" spans="1:20" x14ac:dyDescent="0.2">
      <c r="A302" t="str">
        <f t="shared" si="4"/>
        <v>sample_16S-A-E03-L0_anaCS-Subj5-E03</v>
      </c>
      <c r="B302" t="s">
        <v>539</v>
      </c>
      <c r="C302" s="3" t="s">
        <v>9</v>
      </c>
      <c r="D302" s="3" t="s">
        <v>7</v>
      </c>
      <c r="E302" s="3" t="s">
        <v>3</v>
      </c>
      <c r="F302" s="3" t="s">
        <v>73</v>
      </c>
      <c r="G302" s="3" t="s">
        <v>18</v>
      </c>
      <c r="H302" s="3" t="s">
        <v>13</v>
      </c>
      <c r="I302" s="3" t="s">
        <v>19</v>
      </c>
      <c r="J302" s="3" t="s">
        <v>73</v>
      </c>
      <c r="K302" s="3" t="s">
        <v>168</v>
      </c>
      <c r="L302" s="3">
        <v>51</v>
      </c>
      <c r="M302">
        <v>101781</v>
      </c>
      <c r="N302">
        <v>101880</v>
      </c>
      <c r="O302">
        <v>100613</v>
      </c>
      <c r="P302">
        <v>91590</v>
      </c>
      <c r="Q302">
        <v>0.91031973999383797</v>
      </c>
      <c r="R302">
        <v>26</v>
      </c>
      <c r="S302">
        <v>1.8232823328794601</v>
      </c>
      <c r="T302">
        <v>0.55961580990680704</v>
      </c>
    </row>
    <row r="303" spans="1:20" x14ac:dyDescent="0.2">
      <c r="A303" t="str">
        <f t="shared" si="4"/>
        <v>sample_16S-A-E03-L1_anaCS-Subj6-E03</v>
      </c>
      <c r="B303" t="s">
        <v>540</v>
      </c>
      <c r="C303" s="3" t="s">
        <v>9</v>
      </c>
      <c r="D303" s="3" t="s">
        <v>7</v>
      </c>
      <c r="E303" s="3" t="s">
        <v>3</v>
      </c>
      <c r="F303" s="3" t="s">
        <v>73</v>
      </c>
      <c r="G303" s="3" t="s">
        <v>20</v>
      </c>
      <c r="H303" s="3" t="s">
        <v>13</v>
      </c>
      <c r="I303" s="3" t="s">
        <v>21</v>
      </c>
      <c r="J303" s="3" t="s">
        <v>73</v>
      </c>
      <c r="K303" s="3" t="s">
        <v>168</v>
      </c>
      <c r="L303" s="3">
        <v>51</v>
      </c>
      <c r="M303">
        <v>62841</v>
      </c>
      <c r="N303">
        <v>62913</v>
      </c>
      <c r="O303">
        <v>62049</v>
      </c>
      <c r="P303">
        <v>56907</v>
      </c>
      <c r="Q303">
        <v>0.91713001015326601</v>
      </c>
      <c r="R303">
        <v>25</v>
      </c>
      <c r="S303">
        <v>1.5798406709669399</v>
      </c>
      <c r="T303">
        <v>0.49080509995492899</v>
      </c>
    </row>
    <row r="304" spans="1:20" x14ac:dyDescent="0.2">
      <c r="A304" t="str">
        <f t="shared" si="4"/>
        <v>sample_16S-A-E03-L2_anaCS-Subj5-E03</v>
      </c>
      <c r="B304" t="s">
        <v>541</v>
      </c>
      <c r="C304" s="3" t="s">
        <v>9</v>
      </c>
      <c r="D304" s="3" t="s">
        <v>7</v>
      </c>
      <c r="E304" s="3" t="s">
        <v>3</v>
      </c>
      <c r="F304" s="3" t="s">
        <v>73</v>
      </c>
      <c r="G304" s="3" t="s">
        <v>22</v>
      </c>
      <c r="H304" s="3" t="s">
        <v>13</v>
      </c>
      <c r="I304" s="3" t="s">
        <v>19</v>
      </c>
      <c r="J304" s="3" t="s">
        <v>73</v>
      </c>
      <c r="K304" s="3" t="s">
        <v>168</v>
      </c>
      <c r="L304" s="3">
        <v>51</v>
      </c>
      <c r="M304">
        <v>67527</v>
      </c>
      <c r="N304">
        <v>67546</v>
      </c>
      <c r="O304">
        <v>66479</v>
      </c>
      <c r="P304">
        <v>60025</v>
      </c>
      <c r="Q304">
        <v>0.90291671054017097</v>
      </c>
      <c r="R304">
        <v>24</v>
      </c>
      <c r="S304">
        <v>1.80826405860562</v>
      </c>
      <c r="T304">
        <v>0.56898471679054197</v>
      </c>
    </row>
    <row r="305" spans="1:20" x14ac:dyDescent="0.2">
      <c r="A305" t="str">
        <f t="shared" si="4"/>
        <v>sample_16S-A-E03-L3_anaCS-Subj6-E03</v>
      </c>
      <c r="B305" t="s">
        <v>542</v>
      </c>
      <c r="C305" s="3" t="s">
        <v>9</v>
      </c>
      <c r="D305" s="3" t="s">
        <v>7</v>
      </c>
      <c r="E305" s="3" t="s">
        <v>3</v>
      </c>
      <c r="F305" s="3" t="s">
        <v>73</v>
      </c>
      <c r="G305" s="3" t="s">
        <v>23</v>
      </c>
      <c r="H305" s="3" t="s">
        <v>13</v>
      </c>
      <c r="I305" s="3" t="s">
        <v>21</v>
      </c>
      <c r="J305" s="3" t="s">
        <v>73</v>
      </c>
      <c r="K305" s="3" t="s">
        <v>168</v>
      </c>
      <c r="L305" s="3">
        <v>51</v>
      </c>
      <c r="M305">
        <v>83607</v>
      </c>
      <c r="N305">
        <v>83633</v>
      </c>
      <c r="O305">
        <v>82645</v>
      </c>
      <c r="P305">
        <v>73501</v>
      </c>
      <c r="Q305">
        <v>0.88935809788855902</v>
      </c>
      <c r="R305">
        <v>24</v>
      </c>
      <c r="S305">
        <v>1.6093789141305499</v>
      </c>
      <c r="T305">
        <v>0.50640391888967795</v>
      </c>
    </row>
    <row r="306" spans="1:20" x14ac:dyDescent="0.2">
      <c r="A306" t="str">
        <f t="shared" si="4"/>
        <v>sample_HS-CS5_E03_Rifapentine_S435</v>
      </c>
      <c r="B306" t="s">
        <v>543</v>
      </c>
      <c r="C306" s="3" t="s">
        <v>10</v>
      </c>
      <c r="D306" s="3" t="s">
        <v>8</v>
      </c>
      <c r="E306" s="3" t="s">
        <v>11</v>
      </c>
      <c r="F306" s="3" t="s">
        <v>11</v>
      </c>
      <c r="G306" s="3" t="s">
        <v>11</v>
      </c>
      <c r="H306" s="3" t="s">
        <v>13</v>
      </c>
      <c r="I306" s="3" t="s">
        <v>19</v>
      </c>
      <c r="J306" s="3" t="s">
        <v>73</v>
      </c>
      <c r="K306" s="3" t="s">
        <v>168</v>
      </c>
      <c r="L306" s="3">
        <v>51</v>
      </c>
      <c r="M306">
        <v>15053</v>
      </c>
      <c r="N306">
        <v>15062</v>
      </c>
      <c r="O306">
        <v>14812</v>
      </c>
      <c r="P306">
        <v>14203</v>
      </c>
      <c r="Q306">
        <v>0.95888468809073701</v>
      </c>
      <c r="R306">
        <v>16</v>
      </c>
      <c r="S306">
        <v>1.5611770604437401</v>
      </c>
      <c r="T306">
        <v>0.56307560076294705</v>
      </c>
    </row>
    <row r="307" spans="1:20" x14ac:dyDescent="0.2">
      <c r="A307" t="str">
        <f t="shared" si="4"/>
        <v>sample_HS-CS6_E03_Rifapentine_S531</v>
      </c>
      <c r="B307" t="s">
        <v>544</v>
      </c>
      <c r="C307" s="3" t="s">
        <v>10</v>
      </c>
      <c r="D307" s="3" t="s">
        <v>8</v>
      </c>
      <c r="E307" s="3" t="s">
        <v>11</v>
      </c>
      <c r="F307" s="3" t="s">
        <v>11</v>
      </c>
      <c r="G307" s="3" t="s">
        <v>11</v>
      </c>
      <c r="H307" s="3" t="s">
        <v>13</v>
      </c>
      <c r="I307" s="3" t="s">
        <v>21</v>
      </c>
      <c r="J307" s="3" t="s">
        <v>73</v>
      </c>
      <c r="K307" s="3" t="s">
        <v>168</v>
      </c>
      <c r="L307" s="3">
        <v>51</v>
      </c>
      <c r="M307">
        <v>13204</v>
      </c>
      <c r="N307">
        <v>13212</v>
      </c>
      <c r="O307">
        <v>12974</v>
      </c>
      <c r="P307">
        <v>12717</v>
      </c>
      <c r="Q307">
        <v>0.98019115153383696</v>
      </c>
      <c r="R307">
        <v>13</v>
      </c>
      <c r="S307">
        <v>1.0498611996199101</v>
      </c>
      <c r="T307">
        <v>0.40931069323681601</v>
      </c>
    </row>
    <row r="308" spans="1:20" x14ac:dyDescent="0.2">
      <c r="A308" t="str">
        <f t="shared" si="4"/>
        <v>sample_HS-CS5_E04_Clomifene-citrate_S436</v>
      </c>
      <c r="B308" t="s">
        <v>545</v>
      </c>
      <c r="C308" s="3" t="s">
        <v>10</v>
      </c>
      <c r="D308" s="3" t="s">
        <v>8</v>
      </c>
      <c r="E308" s="3" t="s">
        <v>11</v>
      </c>
      <c r="F308" s="3" t="s">
        <v>11</v>
      </c>
      <c r="G308" s="3" t="s">
        <v>11</v>
      </c>
      <c r="H308" s="3" t="s">
        <v>13</v>
      </c>
      <c r="I308" s="3" t="s">
        <v>19</v>
      </c>
      <c r="J308" s="3" t="s">
        <v>74</v>
      </c>
      <c r="K308" s="3" t="s">
        <v>160</v>
      </c>
      <c r="L308" s="3">
        <v>52</v>
      </c>
      <c r="M308">
        <v>32020</v>
      </c>
      <c r="N308">
        <v>32053</v>
      </c>
      <c r="O308">
        <v>31470</v>
      </c>
      <c r="P308">
        <v>30690</v>
      </c>
      <c r="Q308">
        <v>0.975214489990467</v>
      </c>
      <c r="R308">
        <v>13</v>
      </c>
      <c r="S308">
        <v>0.56075893879276895</v>
      </c>
      <c r="T308">
        <v>0.21862378575292299</v>
      </c>
    </row>
    <row r="309" spans="1:20" x14ac:dyDescent="0.2">
      <c r="A309" t="str">
        <f t="shared" si="4"/>
        <v>sample_HS-CS6_E04_Clomifene-citrate_S532</v>
      </c>
      <c r="B309" t="s">
        <v>546</v>
      </c>
      <c r="C309" s="3" t="s">
        <v>10</v>
      </c>
      <c r="D309" s="3" t="s">
        <v>8</v>
      </c>
      <c r="E309" s="3" t="s">
        <v>11</v>
      </c>
      <c r="F309" s="3" t="s">
        <v>11</v>
      </c>
      <c r="G309" s="3" t="s">
        <v>11</v>
      </c>
      <c r="H309" s="3" t="s">
        <v>13</v>
      </c>
      <c r="I309" s="3" t="s">
        <v>21</v>
      </c>
      <c r="J309" s="3" t="s">
        <v>74</v>
      </c>
      <c r="K309" s="3" t="s">
        <v>160</v>
      </c>
      <c r="L309" s="3">
        <v>52</v>
      </c>
      <c r="M309">
        <v>17140</v>
      </c>
      <c r="N309">
        <v>17162</v>
      </c>
      <c r="O309">
        <v>16754</v>
      </c>
      <c r="P309">
        <v>16442</v>
      </c>
      <c r="Q309">
        <v>0.98137758147308096</v>
      </c>
      <c r="R309">
        <v>9</v>
      </c>
      <c r="S309">
        <v>0.484172181838112</v>
      </c>
      <c r="T309">
        <v>0.22035625617527599</v>
      </c>
    </row>
    <row r="310" spans="1:20" x14ac:dyDescent="0.2">
      <c r="A310" t="str">
        <f t="shared" si="4"/>
        <v>sample_16S-A-E04-L0_anaCS-Subj5-E04</v>
      </c>
      <c r="B310" t="s">
        <v>547</v>
      </c>
      <c r="C310" s="3" t="s">
        <v>9</v>
      </c>
      <c r="D310" s="3" t="s">
        <v>7</v>
      </c>
      <c r="E310" s="3" t="s">
        <v>3</v>
      </c>
      <c r="F310" s="3" t="s">
        <v>74</v>
      </c>
      <c r="G310" s="3" t="s">
        <v>18</v>
      </c>
      <c r="H310" s="3" t="s">
        <v>13</v>
      </c>
      <c r="I310" s="3" t="s">
        <v>19</v>
      </c>
      <c r="J310" s="3" t="s">
        <v>74</v>
      </c>
      <c r="K310" s="3" t="s">
        <v>160</v>
      </c>
      <c r="L310" s="3">
        <v>52</v>
      </c>
      <c r="M310">
        <v>81843</v>
      </c>
      <c r="N310">
        <v>81860</v>
      </c>
      <c r="O310">
        <v>81436</v>
      </c>
      <c r="P310">
        <v>75749</v>
      </c>
      <c r="Q310">
        <v>0.93016601994203996</v>
      </c>
      <c r="R310">
        <v>25</v>
      </c>
      <c r="S310">
        <v>0.94301442543761105</v>
      </c>
      <c r="T310">
        <v>0.29296390315902399</v>
      </c>
    </row>
    <row r="311" spans="1:20" x14ac:dyDescent="0.2">
      <c r="A311" t="str">
        <f t="shared" si="4"/>
        <v>sample_16S-A-E04-L1_anaCS-Subj6-E04</v>
      </c>
      <c r="B311" t="s">
        <v>548</v>
      </c>
      <c r="C311" s="3" t="s">
        <v>9</v>
      </c>
      <c r="D311" s="3" t="s">
        <v>7</v>
      </c>
      <c r="E311" s="3" t="s">
        <v>3</v>
      </c>
      <c r="F311" s="3" t="s">
        <v>74</v>
      </c>
      <c r="G311" s="3" t="s">
        <v>20</v>
      </c>
      <c r="H311" s="3" t="s">
        <v>13</v>
      </c>
      <c r="I311" s="3" t="s">
        <v>21</v>
      </c>
      <c r="J311" s="3" t="s">
        <v>74</v>
      </c>
      <c r="K311" s="3" t="s">
        <v>160</v>
      </c>
      <c r="L311" s="3">
        <v>52</v>
      </c>
      <c r="M311">
        <v>54687</v>
      </c>
      <c r="N311">
        <v>54714</v>
      </c>
      <c r="O311">
        <v>54273</v>
      </c>
      <c r="P311">
        <v>51111</v>
      </c>
      <c r="Q311">
        <v>0.94173898623624996</v>
      </c>
      <c r="R311">
        <v>20</v>
      </c>
      <c r="S311">
        <v>0.88199084959346497</v>
      </c>
      <c r="T311">
        <v>0.29441577853254403</v>
      </c>
    </row>
    <row r="312" spans="1:20" x14ac:dyDescent="0.2">
      <c r="A312" t="str">
        <f t="shared" si="4"/>
        <v>sample_16S-A-E04-L2_anaCS-Subj5-E04</v>
      </c>
      <c r="B312" t="s">
        <v>549</v>
      </c>
      <c r="C312" s="3" t="s">
        <v>9</v>
      </c>
      <c r="D312" s="3" t="s">
        <v>7</v>
      </c>
      <c r="E312" s="3" t="s">
        <v>3</v>
      </c>
      <c r="F312" s="3" t="s">
        <v>74</v>
      </c>
      <c r="G312" s="3" t="s">
        <v>22</v>
      </c>
      <c r="H312" s="3" t="s">
        <v>13</v>
      </c>
      <c r="I312" s="3" t="s">
        <v>19</v>
      </c>
      <c r="J312" s="3" t="s">
        <v>74</v>
      </c>
      <c r="K312" s="3" t="s">
        <v>160</v>
      </c>
      <c r="L312" s="3">
        <v>52</v>
      </c>
      <c r="M312">
        <v>90080</v>
      </c>
      <c r="N312">
        <v>90116</v>
      </c>
      <c r="O312">
        <v>89327</v>
      </c>
      <c r="P312">
        <v>79143</v>
      </c>
      <c r="Q312">
        <v>0.885991917337423</v>
      </c>
      <c r="R312">
        <v>28</v>
      </c>
      <c r="S312">
        <v>1.08585514139635</v>
      </c>
      <c r="T312">
        <v>0.325866896248591</v>
      </c>
    </row>
    <row r="313" spans="1:20" x14ac:dyDescent="0.2">
      <c r="A313" t="str">
        <f t="shared" si="4"/>
        <v>sample_16S-A-E04-L3_anaCS-Subj6-E04</v>
      </c>
      <c r="B313" t="s">
        <v>550</v>
      </c>
      <c r="C313" s="3" t="s">
        <v>9</v>
      </c>
      <c r="D313" s="3" t="s">
        <v>7</v>
      </c>
      <c r="E313" s="3" t="s">
        <v>3</v>
      </c>
      <c r="F313" s="3" t="s">
        <v>74</v>
      </c>
      <c r="G313" s="3" t="s">
        <v>23</v>
      </c>
      <c r="H313" s="3" t="s">
        <v>13</v>
      </c>
      <c r="I313" s="3" t="s">
        <v>21</v>
      </c>
      <c r="J313" s="3" t="s">
        <v>74</v>
      </c>
      <c r="K313" s="3" t="s">
        <v>160</v>
      </c>
      <c r="L313" s="3">
        <v>52</v>
      </c>
      <c r="M313">
        <v>72323</v>
      </c>
      <c r="N313">
        <v>72301</v>
      </c>
      <c r="O313">
        <v>71590</v>
      </c>
      <c r="P313">
        <v>66327</v>
      </c>
      <c r="Q313">
        <v>0.92648414583042304</v>
      </c>
      <c r="R313">
        <v>23</v>
      </c>
      <c r="S313">
        <v>0.90825209710382504</v>
      </c>
      <c r="T313">
        <v>0.28966792299908001</v>
      </c>
    </row>
    <row r="314" spans="1:20" x14ac:dyDescent="0.2">
      <c r="A314" t="str">
        <f t="shared" si="4"/>
        <v>sample_16S-A-E05-L0_anaCS-Subj5-E05</v>
      </c>
      <c r="B314" t="s">
        <v>551</v>
      </c>
      <c r="C314" s="3" t="s">
        <v>9</v>
      </c>
      <c r="D314" s="3" t="s">
        <v>7</v>
      </c>
      <c r="E314" s="3" t="s">
        <v>3</v>
      </c>
      <c r="F314" s="3" t="s">
        <v>75</v>
      </c>
      <c r="G314" s="3" t="s">
        <v>18</v>
      </c>
      <c r="H314" s="3" t="s">
        <v>13</v>
      </c>
      <c r="I314" s="3" t="s">
        <v>19</v>
      </c>
      <c r="J314" s="3" t="s">
        <v>75</v>
      </c>
      <c r="K314" s="3" t="s">
        <v>169</v>
      </c>
      <c r="L314" s="3">
        <v>53</v>
      </c>
      <c r="M314">
        <v>81030</v>
      </c>
      <c r="N314">
        <v>80932</v>
      </c>
      <c r="O314">
        <v>79278</v>
      </c>
      <c r="P314">
        <v>74113</v>
      </c>
      <c r="Q314">
        <v>0.93484951688993201</v>
      </c>
      <c r="R314">
        <v>43</v>
      </c>
      <c r="S314">
        <v>2.5668522530706799</v>
      </c>
      <c r="T314">
        <v>0.682455645569221</v>
      </c>
    </row>
    <row r="315" spans="1:20" x14ac:dyDescent="0.2">
      <c r="A315" t="str">
        <f t="shared" si="4"/>
        <v>sample_16S-A-E05-L1_anaCS-Subj6-E05</v>
      </c>
      <c r="B315" t="s">
        <v>552</v>
      </c>
      <c r="C315" s="3" t="s">
        <v>9</v>
      </c>
      <c r="D315" s="3" t="s">
        <v>7</v>
      </c>
      <c r="E315" s="3" t="s">
        <v>3</v>
      </c>
      <c r="F315" s="3" t="s">
        <v>75</v>
      </c>
      <c r="G315" s="3" t="s">
        <v>20</v>
      </c>
      <c r="H315" s="3" t="s">
        <v>13</v>
      </c>
      <c r="I315" s="3" t="s">
        <v>21</v>
      </c>
      <c r="J315" s="3" t="s">
        <v>75</v>
      </c>
      <c r="K315" s="3" t="s">
        <v>169</v>
      </c>
      <c r="L315" s="3">
        <v>53</v>
      </c>
      <c r="M315">
        <v>42772</v>
      </c>
      <c r="N315">
        <v>42798</v>
      </c>
      <c r="O315">
        <v>42052</v>
      </c>
      <c r="P315">
        <v>40861</v>
      </c>
      <c r="Q315">
        <v>0.97167792257205399</v>
      </c>
      <c r="R315">
        <v>45</v>
      </c>
      <c r="S315">
        <v>2.02537989646863</v>
      </c>
      <c r="T315">
        <v>0.53206185258384597</v>
      </c>
    </row>
    <row r="316" spans="1:20" x14ac:dyDescent="0.2">
      <c r="A316" t="str">
        <f t="shared" si="4"/>
        <v>sample_16S-A-E05-L2_anaCS-Subj5-E05</v>
      </c>
      <c r="B316" t="s">
        <v>553</v>
      </c>
      <c r="C316" s="3" t="s">
        <v>9</v>
      </c>
      <c r="D316" s="3" t="s">
        <v>7</v>
      </c>
      <c r="E316" s="3" t="s">
        <v>3</v>
      </c>
      <c r="F316" s="3" t="s">
        <v>75</v>
      </c>
      <c r="G316" s="3" t="s">
        <v>22</v>
      </c>
      <c r="H316" s="3" t="s">
        <v>13</v>
      </c>
      <c r="I316" s="3" t="s">
        <v>19</v>
      </c>
      <c r="J316" s="3" t="s">
        <v>75</v>
      </c>
      <c r="K316" s="3" t="s">
        <v>169</v>
      </c>
      <c r="L316" s="3">
        <v>53</v>
      </c>
      <c r="M316">
        <v>48592</v>
      </c>
      <c r="N316">
        <v>48594</v>
      </c>
      <c r="O316">
        <v>47077</v>
      </c>
      <c r="P316">
        <v>42571</v>
      </c>
      <c r="Q316">
        <v>0.90428447012341495</v>
      </c>
      <c r="R316">
        <v>40</v>
      </c>
      <c r="S316">
        <v>2.5326379114889002</v>
      </c>
      <c r="T316">
        <v>0.68656022594190103</v>
      </c>
    </row>
    <row r="317" spans="1:20" x14ac:dyDescent="0.2">
      <c r="A317" t="str">
        <f t="shared" si="4"/>
        <v>sample_16S-A-E05-L3_anaCS-Subj6-E05</v>
      </c>
      <c r="B317" t="s">
        <v>554</v>
      </c>
      <c r="C317" s="3" t="s">
        <v>9</v>
      </c>
      <c r="D317" s="3" t="s">
        <v>7</v>
      </c>
      <c r="E317" s="3" t="s">
        <v>3</v>
      </c>
      <c r="F317" s="3" t="s">
        <v>75</v>
      </c>
      <c r="G317" s="3" t="s">
        <v>23</v>
      </c>
      <c r="H317" s="3" t="s">
        <v>13</v>
      </c>
      <c r="I317" s="3" t="s">
        <v>21</v>
      </c>
      <c r="J317" s="3" t="s">
        <v>75</v>
      </c>
      <c r="K317" s="3" t="s">
        <v>169</v>
      </c>
      <c r="L317" s="3">
        <v>53</v>
      </c>
      <c r="M317">
        <v>48551</v>
      </c>
      <c r="N317">
        <v>48618</v>
      </c>
      <c r="O317">
        <v>47372</v>
      </c>
      <c r="P317">
        <v>45011</v>
      </c>
      <c r="Q317">
        <v>0.95016043232289105</v>
      </c>
      <c r="R317">
        <v>44</v>
      </c>
      <c r="S317">
        <v>2.0271063080757799</v>
      </c>
      <c r="T317">
        <v>0.53567778155368495</v>
      </c>
    </row>
    <row r="318" spans="1:20" x14ac:dyDescent="0.2">
      <c r="A318" t="str">
        <f t="shared" si="4"/>
        <v>sample_HS-CS5_E05_Triclosan_S437</v>
      </c>
      <c r="B318" t="s">
        <v>555</v>
      </c>
      <c r="C318" s="3" t="s">
        <v>10</v>
      </c>
      <c r="D318" s="3" t="s">
        <v>8</v>
      </c>
      <c r="E318" s="3" t="s">
        <v>11</v>
      </c>
      <c r="F318" s="3" t="s">
        <v>11</v>
      </c>
      <c r="G318" s="3" t="s">
        <v>11</v>
      </c>
      <c r="H318" s="3" t="s">
        <v>13</v>
      </c>
      <c r="I318" s="3" t="s">
        <v>19</v>
      </c>
      <c r="J318" s="3" t="s">
        <v>75</v>
      </c>
      <c r="K318" s="3" t="s">
        <v>169</v>
      </c>
      <c r="L318" s="3">
        <v>53</v>
      </c>
      <c r="M318">
        <v>18725</v>
      </c>
      <c r="N318">
        <v>18753</v>
      </c>
      <c r="O318">
        <v>18236</v>
      </c>
      <c r="P318">
        <v>17765</v>
      </c>
      <c r="Q318">
        <v>0.97417196753674096</v>
      </c>
      <c r="R318">
        <v>29</v>
      </c>
      <c r="S318">
        <v>2.3189294708832602</v>
      </c>
      <c r="T318">
        <v>0.68866223461351495</v>
      </c>
    </row>
    <row r="319" spans="1:20" x14ac:dyDescent="0.2">
      <c r="A319" t="str">
        <f t="shared" si="4"/>
        <v>sample_HS-CS6_E05_Triclosan_S533</v>
      </c>
      <c r="B319" t="s">
        <v>556</v>
      </c>
      <c r="C319" s="3" t="s">
        <v>10</v>
      </c>
      <c r="D319" s="3" t="s">
        <v>8</v>
      </c>
      <c r="E319" s="3" t="s">
        <v>11</v>
      </c>
      <c r="F319" s="3" t="s">
        <v>11</v>
      </c>
      <c r="G319" s="3" t="s">
        <v>11</v>
      </c>
      <c r="H319" s="3" t="s">
        <v>13</v>
      </c>
      <c r="I319" s="3" t="s">
        <v>21</v>
      </c>
      <c r="J319" s="3" t="s">
        <v>75</v>
      </c>
      <c r="K319" s="3" t="s">
        <v>169</v>
      </c>
      <c r="L319" s="3">
        <v>53</v>
      </c>
      <c r="M319">
        <v>10328</v>
      </c>
      <c r="N319">
        <v>10308</v>
      </c>
      <c r="O319">
        <v>10147</v>
      </c>
      <c r="P319">
        <v>9950</v>
      </c>
      <c r="Q319">
        <v>0.98058539469794004</v>
      </c>
      <c r="R319" t="s">
        <v>11</v>
      </c>
      <c r="S319" t="s">
        <v>11</v>
      </c>
      <c r="T319" t="s">
        <v>11</v>
      </c>
    </row>
    <row r="320" spans="1:20" x14ac:dyDescent="0.2">
      <c r="A320" t="str">
        <f t="shared" si="4"/>
        <v>sample_HS-CS5_E06_Enrofloxacin_S438</v>
      </c>
      <c r="B320" t="s">
        <v>557</v>
      </c>
      <c r="C320" s="3" t="s">
        <v>10</v>
      </c>
      <c r="D320" s="3" t="s">
        <v>8</v>
      </c>
      <c r="E320" s="3" t="s">
        <v>11</v>
      </c>
      <c r="F320" s="3" t="s">
        <v>11</v>
      </c>
      <c r="G320" s="3" t="s">
        <v>11</v>
      </c>
      <c r="H320" s="3" t="s">
        <v>13</v>
      </c>
      <c r="I320" s="3" t="s">
        <v>19</v>
      </c>
      <c r="J320" s="3" t="s">
        <v>76</v>
      </c>
      <c r="K320" s="3" t="s">
        <v>170</v>
      </c>
      <c r="L320" s="3">
        <v>54</v>
      </c>
      <c r="M320">
        <v>22761</v>
      </c>
      <c r="N320">
        <v>22824</v>
      </c>
      <c r="O320">
        <v>22232</v>
      </c>
      <c r="P320">
        <v>21855</v>
      </c>
      <c r="Q320">
        <v>0.983042461317021</v>
      </c>
      <c r="R320">
        <v>43</v>
      </c>
      <c r="S320">
        <v>2.4222946370473699</v>
      </c>
      <c r="T320">
        <v>0.64402173841811095</v>
      </c>
    </row>
    <row r="321" spans="1:20" x14ac:dyDescent="0.2">
      <c r="A321" t="str">
        <f t="shared" si="4"/>
        <v>sample_HS-CS6_E06_Enrofloxacin_S534</v>
      </c>
      <c r="B321" t="s">
        <v>558</v>
      </c>
      <c r="C321" s="3" t="s">
        <v>10</v>
      </c>
      <c r="D321" s="3" t="s">
        <v>8</v>
      </c>
      <c r="E321" s="3" t="s">
        <v>11</v>
      </c>
      <c r="F321" s="3" t="s">
        <v>11</v>
      </c>
      <c r="G321" s="3" t="s">
        <v>11</v>
      </c>
      <c r="H321" s="3" t="s">
        <v>13</v>
      </c>
      <c r="I321" s="3" t="s">
        <v>21</v>
      </c>
      <c r="J321" s="3" t="s">
        <v>76</v>
      </c>
      <c r="K321" s="3" t="s">
        <v>170</v>
      </c>
      <c r="L321" s="3">
        <v>54</v>
      </c>
      <c r="M321">
        <v>10586</v>
      </c>
      <c r="N321">
        <v>10632</v>
      </c>
      <c r="O321">
        <v>10314</v>
      </c>
      <c r="P321">
        <v>9909</v>
      </c>
      <c r="Q321">
        <v>0.96073298429319398</v>
      </c>
      <c r="R321" t="s">
        <v>11</v>
      </c>
      <c r="S321" t="s">
        <v>11</v>
      </c>
      <c r="T321" t="s">
        <v>11</v>
      </c>
    </row>
    <row r="322" spans="1:20" x14ac:dyDescent="0.2">
      <c r="A322" t="str">
        <f t="shared" si="4"/>
        <v>sample_16S-A-E06-L0_anaCS-Subj5-E06</v>
      </c>
      <c r="B322" t="s">
        <v>559</v>
      </c>
      <c r="C322" s="3" t="s">
        <v>9</v>
      </c>
      <c r="D322" s="3" t="s">
        <v>7</v>
      </c>
      <c r="E322" s="3" t="s">
        <v>3</v>
      </c>
      <c r="F322" s="3" t="s">
        <v>76</v>
      </c>
      <c r="G322" s="3" t="s">
        <v>18</v>
      </c>
      <c r="H322" s="3" t="s">
        <v>13</v>
      </c>
      <c r="I322" s="3" t="s">
        <v>19</v>
      </c>
      <c r="J322" s="3" t="s">
        <v>76</v>
      </c>
      <c r="K322" s="3" t="s">
        <v>170</v>
      </c>
      <c r="L322" s="3">
        <v>54</v>
      </c>
      <c r="M322">
        <v>110887</v>
      </c>
      <c r="N322">
        <v>110900</v>
      </c>
      <c r="O322">
        <v>108948</v>
      </c>
      <c r="P322">
        <v>102413</v>
      </c>
      <c r="Q322">
        <v>0.94001725593861296</v>
      </c>
      <c r="R322">
        <v>56</v>
      </c>
      <c r="S322">
        <v>2.6041958209221101</v>
      </c>
      <c r="T322">
        <v>0.64694864473978597</v>
      </c>
    </row>
    <row r="323" spans="1:20" x14ac:dyDescent="0.2">
      <c r="A323" t="str">
        <f t="shared" ref="A323:A386" si="5">_xlfn.CONCAT("sample_",B323)</f>
        <v>sample_16S-A-E06-L1_anaCS-Subj6-E06</v>
      </c>
      <c r="B323" t="s">
        <v>560</v>
      </c>
      <c r="C323" s="3" t="s">
        <v>9</v>
      </c>
      <c r="D323" s="3" t="s">
        <v>7</v>
      </c>
      <c r="E323" s="3" t="s">
        <v>3</v>
      </c>
      <c r="F323" s="3" t="s">
        <v>76</v>
      </c>
      <c r="G323" s="3" t="s">
        <v>20</v>
      </c>
      <c r="H323" s="3" t="s">
        <v>13</v>
      </c>
      <c r="I323" s="3" t="s">
        <v>21</v>
      </c>
      <c r="J323" s="3" t="s">
        <v>76</v>
      </c>
      <c r="K323" s="3" t="s">
        <v>170</v>
      </c>
      <c r="L323" s="3">
        <v>54</v>
      </c>
      <c r="M323">
        <v>88426</v>
      </c>
      <c r="N323">
        <v>88538</v>
      </c>
      <c r="O323">
        <v>86947</v>
      </c>
      <c r="P323">
        <v>79831</v>
      </c>
      <c r="Q323">
        <v>0.91815703819568195</v>
      </c>
      <c r="R323">
        <v>72</v>
      </c>
      <c r="S323">
        <v>2.7068800793883199</v>
      </c>
      <c r="T323">
        <v>0.632941642872767</v>
      </c>
    </row>
    <row r="324" spans="1:20" x14ac:dyDescent="0.2">
      <c r="A324" t="str">
        <f t="shared" si="5"/>
        <v>sample_16S-A-E06-L2_anaCS-Subj5-E06</v>
      </c>
      <c r="B324" t="s">
        <v>561</v>
      </c>
      <c r="C324" s="3" t="s">
        <v>9</v>
      </c>
      <c r="D324" s="3" t="s">
        <v>7</v>
      </c>
      <c r="E324" s="3" t="s">
        <v>3</v>
      </c>
      <c r="F324" s="3" t="s">
        <v>76</v>
      </c>
      <c r="G324" s="3" t="s">
        <v>22</v>
      </c>
      <c r="H324" s="3" t="s">
        <v>13</v>
      </c>
      <c r="I324" s="3" t="s">
        <v>19</v>
      </c>
      <c r="J324" s="3" t="s">
        <v>76</v>
      </c>
      <c r="K324" s="3" t="s">
        <v>170</v>
      </c>
      <c r="L324" s="3">
        <v>54</v>
      </c>
      <c r="M324">
        <v>75320</v>
      </c>
      <c r="N324">
        <v>75354</v>
      </c>
      <c r="O324">
        <v>73384</v>
      </c>
      <c r="P324">
        <v>67642</v>
      </c>
      <c r="Q324">
        <v>0.921754060830699</v>
      </c>
      <c r="R324">
        <v>54</v>
      </c>
      <c r="S324">
        <v>2.5451255942721298</v>
      </c>
      <c r="T324">
        <v>0.63803854930536996</v>
      </c>
    </row>
    <row r="325" spans="1:20" x14ac:dyDescent="0.2">
      <c r="A325" t="str">
        <f t="shared" si="5"/>
        <v>sample_16S-A-E06-L3_anaCS-Subj6-E06</v>
      </c>
      <c r="B325" t="s">
        <v>562</v>
      </c>
      <c r="C325" s="3" t="s">
        <v>9</v>
      </c>
      <c r="D325" s="3" t="s">
        <v>7</v>
      </c>
      <c r="E325" s="3" t="s">
        <v>3</v>
      </c>
      <c r="F325" s="3" t="s">
        <v>76</v>
      </c>
      <c r="G325" s="3" t="s">
        <v>23</v>
      </c>
      <c r="H325" s="3" t="s">
        <v>13</v>
      </c>
      <c r="I325" s="3" t="s">
        <v>21</v>
      </c>
      <c r="J325" s="3" t="s">
        <v>76</v>
      </c>
      <c r="K325" s="3" t="s">
        <v>170</v>
      </c>
      <c r="L325" s="3">
        <v>54</v>
      </c>
      <c r="M325">
        <v>106912</v>
      </c>
      <c r="N325">
        <v>106979</v>
      </c>
      <c r="O325">
        <v>104891</v>
      </c>
      <c r="P325">
        <v>93806</v>
      </c>
      <c r="Q325">
        <v>0.89431886434489105</v>
      </c>
      <c r="R325">
        <v>68</v>
      </c>
      <c r="S325">
        <v>2.6590022532466699</v>
      </c>
      <c r="T325">
        <v>0.63016883462135898</v>
      </c>
    </row>
    <row r="326" spans="1:20" x14ac:dyDescent="0.2">
      <c r="A326" t="str">
        <f t="shared" si="5"/>
        <v>sample_HS-CS5_E07_Fluphenazine-dihydrochloride_S439</v>
      </c>
      <c r="B326" t="s">
        <v>563</v>
      </c>
      <c r="C326" s="3" t="s">
        <v>10</v>
      </c>
      <c r="D326" s="3" t="s">
        <v>8</v>
      </c>
      <c r="E326" s="3" t="s">
        <v>11</v>
      </c>
      <c r="F326" s="3" t="s">
        <v>11</v>
      </c>
      <c r="G326" s="3" t="s">
        <v>11</v>
      </c>
      <c r="H326" s="3" t="s">
        <v>13</v>
      </c>
      <c r="I326" s="3" t="s">
        <v>19</v>
      </c>
      <c r="J326" s="3" t="s">
        <v>77</v>
      </c>
      <c r="K326" s="3" t="s">
        <v>171</v>
      </c>
      <c r="L326" s="3">
        <v>55</v>
      </c>
      <c r="M326">
        <v>15836</v>
      </c>
      <c r="N326">
        <v>15909</v>
      </c>
      <c r="O326">
        <v>15446</v>
      </c>
      <c r="P326">
        <v>15315</v>
      </c>
      <c r="Q326">
        <v>0.99151883982908195</v>
      </c>
      <c r="R326">
        <v>39</v>
      </c>
      <c r="S326">
        <v>2.34577041401224</v>
      </c>
      <c r="T326">
        <v>0.64029778685187899</v>
      </c>
    </row>
    <row r="327" spans="1:20" x14ac:dyDescent="0.2">
      <c r="A327" t="str">
        <f t="shared" si="5"/>
        <v>sample_HS-CS6_E07_Fluphenazine-dihydrochloride_S535</v>
      </c>
      <c r="B327" t="s">
        <v>564</v>
      </c>
      <c r="C327" s="3" t="s">
        <v>10</v>
      </c>
      <c r="D327" s="3" t="s">
        <v>8</v>
      </c>
      <c r="E327" s="3" t="s">
        <v>11</v>
      </c>
      <c r="F327" s="3" t="s">
        <v>11</v>
      </c>
      <c r="G327" s="3" t="s">
        <v>11</v>
      </c>
      <c r="H327" s="3" t="s">
        <v>13</v>
      </c>
      <c r="I327" s="3" t="s">
        <v>21</v>
      </c>
      <c r="J327" s="3" t="s">
        <v>77</v>
      </c>
      <c r="K327" s="3" t="s">
        <v>171</v>
      </c>
      <c r="L327" s="3">
        <v>55</v>
      </c>
      <c r="M327">
        <v>11282</v>
      </c>
      <c r="N327">
        <v>11330</v>
      </c>
      <c r="O327">
        <v>11056</v>
      </c>
      <c r="P327">
        <v>10949</v>
      </c>
      <c r="Q327">
        <v>0.99032199710564395</v>
      </c>
      <c r="R327">
        <v>28</v>
      </c>
      <c r="S327">
        <v>1.33257038504717</v>
      </c>
      <c r="T327">
        <v>0.39990654264407799</v>
      </c>
    </row>
    <row r="328" spans="1:20" x14ac:dyDescent="0.2">
      <c r="A328" t="str">
        <f t="shared" si="5"/>
        <v>sample_16S-A-E07-L0_anaCS-Subj5-E07</v>
      </c>
      <c r="B328" t="s">
        <v>565</v>
      </c>
      <c r="C328" s="3" t="s">
        <v>9</v>
      </c>
      <c r="D328" s="3" t="s">
        <v>7</v>
      </c>
      <c r="E328" s="3" t="s">
        <v>3</v>
      </c>
      <c r="F328" s="3" t="s">
        <v>77</v>
      </c>
      <c r="G328" s="3" t="s">
        <v>18</v>
      </c>
      <c r="H328" s="3" t="s">
        <v>13</v>
      </c>
      <c r="I328" s="3" t="s">
        <v>19</v>
      </c>
      <c r="J328" s="3" t="s">
        <v>77</v>
      </c>
      <c r="K328" s="3" t="s">
        <v>171</v>
      </c>
      <c r="L328" s="3">
        <v>55</v>
      </c>
      <c r="M328">
        <v>121068</v>
      </c>
      <c r="N328">
        <v>121250</v>
      </c>
      <c r="O328">
        <v>118702</v>
      </c>
      <c r="P328">
        <v>109899</v>
      </c>
      <c r="Q328">
        <v>0.92583949722835301</v>
      </c>
      <c r="R328">
        <v>64</v>
      </c>
      <c r="S328">
        <v>2.7793959830403399</v>
      </c>
      <c r="T328">
        <v>0.668303466899833</v>
      </c>
    </row>
    <row r="329" spans="1:20" x14ac:dyDescent="0.2">
      <c r="A329" t="str">
        <f t="shared" si="5"/>
        <v>sample_16S-A-E07-L1_anaCS-Subj6-E07</v>
      </c>
      <c r="B329" t="s">
        <v>566</v>
      </c>
      <c r="C329" s="3" t="s">
        <v>9</v>
      </c>
      <c r="D329" s="3" t="s">
        <v>7</v>
      </c>
      <c r="E329" s="3" t="s">
        <v>3</v>
      </c>
      <c r="F329" s="3" t="s">
        <v>77</v>
      </c>
      <c r="G329" s="3" t="s">
        <v>20</v>
      </c>
      <c r="H329" s="3" t="s">
        <v>13</v>
      </c>
      <c r="I329" s="3" t="s">
        <v>21</v>
      </c>
      <c r="J329" s="3" t="s">
        <v>77</v>
      </c>
      <c r="K329" s="3" t="s">
        <v>171</v>
      </c>
      <c r="L329" s="3">
        <v>55</v>
      </c>
      <c r="M329">
        <v>89298</v>
      </c>
      <c r="N329">
        <v>89487</v>
      </c>
      <c r="O329">
        <v>87935</v>
      </c>
      <c r="P329">
        <v>81294</v>
      </c>
      <c r="Q329">
        <v>0.92447830784101903</v>
      </c>
      <c r="R329">
        <v>68</v>
      </c>
      <c r="S329">
        <v>2.5444620838891701</v>
      </c>
      <c r="T329">
        <v>0.60302344768036797</v>
      </c>
    </row>
    <row r="330" spans="1:20" x14ac:dyDescent="0.2">
      <c r="A330" t="str">
        <f t="shared" si="5"/>
        <v>sample_16S-A-E07-L2_anaCS-Subj5-E07</v>
      </c>
      <c r="B330" t="s">
        <v>567</v>
      </c>
      <c r="C330" s="3" t="s">
        <v>9</v>
      </c>
      <c r="D330" s="3" t="s">
        <v>7</v>
      </c>
      <c r="E330" s="3" t="s">
        <v>3</v>
      </c>
      <c r="F330" s="3" t="s">
        <v>77</v>
      </c>
      <c r="G330" s="3" t="s">
        <v>22</v>
      </c>
      <c r="H330" s="3" t="s">
        <v>13</v>
      </c>
      <c r="I330" s="3" t="s">
        <v>19</v>
      </c>
      <c r="J330" s="3" t="s">
        <v>77</v>
      </c>
      <c r="K330" s="3" t="s">
        <v>171</v>
      </c>
      <c r="L330" s="3">
        <v>55</v>
      </c>
      <c r="M330">
        <v>64432</v>
      </c>
      <c r="N330">
        <v>64320</v>
      </c>
      <c r="O330">
        <v>62577</v>
      </c>
      <c r="P330">
        <v>56630</v>
      </c>
      <c r="Q330">
        <v>0.90496508301772205</v>
      </c>
      <c r="R330">
        <v>59</v>
      </c>
      <c r="S330">
        <v>2.7151124594928402</v>
      </c>
      <c r="T330">
        <v>0.66587063806142099</v>
      </c>
    </row>
    <row r="331" spans="1:20" x14ac:dyDescent="0.2">
      <c r="A331" t="str">
        <f t="shared" si="5"/>
        <v>sample_16S-A-E07-L3_anaCS-Subj6-E07</v>
      </c>
      <c r="B331" t="s">
        <v>568</v>
      </c>
      <c r="C331" s="3" t="s">
        <v>9</v>
      </c>
      <c r="D331" s="3" t="s">
        <v>7</v>
      </c>
      <c r="E331" s="3" t="s">
        <v>3</v>
      </c>
      <c r="F331" s="3" t="s">
        <v>77</v>
      </c>
      <c r="G331" s="3" t="s">
        <v>23</v>
      </c>
      <c r="H331" s="3" t="s">
        <v>13</v>
      </c>
      <c r="I331" s="3" t="s">
        <v>21</v>
      </c>
      <c r="J331" s="3" t="s">
        <v>77</v>
      </c>
      <c r="K331" s="3" t="s">
        <v>171</v>
      </c>
      <c r="L331" s="3">
        <v>55</v>
      </c>
      <c r="M331">
        <v>101131</v>
      </c>
      <c r="N331">
        <v>101189</v>
      </c>
      <c r="O331">
        <v>99213</v>
      </c>
      <c r="P331">
        <v>89853</v>
      </c>
      <c r="Q331">
        <v>0.90565752471954297</v>
      </c>
      <c r="R331">
        <v>72</v>
      </c>
      <c r="S331">
        <v>2.4245572103772099</v>
      </c>
      <c r="T331">
        <v>0.56692693394896998</v>
      </c>
    </row>
    <row r="332" spans="1:20" x14ac:dyDescent="0.2">
      <c r="A332" t="str">
        <f t="shared" si="5"/>
        <v>sample_HS-CS5_E08_Aminolevulinic-acid_S440</v>
      </c>
      <c r="B332" t="s">
        <v>569</v>
      </c>
      <c r="C332" s="3" t="s">
        <v>10</v>
      </c>
      <c r="D332" s="3" t="s">
        <v>8</v>
      </c>
      <c r="E332" s="3" t="s">
        <v>11</v>
      </c>
      <c r="F332" s="3" t="s">
        <v>11</v>
      </c>
      <c r="G332" s="3" t="s">
        <v>11</v>
      </c>
      <c r="H332" s="3" t="s">
        <v>13</v>
      </c>
      <c r="I332" s="3" t="s">
        <v>19</v>
      </c>
      <c r="J332" s="3" t="s">
        <v>78</v>
      </c>
      <c r="K332" s="3" t="s">
        <v>172</v>
      </c>
      <c r="L332" s="3">
        <v>56</v>
      </c>
      <c r="M332">
        <v>17061</v>
      </c>
      <c r="N332">
        <v>17092</v>
      </c>
      <c r="O332">
        <v>16679</v>
      </c>
      <c r="P332">
        <v>16475</v>
      </c>
      <c r="Q332">
        <v>0.98776905090233202</v>
      </c>
      <c r="R332">
        <v>45</v>
      </c>
      <c r="S332">
        <v>2.4340830629094099</v>
      </c>
      <c r="T332">
        <v>0.63942707541068899</v>
      </c>
    </row>
    <row r="333" spans="1:20" x14ac:dyDescent="0.2">
      <c r="A333" t="str">
        <f t="shared" si="5"/>
        <v>sample_HS-CS6_E08_Aminolevulinic-acid_S536</v>
      </c>
      <c r="B333" t="s">
        <v>570</v>
      </c>
      <c r="C333" s="3" t="s">
        <v>10</v>
      </c>
      <c r="D333" s="3" t="s">
        <v>8</v>
      </c>
      <c r="E333" s="3" t="s">
        <v>11</v>
      </c>
      <c r="F333" s="3" t="s">
        <v>11</v>
      </c>
      <c r="G333" s="3" t="s">
        <v>11</v>
      </c>
      <c r="H333" s="3" t="s">
        <v>13</v>
      </c>
      <c r="I333" s="3" t="s">
        <v>21</v>
      </c>
      <c r="J333" s="3" t="s">
        <v>78</v>
      </c>
      <c r="K333" s="3" t="s">
        <v>172</v>
      </c>
      <c r="L333" s="3">
        <v>56</v>
      </c>
      <c r="M333">
        <v>15698</v>
      </c>
      <c r="N333">
        <v>15728</v>
      </c>
      <c r="O333">
        <v>15227</v>
      </c>
      <c r="P333">
        <v>14762</v>
      </c>
      <c r="Q333">
        <v>0.96946213962041095</v>
      </c>
      <c r="R333">
        <v>35</v>
      </c>
      <c r="S333">
        <v>1.6340105027514</v>
      </c>
      <c r="T333">
        <v>0.45959227464972202</v>
      </c>
    </row>
    <row r="334" spans="1:20" x14ac:dyDescent="0.2">
      <c r="A334" t="str">
        <f t="shared" si="5"/>
        <v>sample_16S-A-E08-L0_anaCS-Subj5-E08</v>
      </c>
      <c r="B334" t="s">
        <v>571</v>
      </c>
      <c r="C334" s="3" t="s">
        <v>9</v>
      </c>
      <c r="D334" s="3" t="s">
        <v>7</v>
      </c>
      <c r="E334" s="3" t="s">
        <v>3</v>
      </c>
      <c r="F334" s="3" t="s">
        <v>78</v>
      </c>
      <c r="G334" s="3" t="s">
        <v>18</v>
      </c>
      <c r="H334" s="3" t="s">
        <v>13</v>
      </c>
      <c r="I334" s="3" t="s">
        <v>19</v>
      </c>
      <c r="J334" s="3" t="s">
        <v>78</v>
      </c>
      <c r="K334" s="3" t="s">
        <v>172</v>
      </c>
      <c r="L334" s="3">
        <v>56</v>
      </c>
      <c r="M334">
        <v>106225</v>
      </c>
      <c r="N334">
        <v>106201</v>
      </c>
      <c r="O334">
        <v>103658</v>
      </c>
      <c r="P334">
        <v>95778</v>
      </c>
      <c r="Q334">
        <v>0.92398078295934705</v>
      </c>
      <c r="R334">
        <v>70</v>
      </c>
      <c r="S334">
        <v>2.8758578789121501</v>
      </c>
      <c r="T334">
        <v>0.67691211006862695</v>
      </c>
    </row>
    <row r="335" spans="1:20" x14ac:dyDescent="0.2">
      <c r="A335" t="str">
        <f t="shared" si="5"/>
        <v>sample_16S-A-E08-L1_anaCS-Subj6-E08</v>
      </c>
      <c r="B335" t="s">
        <v>572</v>
      </c>
      <c r="C335" s="3" t="s">
        <v>9</v>
      </c>
      <c r="D335" s="3" t="s">
        <v>7</v>
      </c>
      <c r="E335" s="3" t="s">
        <v>3</v>
      </c>
      <c r="F335" s="3" t="s">
        <v>78</v>
      </c>
      <c r="G335" s="3" t="s">
        <v>20</v>
      </c>
      <c r="H335" s="3" t="s">
        <v>13</v>
      </c>
      <c r="I335" s="3" t="s">
        <v>21</v>
      </c>
      <c r="J335" s="3" t="s">
        <v>78</v>
      </c>
      <c r="K335" s="3" t="s">
        <v>172</v>
      </c>
      <c r="L335" s="3">
        <v>56</v>
      </c>
      <c r="M335">
        <v>85779</v>
      </c>
      <c r="N335">
        <v>85848</v>
      </c>
      <c r="O335">
        <v>84455</v>
      </c>
      <c r="P335">
        <v>78367</v>
      </c>
      <c r="Q335">
        <v>0.92791427387366099</v>
      </c>
      <c r="R335">
        <v>67</v>
      </c>
      <c r="S335">
        <v>2.6015058181626198</v>
      </c>
      <c r="T335">
        <v>0.61871486304733403</v>
      </c>
    </row>
    <row r="336" spans="1:20" x14ac:dyDescent="0.2">
      <c r="A336" t="str">
        <f t="shared" si="5"/>
        <v>sample_16S-A-E08-L2_anaCS-Subj5-E08</v>
      </c>
      <c r="B336" t="s">
        <v>573</v>
      </c>
      <c r="C336" s="3" t="s">
        <v>9</v>
      </c>
      <c r="D336" s="3" t="s">
        <v>7</v>
      </c>
      <c r="E336" s="3" t="s">
        <v>3</v>
      </c>
      <c r="F336" s="3" t="s">
        <v>78</v>
      </c>
      <c r="G336" s="3" t="s">
        <v>22</v>
      </c>
      <c r="H336" s="3" t="s">
        <v>13</v>
      </c>
      <c r="I336" s="3" t="s">
        <v>19</v>
      </c>
      <c r="J336" s="3" t="s">
        <v>78</v>
      </c>
      <c r="K336" s="3" t="s">
        <v>172</v>
      </c>
      <c r="L336" s="3">
        <v>56</v>
      </c>
      <c r="M336">
        <v>84636</v>
      </c>
      <c r="N336">
        <v>84591</v>
      </c>
      <c r="O336">
        <v>82055</v>
      </c>
      <c r="P336">
        <v>73454</v>
      </c>
      <c r="Q336">
        <v>0.89518006215343404</v>
      </c>
      <c r="R336">
        <v>71</v>
      </c>
      <c r="S336">
        <v>2.8145448735193201</v>
      </c>
      <c r="T336">
        <v>0.66027591907109695</v>
      </c>
    </row>
    <row r="337" spans="1:20" x14ac:dyDescent="0.2">
      <c r="A337" t="str">
        <f t="shared" si="5"/>
        <v>sample_16S-A-E08-L3_anaCS-Subj6-E08</v>
      </c>
      <c r="B337" t="s">
        <v>574</v>
      </c>
      <c r="C337" s="3" t="s">
        <v>9</v>
      </c>
      <c r="D337" s="3" t="s">
        <v>7</v>
      </c>
      <c r="E337" s="3" t="s">
        <v>3</v>
      </c>
      <c r="F337" s="3" t="s">
        <v>78</v>
      </c>
      <c r="G337" s="3" t="s">
        <v>23</v>
      </c>
      <c r="H337" s="3" t="s">
        <v>13</v>
      </c>
      <c r="I337" s="3" t="s">
        <v>21</v>
      </c>
      <c r="J337" s="3" t="s">
        <v>78</v>
      </c>
      <c r="K337" s="3" t="s">
        <v>172</v>
      </c>
      <c r="L337" s="3">
        <v>56</v>
      </c>
      <c r="M337">
        <v>104488</v>
      </c>
      <c r="N337">
        <v>104291</v>
      </c>
      <c r="O337">
        <v>102304</v>
      </c>
      <c r="P337">
        <v>92624</v>
      </c>
      <c r="Q337">
        <v>0.90538004379105397</v>
      </c>
      <c r="R337">
        <v>76</v>
      </c>
      <c r="S337">
        <v>2.5070889106977501</v>
      </c>
      <c r="T337">
        <v>0.57890632225626404</v>
      </c>
    </row>
    <row r="338" spans="1:20" x14ac:dyDescent="0.2">
      <c r="A338" t="str">
        <f t="shared" si="5"/>
        <v>sample_HS-CS5_E09_Masitinib_S441</v>
      </c>
      <c r="B338" t="s">
        <v>575</v>
      </c>
      <c r="C338" s="3" t="s">
        <v>10</v>
      </c>
      <c r="D338" s="3" t="s">
        <v>8</v>
      </c>
      <c r="E338" s="3" t="s">
        <v>11</v>
      </c>
      <c r="F338" s="3" t="s">
        <v>11</v>
      </c>
      <c r="G338" s="3" t="s">
        <v>11</v>
      </c>
      <c r="H338" s="3" t="s">
        <v>13</v>
      </c>
      <c r="I338" s="3" t="s">
        <v>19</v>
      </c>
      <c r="J338" s="3" t="s">
        <v>79</v>
      </c>
      <c r="K338" s="3" t="s">
        <v>173</v>
      </c>
      <c r="L338" s="3">
        <v>57</v>
      </c>
      <c r="M338">
        <v>19288</v>
      </c>
      <c r="N338">
        <v>19317</v>
      </c>
      <c r="O338">
        <v>18836</v>
      </c>
      <c r="P338">
        <v>18714</v>
      </c>
      <c r="Q338">
        <v>0.99352304098534705</v>
      </c>
      <c r="R338">
        <v>46</v>
      </c>
      <c r="S338">
        <v>2.4837533067784001</v>
      </c>
      <c r="T338">
        <v>0.64872967968638295</v>
      </c>
    </row>
    <row r="339" spans="1:20" x14ac:dyDescent="0.2">
      <c r="A339" t="str">
        <f t="shared" si="5"/>
        <v>sample_HS-CS6_E09_Masitinib_S537</v>
      </c>
      <c r="B339" t="s">
        <v>576</v>
      </c>
      <c r="C339" s="3" t="s">
        <v>10</v>
      </c>
      <c r="D339" s="3" t="s">
        <v>8</v>
      </c>
      <c r="E339" s="3" t="s">
        <v>11</v>
      </c>
      <c r="F339" s="3" t="s">
        <v>11</v>
      </c>
      <c r="G339" s="3" t="s">
        <v>11</v>
      </c>
      <c r="H339" s="3" t="s">
        <v>13</v>
      </c>
      <c r="I339" s="3" t="s">
        <v>21</v>
      </c>
      <c r="J339" s="3" t="s">
        <v>79</v>
      </c>
      <c r="K339" s="3" t="s">
        <v>173</v>
      </c>
      <c r="L339" s="3">
        <v>57</v>
      </c>
      <c r="M339">
        <v>11534</v>
      </c>
      <c r="N339">
        <v>11557</v>
      </c>
      <c r="O339">
        <v>11198</v>
      </c>
      <c r="P339">
        <v>11063</v>
      </c>
      <c r="Q339">
        <v>0.98794427576352895</v>
      </c>
      <c r="R339">
        <v>34</v>
      </c>
      <c r="S339">
        <v>1.65097506509984</v>
      </c>
      <c r="T339">
        <v>0.46818101937536499</v>
      </c>
    </row>
    <row r="340" spans="1:20" x14ac:dyDescent="0.2">
      <c r="A340" t="str">
        <f t="shared" si="5"/>
        <v>sample_16S-A-E09-L0_anaCS-Subj5-E09</v>
      </c>
      <c r="B340" t="s">
        <v>577</v>
      </c>
      <c r="C340" s="3" t="s">
        <v>9</v>
      </c>
      <c r="D340" s="3" t="s">
        <v>7</v>
      </c>
      <c r="E340" s="3" t="s">
        <v>3</v>
      </c>
      <c r="F340" s="3" t="s">
        <v>79</v>
      </c>
      <c r="G340" s="3" t="s">
        <v>18</v>
      </c>
      <c r="H340" s="3" t="s">
        <v>13</v>
      </c>
      <c r="I340" s="3" t="s">
        <v>19</v>
      </c>
      <c r="J340" s="3" t="s">
        <v>79</v>
      </c>
      <c r="K340" s="3" t="s">
        <v>173</v>
      </c>
      <c r="L340" s="3">
        <v>57</v>
      </c>
      <c r="M340">
        <v>130268</v>
      </c>
      <c r="N340">
        <v>130356</v>
      </c>
      <c r="O340">
        <v>127675</v>
      </c>
      <c r="P340">
        <v>118891</v>
      </c>
      <c r="Q340">
        <v>0.93120031329547703</v>
      </c>
      <c r="R340">
        <v>74</v>
      </c>
      <c r="S340">
        <v>2.9191933308549198</v>
      </c>
      <c r="T340">
        <v>0.67824098094244201</v>
      </c>
    </row>
    <row r="341" spans="1:20" x14ac:dyDescent="0.2">
      <c r="A341" t="str">
        <f t="shared" si="5"/>
        <v>sample_16S-A-E09-L1_anaCS-Subj6-E09</v>
      </c>
      <c r="B341" t="s">
        <v>578</v>
      </c>
      <c r="C341" s="3" t="s">
        <v>9</v>
      </c>
      <c r="D341" s="3" t="s">
        <v>7</v>
      </c>
      <c r="E341" s="3" t="s">
        <v>3</v>
      </c>
      <c r="F341" s="3" t="s">
        <v>79</v>
      </c>
      <c r="G341" s="3" t="s">
        <v>20</v>
      </c>
      <c r="H341" s="3" t="s">
        <v>13</v>
      </c>
      <c r="I341" s="3" t="s">
        <v>21</v>
      </c>
      <c r="J341" s="3" t="s">
        <v>79</v>
      </c>
      <c r="K341" s="3" t="s">
        <v>173</v>
      </c>
      <c r="L341" s="3">
        <v>57</v>
      </c>
      <c r="M341">
        <v>127923</v>
      </c>
      <c r="N341">
        <v>127898</v>
      </c>
      <c r="O341">
        <v>125681</v>
      </c>
      <c r="P341">
        <v>116377</v>
      </c>
      <c r="Q341">
        <v>0.925971308312315</v>
      </c>
      <c r="R341">
        <v>83</v>
      </c>
      <c r="S341">
        <v>2.7979189037685801</v>
      </c>
      <c r="T341">
        <v>0.63317941335832095</v>
      </c>
    </row>
    <row r="342" spans="1:20" x14ac:dyDescent="0.2">
      <c r="A342" t="str">
        <f t="shared" si="5"/>
        <v>sample_16S-A-E09-L2_anaCS-Subj5-E09</v>
      </c>
      <c r="B342" t="s">
        <v>579</v>
      </c>
      <c r="C342" s="3" t="s">
        <v>9</v>
      </c>
      <c r="D342" s="3" t="s">
        <v>7</v>
      </c>
      <c r="E342" s="3" t="s">
        <v>3</v>
      </c>
      <c r="F342" s="3" t="s">
        <v>79</v>
      </c>
      <c r="G342" s="3" t="s">
        <v>22</v>
      </c>
      <c r="H342" s="3" t="s">
        <v>13</v>
      </c>
      <c r="I342" s="3" t="s">
        <v>19</v>
      </c>
      <c r="J342" s="3" t="s">
        <v>79</v>
      </c>
      <c r="K342" s="3" t="s">
        <v>173</v>
      </c>
      <c r="L342" s="3">
        <v>57</v>
      </c>
      <c r="M342">
        <v>108401</v>
      </c>
      <c r="N342">
        <v>108486</v>
      </c>
      <c r="O342">
        <v>105195</v>
      </c>
      <c r="P342">
        <v>93845</v>
      </c>
      <c r="Q342">
        <v>0.89210513807690495</v>
      </c>
      <c r="R342">
        <v>73</v>
      </c>
      <c r="S342">
        <v>2.8721967734533198</v>
      </c>
      <c r="T342">
        <v>0.669438043372936</v>
      </c>
    </row>
    <row r="343" spans="1:20" x14ac:dyDescent="0.2">
      <c r="A343" t="str">
        <f t="shared" si="5"/>
        <v>sample_16S-A-E09-L3_anaCS-Subj6-E09</v>
      </c>
      <c r="B343" t="s">
        <v>580</v>
      </c>
      <c r="C343" s="3" t="s">
        <v>9</v>
      </c>
      <c r="D343" s="3" t="s">
        <v>7</v>
      </c>
      <c r="E343" s="3" t="s">
        <v>3</v>
      </c>
      <c r="F343" s="3" t="s">
        <v>79</v>
      </c>
      <c r="G343" s="3" t="s">
        <v>23</v>
      </c>
      <c r="H343" s="3" t="s">
        <v>13</v>
      </c>
      <c r="I343" s="3" t="s">
        <v>21</v>
      </c>
      <c r="J343" s="3" t="s">
        <v>79</v>
      </c>
      <c r="K343" s="3" t="s">
        <v>173</v>
      </c>
      <c r="L343" s="3">
        <v>57</v>
      </c>
      <c r="M343">
        <v>141848</v>
      </c>
      <c r="N343">
        <v>141933</v>
      </c>
      <c r="O343">
        <v>138909</v>
      </c>
      <c r="P343">
        <v>124676</v>
      </c>
      <c r="Q343">
        <v>0.897537236608139</v>
      </c>
      <c r="R343">
        <v>85</v>
      </c>
      <c r="S343">
        <v>2.6958059787902999</v>
      </c>
      <c r="T343">
        <v>0.60680116965110997</v>
      </c>
    </row>
    <row r="344" spans="1:20" x14ac:dyDescent="0.2">
      <c r="A344" t="str">
        <f t="shared" si="5"/>
        <v>sample_HS-CS5_E10_Methazolamide_S442</v>
      </c>
      <c r="B344" t="s">
        <v>581</v>
      </c>
      <c r="C344" s="3" t="s">
        <v>10</v>
      </c>
      <c r="D344" s="3" t="s">
        <v>8</v>
      </c>
      <c r="E344" s="3" t="s">
        <v>11</v>
      </c>
      <c r="F344" s="3" t="s">
        <v>11</v>
      </c>
      <c r="G344" s="3" t="s">
        <v>11</v>
      </c>
      <c r="H344" s="3" t="s">
        <v>13</v>
      </c>
      <c r="I344" s="3" t="s">
        <v>19</v>
      </c>
      <c r="J344" s="3" t="s">
        <v>80</v>
      </c>
      <c r="K344" s="3" t="s">
        <v>174</v>
      </c>
      <c r="L344" s="3">
        <v>58</v>
      </c>
      <c r="M344">
        <v>12542</v>
      </c>
      <c r="N344">
        <v>12584</v>
      </c>
      <c r="O344">
        <v>12309</v>
      </c>
      <c r="P344">
        <v>12267</v>
      </c>
      <c r="Q344">
        <v>0.99658786253960496</v>
      </c>
      <c r="R344">
        <v>43</v>
      </c>
      <c r="S344">
        <v>2.3216512817369499</v>
      </c>
      <c r="T344">
        <v>0.61726342931073697</v>
      </c>
    </row>
    <row r="345" spans="1:20" x14ac:dyDescent="0.2">
      <c r="A345" t="str">
        <f t="shared" si="5"/>
        <v>sample_HS-CS6_E10_Methazolamide_S538</v>
      </c>
      <c r="B345" t="s">
        <v>582</v>
      </c>
      <c r="C345" s="3" t="s">
        <v>10</v>
      </c>
      <c r="D345" s="3" t="s">
        <v>8</v>
      </c>
      <c r="E345" s="3" t="s">
        <v>11</v>
      </c>
      <c r="F345" s="3" t="s">
        <v>11</v>
      </c>
      <c r="G345" s="3" t="s">
        <v>11</v>
      </c>
      <c r="H345" s="3" t="s">
        <v>13</v>
      </c>
      <c r="I345" s="3" t="s">
        <v>21</v>
      </c>
      <c r="J345" s="3" t="s">
        <v>80</v>
      </c>
      <c r="K345" s="3" t="s">
        <v>174</v>
      </c>
      <c r="L345" s="3">
        <v>58</v>
      </c>
      <c r="M345">
        <v>9568</v>
      </c>
      <c r="N345">
        <v>9597</v>
      </c>
      <c r="O345">
        <v>9373</v>
      </c>
      <c r="P345">
        <v>9195</v>
      </c>
      <c r="Q345">
        <v>0.98100928198015602</v>
      </c>
      <c r="R345" t="s">
        <v>11</v>
      </c>
      <c r="S345" t="s">
        <v>11</v>
      </c>
      <c r="T345" t="s">
        <v>11</v>
      </c>
    </row>
    <row r="346" spans="1:20" x14ac:dyDescent="0.2">
      <c r="A346" t="str">
        <f t="shared" si="5"/>
        <v>sample_16S-A-E10-L0_anaCS-Subj5-E10</v>
      </c>
      <c r="B346" t="s">
        <v>583</v>
      </c>
      <c r="C346" s="3" t="s">
        <v>9</v>
      </c>
      <c r="D346" s="3" t="s">
        <v>7</v>
      </c>
      <c r="E346" s="3" t="s">
        <v>3</v>
      </c>
      <c r="F346" s="3" t="s">
        <v>80</v>
      </c>
      <c r="G346" s="3" t="s">
        <v>18</v>
      </c>
      <c r="H346" s="3" t="s">
        <v>13</v>
      </c>
      <c r="I346" s="3" t="s">
        <v>19</v>
      </c>
      <c r="J346" s="3" t="s">
        <v>80</v>
      </c>
      <c r="K346" s="3" t="s">
        <v>174</v>
      </c>
      <c r="L346" s="3">
        <v>58</v>
      </c>
      <c r="M346">
        <v>71465</v>
      </c>
      <c r="N346">
        <v>71512</v>
      </c>
      <c r="O346">
        <v>69742</v>
      </c>
      <c r="P346">
        <v>65807</v>
      </c>
      <c r="Q346">
        <v>0.94357775802242505</v>
      </c>
      <c r="R346">
        <v>62</v>
      </c>
      <c r="S346">
        <v>2.7992875148359699</v>
      </c>
      <c r="T346">
        <v>0.67826420311859603</v>
      </c>
    </row>
    <row r="347" spans="1:20" x14ac:dyDescent="0.2">
      <c r="A347" t="str">
        <f t="shared" si="5"/>
        <v>sample_16S-A-E10-L1_anaCS-Subj6-E10</v>
      </c>
      <c r="B347" t="s">
        <v>584</v>
      </c>
      <c r="C347" s="3" t="s">
        <v>9</v>
      </c>
      <c r="D347" s="3" t="s">
        <v>7</v>
      </c>
      <c r="E347" s="3" t="s">
        <v>3</v>
      </c>
      <c r="F347" s="3" t="s">
        <v>80</v>
      </c>
      <c r="G347" s="3" t="s">
        <v>20</v>
      </c>
      <c r="H347" s="3" t="s">
        <v>13</v>
      </c>
      <c r="I347" s="3" t="s">
        <v>21</v>
      </c>
      <c r="J347" s="3" t="s">
        <v>80</v>
      </c>
      <c r="K347" s="3" t="s">
        <v>174</v>
      </c>
      <c r="L347" s="3">
        <v>58</v>
      </c>
      <c r="M347">
        <v>63696</v>
      </c>
      <c r="N347">
        <v>63836</v>
      </c>
      <c r="O347">
        <v>62469</v>
      </c>
      <c r="P347">
        <v>58137</v>
      </c>
      <c r="Q347">
        <v>0.93065360418767695</v>
      </c>
      <c r="R347">
        <v>67</v>
      </c>
      <c r="S347">
        <v>2.5102832945733802</v>
      </c>
      <c r="T347">
        <v>0.59701945464374695</v>
      </c>
    </row>
    <row r="348" spans="1:20" x14ac:dyDescent="0.2">
      <c r="A348" t="str">
        <f t="shared" si="5"/>
        <v>sample_16S-A-E10-L2_anaCS-Subj5-E10</v>
      </c>
      <c r="B348" t="s">
        <v>585</v>
      </c>
      <c r="C348" s="3" t="s">
        <v>9</v>
      </c>
      <c r="D348" s="3" t="s">
        <v>7</v>
      </c>
      <c r="E348" s="3" t="s">
        <v>3</v>
      </c>
      <c r="F348" s="3" t="s">
        <v>80</v>
      </c>
      <c r="G348" s="3" t="s">
        <v>22</v>
      </c>
      <c r="H348" s="3" t="s">
        <v>13</v>
      </c>
      <c r="I348" s="3" t="s">
        <v>19</v>
      </c>
      <c r="J348" s="3" t="s">
        <v>80</v>
      </c>
      <c r="K348" s="3" t="s">
        <v>174</v>
      </c>
      <c r="L348" s="3">
        <v>58</v>
      </c>
      <c r="M348">
        <v>58915</v>
      </c>
      <c r="N348">
        <v>59008</v>
      </c>
      <c r="O348">
        <v>56948</v>
      </c>
      <c r="P348">
        <v>51491</v>
      </c>
      <c r="Q348">
        <v>0.90417573927091399</v>
      </c>
      <c r="R348">
        <v>61</v>
      </c>
      <c r="S348">
        <v>2.7527006374795699</v>
      </c>
      <c r="T348">
        <v>0.66961447332880697</v>
      </c>
    </row>
    <row r="349" spans="1:20" x14ac:dyDescent="0.2">
      <c r="A349" t="str">
        <f t="shared" si="5"/>
        <v>sample_16S-A-E10-L3_anaCS-Subj6-E10</v>
      </c>
      <c r="B349" t="s">
        <v>586</v>
      </c>
      <c r="C349" s="3" t="s">
        <v>9</v>
      </c>
      <c r="D349" s="3" t="s">
        <v>7</v>
      </c>
      <c r="E349" s="3" t="s">
        <v>3</v>
      </c>
      <c r="F349" s="3" t="s">
        <v>80</v>
      </c>
      <c r="G349" s="3" t="s">
        <v>23</v>
      </c>
      <c r="H349" s="3" t="s">
        <v>13</v>
      </c>
      <c r="I349" s="3" t="s">
        <v>21</v>
      </c>
      <c r="J349" s="3" t="s">
        <v>80</v>
      </c>
      <c r="K349" s="3" t="s">
        <v>174</v>
      </c>
      <c r="L349" s="3">
        <v>58</v>
      </c>
      <c r="M349">
        <v>63657</v>
      </c>
      <c r="N349">
        <v>63732</v>
      </c>
      <c r="O349">
        <v>62143</v>
      </c>
      <c r="P349">
        <v>56722</v>
      </c>
      <c r="Q349">
        <v>0.91276571777995896</v>
      </c>
      <c r="R349">
        <v>62</v>
      </c>
      <c r="S349">
        <v>2.3103604126913102</v>
      </c>
      <c r="T349">
        <v>0.55979771850004001</v>
      </c>
    </row>
    <row r="350" spans="1:20" x14ac:dyDescent="0.2">
      <c r="A350" t="str">
        <f t="shared" si="5"/>
        <v>sample_HS-CS5_E11_Carbidopa_S443</v>
      </c>
      <c r="B350" t="s">
        <v>587</v>
      </c>
      <c r="C350" s="3" t="s">
        <v>10</v>
      </c>
      <c r="D350" s="3" t="s">
        <v>8</v>
      </c>
      <c r="E350" s="3" t="s">
        <v>11</v>
      </c>
      <c r="F350" s="3" t="s">
        <v>11</v>
      </c>
      <c r="G350" s="3" t="s">
        <v>11</v>
      </c>
      <c r="H350" s="3" t="s">
        <v>13</v>
      </c>
      <c r="I350" s="3" t="s">
        <v>19</v>
      </c>
      <c r="J350" s="3" t="s">
        <v>81</v>
      </c>
      <c r="K350" s="3" t="s">
        <v>175</v>
      </c>
      <c r="L350" s="3">
        <v>59</v>
      </c>
      <c r="M350">
        <v>11891</v>
      </c>
      <c r="N350">
        <v>11928</v>
      </c>
      <c r="O350">
        <v>11702</v>
      </c>
      <c r="P350">
        <v>11644</v>
      </c>
      <c r="Q350">
        <v>0.995043582293625</v>
      </c>
      <c r="R350">
        <v>33</v>
      </c>
      <c r="S350">
        <v>2.2009705741619698</v>
      </c>
      <c r="T350">
        <v>0.62947685239349305</v>
      </c>
    </row>
    <row r="351" spans="1:20" x14ac:dyDescent="0.2">
      <c r="A351" t="str">
        <f t="shared" si="5"/>
        <v>sample_HS-CS6_E11_Carbidopa_S539</v>
      </c>
      <c r="B351" t="s">
        <v>588</v>
      </c>
      <c r="C351" s="3" t="s">
        <v>10</v>
      </c>
      <c r="D351" s="3" t="s">
        <v>8</v>
      </c>
      <c r="E351" s="3" t="s">
        <v>11</v>
      </c>
      <c r="F351" s="3" t="s">
        <v>11</v>
      </c>
      <c r="G351" s="3" t="s">
        <v>11</v>
      </c>
      <c r="H351" s="3" t="s">
        <v>13</v>
      </c>
      <c r="I351" s="3" t="s">
        <v>21</v>
      </c>
      <c r="J351" s="3" t="s">
        <v>81</v>
      </c>
      <c r="K351" s="3" t="s">
        <v>175</v>
      </c>
      <c r="L351" s="3">
        <v>59</v>
      </c>
      <c r="M351">
        <v>12188</v>
      </c>
      <c r="N351">
        <v>12214</v>
      </c>
      <c r="O351">
        <v>11876</v>
      </c>
      <c r="P351">
        <v>11599</v>
      </c>
      <c r="Q351">
        <v>0.97667564836645304</v>
      </c>
      <c r="R351">
        <v>29</v>
      </c>
      <c r="S351">
        <v>1.2552702686894199</v>
      </c>
      <c r="T351">
        <v>0.37278288931758702</v>
      </c>
    </row>
    <row r="352" spans="1:20" x14ac:dyDescent="0.2">
      <c r="A352" t="str">
        <f t="shared" si="5"/>
        <v>sample_16S-A-E11-L0_anaCS-Subj5-E11</v>
      </c>
      <c r="B352" t="s">
        <v>589</v>
      </c>
      <c r="C352" s="3" t="s">
        <v>9</v>
      </c>
      <c r="D352" s="3" t="s">
        <v>7</v>
      </c>
      <c r="E352" s="3" t="s">
        <v>3</v>
      </c>
      <c r="F352" s="3" t="s">
        <v>81</v>
      </c>
      <c r="G352" s="3" t="s">
        <v>18</v>
      </c>
      <c r="H352" s="3" t="s">
        <v>13</v>
      </c>
      <c r="I352" s="3" t="s">
        <v>19</v>
      </c>
      <c r="J352" s="3" t="s">
        <v>81</v>
      </c>
      <c r="K352" s="3" t="s">
        <v>175</v>
      </c>
      <c r="L352" s="3">
        <v>59</v>
      </c>
      <c r="M352">
        <v>94376</v>
      </c>
      <c r="N352">
        <v>94520</v>
      </c>
      <c r="O352">
        <v>92593</v>
      </c>
      <c r="P352">
        <v>86695</v>
      </c>
      <c r="Q352">
        <v>0.93630188027172701</v>
      </c>
      <c r="R352">
        <v>66</v>
      </c>
      <c r="S352">
        <v>2.71120940308972</v>
      </c>
      <c r="T352">
        <v>0.64712000630829702</v>
      </c>
    </row>
    <row r="353" spans="1:20" x14ac:dyDescent="0.2">
      <c r="A353" t="str">
        <f t="shared" si="5"/>
        <v>sample_16S-A-E11-L1_anaCS-Subj6-E11</v>
      </c>
      <c r="B353" t="s">
        <v>590</v>
      </c>
      <c r="C353" s="3" t="s">
        <v>9</v>
      </c>
      <c r="D353" s="3" t="s">
        <v>7</v>
      </c>
      <c r="E353" s="3" t="s">
        <v>3</v>
      </c>
      <c r="F353" s="3" t="s">
        <v>81</v>
      </c>
      <c r="G353" s="3" t="s">
        <v>20</v>
      </c>
      <c r="H353" s="3" t="s">
        <v>13</v>
      </c>
      <c r="I353" s="3" t="s">
        <v>21</v>
      </c>
      <c r="J353" s="3" t="s">
        <v>81</v>
      </c>
      <c r="K353" s="3" t="s">
        <v>175</v>
      </c>
      <c r="L353" s="3">
        <v>59</v>
      </c>
      <c r="M353">
        <v>92901</v>
      </c>
      <c r="N353">
        <v>93033</v>
      </c>
      <c r="O353">
        <v>91080</v>
      </c>
      <c r="P353">
        <v>82996</v>
      </c>
      <c r="Q353">
        <v>0.91124286341677596</v>
      </c>
      <c r="R353">
        <v>67</v>
      </c>
      <c r="S353">
        <v>2.5678256817823901</v>
      </c>
      <c r="T353">
        <v>0.61070473259810598</v>
      </c>
    </row>
    <row r="354" spans="1:20" x14ac:dyDescent="0.2">
      <c r="A354" t="str">
        <f t="shared" si="5"/>
        <v>sample_16S-A-E11-L2_anaCS-Subj5-E11</v>
      </c>
      <c r="B354" t="s">
        <v>591</v>
      </c>
      <c r="C354" s="3" t="s">
        <v>9</v>
      </c>
      <c r="D354" s="3" t="s">
        <v>7</v>
      </c>
      <c r="E354" s="3" t="s">
        <v>3</v>
      </c>
      <c r="F354" s="3" t="s">
        <v>81</v>
      </c>
      <c r="G354" s="3" t="s">
        <v>22</v>
      </c>
      <c r="H354" s="3" t="s">
        <v>13</v>
      </c>
      <c r="I354" s="3" t="s">
        <v>19</v>
      </c>
      <c r="J354" s="3" t="s">
        <v>81</v>
      </c>
      <c r="K354" s="3" t="s">
        <v>175</v>
      </c>
      <c r="L354" s="3">
        <v>59</v>
      </c>
      <c r="M354">
        <v>122543</v>
      </c>
      <c r="N354">
        <v>122761</v>
      </c>
      <c r="O354">
        <v>119037</v>
      </c>
      <c r="P354">
        <v>103972</v>
      </c>
      <c r="Q354">
        <v>0.87344271108982896</v>
      </c>
      <c r="R354">
        <v>66</v>
      </c>
      <c r="S354">
        <v>2.7228491166514801</v>
      </c>
      <c r="T354">
        <v>0.64989820983065405</v>
      </c>
    </row>
    <row r="355" spans="1:20" x14ac:dyDescent="0.2">
      <c r="A355" t="str">
        <f t="shared" si="5"/>
        <v>sample_16S-A-E11-L3_anaCS-Subj6-E11</v>
      </c>
      <c r="B355" t="s">
        <v>592</v>
      </c>
      <c r="C355" s="3" t="s">
        <v>9</v>
      </c>
      <c r="D355" s="3" t="s">
        <v>7</v>
      </c>
      <c r="E355" s="3" t="s">
        <v>3</v>
      </c>
      <c r="F355" s="3" t="s">
        <v>81</v>
      </c>
      <c r="G355" s="3" t="s">
        <v>23</v>
      </c>
      <c r="H355" s="3" t="s">
        <v>13</v>
      </c>
      <c r="I355" s="3" t="s">
        <v>21</v>
      </c>
      <c r="J355" s="3" t="s">
        <v>81</v>
      </c>
      <c r="K355" s="3" t="s">
        <v>175</v>
      </c>
      <c r="L355" s="3">
        <v>59</v>
      </c>
      <c r="M355">
        <v>132750</v>
      </c>
      <c r="N355">
        <v>132961</v>
      </c>
      <c r="O355">
        <v>129620</v>
      </c>
      <c r="P355">
        <v>113880</v>
      </c>
      <c r="Q355">
        <v>0.878568122203364</v>
      </c>
      <c r="R355">
        <v>75</v>
      </c>
      <c r="S355">
        <v>2.5339639916727701</v>
      </c>
      <c r="T355">
        <v>0.58690699893954801</v>
      </c>
    </row>
    <row r="356" spans="1:20" x14ac:dyDescent="0.2">
      <c r="A356" t="str">
        <f t="shared" si="5"/>
        <v>sample_HS-CS5_E12_Methylprednisolone-acetate_S444</v>
      </c>
      <c r="B356" t="s">
        <v>593</v>
      </c>
      <c r="C356" s="3" t="s">
        <v>10</v>
      </c>
      <c r="D356" s="3" t="s">
        <v>8</v>
      </c>
      <c r="E356" s="3" t="s">
        <v>11</v>
      </c>
      <c r="F356" s="3" t="s">
        <v>11</v>
      </c>
      <c r="G356" s="3" t="s">
        <v>11</v>
      </c>
      <c r="H356" s="3" t="s">
        <v>13</v>
      </c>
      <c r="I356" s="3" t="s">
        <v>19</v>
      </c>
      <c r="J356" s="3" t="s">
        <v>82</v>
      </c>
      <c r="K356" s="3" t="s">
        <v>176</v>
      </c>
      <c r="L356" s="3">
        <v>60</v>
      </c>
      <c r="M356">
        <v>32438</v>
      </c>
      <c r="N356">
        <v>32480</v>
      </c>
      <c r="O356">
        <v>31607</v>
      </c>
      <c r="P356">
        <v>30509</v>
      </c>
      <c r="Q356">
        <v>0.96526085993609001</v>
      </c>
      <c r="R356">
        <v>48</v>
      </c>
      <c r="S356">
        <v>2.45282788958718</v>
      </c>
      <c r="T356">
        <v>0.63360902280089304</v>
      </c>
    </row>
    <row r="357" spans="1:20" x14ac:dyDescent="0.2">
      <c r="A357" t="str">
        <f t="shared" si="5"/>
        <v>sample_HS-CS6_E12_Methylprednisolone-acetate_S540</v>
      </c>
      <c r="B357" t="s">
        <v>594</v>
      </c>
      <c r="C357" s="3" t="s">
        <v>10</v>
      </c>
      <c r="D357" s="3" t="s">
        <v>8</v>
      </c>
      <c r="E357" s="3" t="s">
        <v>11</v>
      </c>
      <c r="F357" s="3" t="s">
        <v>11</v>
      </c>
      <c r="G357" s="3" t="s">
        <v>11</v>
      </c>
      <c r="H357" s="3" t="s">
        <v>13</v>
      </c>
      <c r="I357" s="3" t="s">
        <v>21</v>
      </c>
      <c r="J357" s="3" t="s">
        <v>82</v>
      </c>
      <c r="K357" s="3" t="s">
        <v>176</v>
      </c>
      <c r="L357" s="3">
        <v>60</v>
      </c>
      <c r="M357">
        <v>11246</v>
      </c>
      <c r="N357">
        <v>11271</v>
      </c>
      <c r="O357">
        <v>10941</v>
      </c>
      <c r="P357">
        <v>10744</v>
      </c>
      <c r="Q357">
        <v>0.98199433324193397</v>
      </c>
      <c r="R357">
        <v>29</v>
      </c>
      <c r="S357">
        <v>1.40774262532781</v>
      </c>
      <c r="T357">
        <v>0.41806324611920498</v>
      </c>
    </row>
    <row r="358" spans="1:20" x14ac:dyDescent="0.2">
      <c r="A358" t="str">
        <f t="shared" si="5"/>
        <v>sample_16S-A-E12-L0_anaCS-Subj5-E12</v>
      </c>
      <c r="B358" t="s">
        <v>595</v>
      </c>
      <c r="C358" s="3" t="s">
        <v>9</v>
      </c>
      <c r="D358" s="3" t="s">
        <v>7</v>
      </c>
      <c r="E358" s="3" t="s">
        <v>3</v>
      </c>
      <c r="F358" s="3" t="s">
        <v>82</v>
      </c>
      <c r="G358" s="3" t="s">
        <v>18</v>
      </c>
      <c r="H358" s="3" t="s">
        <v>13</v>
      </c>
      <c r="I358" s="3" t="s">
        <v>19</v>
      </c>
      <c r="J358" s="3" t="s">
        <v>82</v>
      </c>
      <c r="K358" s="3" t="s">
        <v>176</v>
      </c>
      <c r="L358" s="3">
        <v>60</v>
      </c>
      <c r="M358">
        <v>64411</v>
      </c>
      <c r="N358">
        <v>64509</v>
      </c>
      <c r="O358">
        <v>62917</v>
      </c>
      <c r="P358">
        <v>59146</v>
      </c>
      <c r="Q358">
        <v>0.94006389370122501</v>
      </c>
      <c r="R358">
        <v>63</v>
      </c>
      <c r="S358">
        <v>2.79167047668302</v>
      </c>
      <c r="T358">
        <v>0.67380634737756495</v>
      </c>
    </row>
    <row r="359" spans="1:20" x14ac:dyDescent="0.2">
      <c r="A359" t="str">
        <f t="shared" si="5"/>
        <v>sample_16S-A-E12-L1_anaCS-Subj6-E12</v>
      </c>
      <c r="B359" t="s">
        <v>596</v>
      </c>
      <c r="C359" s="3" t="s">
        <v>9</v>
      </c>
      <c r="D359" s="3" t="s">
        <v>7</v>
      </c>
      <c r="E359" s="3" t="s">
        <v>3</v>
      </c>
      <c r="F359" s="3" t="s">
        <v>82</v>
      </c>
      <c r="G359" s="3" t="s">
        <v>20</v>
      </c>
      <c r="H359" s="3" t="s">
        <v>13</v>
      </c>
      <c r="I359" s="3" t="s">
        <v>21</v>
      </c>
      <c r="J359" s="3" t="s">
        <v>82</v>
      </c>
      <c r="K359" s="3" t="s">
        <v>176</v>
      </c>
      <c r="L359" s="3">
        <v>60</v>
      </c>
      <c r="M359">
        <v>78624</v>
      </c>
      <c r="N359">
        <v>78732</v>
      </c>
      <c r="O359">
        <v>77088</v>
      </c>
      <c r="P359">
        <v>70046</v>
      </c>
      <c r="Q359">
        <v>0.90864985471149895</v>
      </c>
      <c r="R359">
        <v>69</v>
      </c>
      <c r="S359">
        <v>2.7006175747442498</v>
      </c>
      <c r="T359">
        <v>0.63782466780464897</v>
      </c>
    </row>
    <row r="360" spans="1:20" x14ac:dyDescent="0.2">
      <c r="A360" t="str">
        <f t="shared" si="5"/>
        <v>sample_16S-A-E12-L2_anaCS-Subj5-E12</v>
      </c>
      <c r="B360" t="s">
        <v>597</v>
      </c>
      <c r="C360" s="3" t="s">
        <v>9</v>
      </c>
      <c r="D360" s="3" t="s">
        <v>7</v>
      </c>
      <c r="E360" s="3" t="s">
        <v>3</v>
      </c>
      <c r="F360" s="3" t="s">
        <v>82</v>
      </c>
      <c r="G360" s="3" t="s">
        <v>22</v>
      </c>
      <c r="H360" s="3" t="s">
        <v>13</v>
      </c>
      <c r="I360" s="3" t="s">
        <v>19</v>
      </c>
      <c r="J360" s="3" t="s">
        <v>82</v>
      </c>
      <c r="K360" s="3" t="s">
        <v>176</v>
      </c>
      <c r="L360" s="3">
        <v>60</v>
      </c>
      <c r="M360">
        <v>45689</v>
      </c>
      <c r="N360">
        <v>45799</v>
      </c>
      <c r="O360">
        <v>43747</v>
      </c>
      <c r="P360">
        <v>38199</v>
      </c>
      <c r="Q360">
        <v>0.87317987519144202</v>
      </c>
      <c r="R360">
        <v>60</v>
      </c>
      <c r="S360">
        <v>2.77564142280547</v>
      </c>
      <c r="T360">
        <v>0.677920819956361</v>
      </c>
    </row>
    <row r="361" spans="1:20" x14ac:dyDescent="0.2">
      <c r="A361" t="str">
        <f t="shared" si="5"/>
        <v>sample_16S-A-E12-L3_anaCS-Subj6-E12</v>
      </c>
      <c r="B361" t="s">
        <v>598</v>
      </c>
      <c r="C361" s="3" t="s">
        <v>9</v>
      </c>
      <c r="D361" s="3" t="s">
        <v>7</v>
      </c>
      <c r="E361" s="3" t="s">
        <v>3</v>
      </c>
      <c r="F361" s="3" t="s">
        <v>82</v>
      </c>
      <c r="G361" s="3" t="s">
        <v>23</v>
      </c>
      <c r="H361" s="3" t="s">
        <v>13</v>
      </c>
      <c r="I361" s="3" t="s">
        <v>21</v>
      </c>
      <c r="J361" s="3" t="s">
        <v>82</v>
      </c>
      <c r="K361" s="3" t="s">
        <v>176</v>
      </c>
      <c r="L361" s="3">
        <v>60</v>
      </c>
      <c r="M361">
        <v>94036</v>
      </c>
      <c r="N361">
        <v>94183</v>
      </c>
      <c r="O361">
        <v>91139</v>
      </c>
      <c r="P361">
        <v>78337</v>
      </c>
      <c r="Q361">
        <v>0.85953324043493995</v>
      </c>
      <c r="R361">
        <v>72</v>
      </c>
      <c r="S361">
        <v>2.7148010579541801</v>
      </c>
      <c r="T361">
        <v>0.63479378151193699</v>
      </c>
    </row>
    <row r="362" spans="1:20" x14ac:dyDescent="0.2">
      <c r="A362" t="str">
        <f t="shared" si="5"/>
        <v>sample_HS-CS5_F01_empty1_S445</v>
      </c>
      <c r="B362" t="s">
        <v>599</v>
      </c>
      <c r="C362" s="3" t="s">
        <v>10</v>
      </c>
      <c r="D362" s="3" t="s">
        <v>8</v>
      </c>
      <c r="E362" s="3" t="s">
        <v>11</v>
      </c>
      <c r="F362" s="3" t="s">
        <v>11</v>
      </c>
      <c r="G362" s="3" t="s">
        <v>11</v>
      </c>
      <c r="H362" s="3" t="s">
        <v>13</v>
      </c>
      <c r="I362" s="3" t="s">
        <v>19</v>
      </c>
      <c r="J362" s="3" t="s">
        <v>83</v>
      </c>
      <c r="K362" s="3" t="s">
        <v>177</v>
      </c>
      <c r="L362" s="3">
        <v>61</v>
      </c>
      <c r="M362">
        <v>26683</v>
      </c>
      <c r="N362">
        <v>26748</v>
      </c>
      <c r="O362">
        <v>26054</v>
      </c>
      <c r="P362">
        <v>25315</v>
      </c>
      <c r="Q362">
        <v>0.97163583326936398</v>
      </c>
      <c r="R362">
        <v>47</v>
      </c>
      <c r="S362">
        <v>2.4147836571283201</v>
      </c>
      <c r="T362">
        <v>0.62719248894660296</v>
      </c>
    </row>
    <row r="363" spans="1:20" x14ac:dyDescent="0.2">
      <c r="A363" t="str">
        <f t="shared" si="5"/>
        <v>sample_HS-CS6_F01_empty1_S541</v>
      </c>
      <c r="B363" t="s">
        <v>600</v>
      </c>
      <c r="C363" s="3" t="s">
        <v>10</v>
      </c>
      <c r="D363" s="3" t="s">
        <v>8</v>
      </c>
      <c r="E363" s="3" t="s">
        <v>11</v>
      </c>
      <c r="F363" s="3" t="s">
        <v>11</v>
      </c>
      <c r="G363" s="3" t="s">
        <v>11</v>
      </c>
      <c r="H363" s="3" t="s">
        <v>13</v>
      </c>
      <c r="I363" s="3" t="s">
        <v>21</v>
      </c>
      <c r="J363" s="3" t="s">
        <v>83</v>
      </c>
      <c r="K363" s="3" t="s">
        <v>177</v>
      </c>
      <c r="L363" s="3">
        <v>61</v>
      </c>
      <c r="M363">
        <v>13432</v>
      </c>
      <c r="N363">
        <v>13456</v>
      </c>
      <c r="O363">
        <v>13084</v>
      </c>
      <c r="P363">
        <v>12726</v>
      </c>
      <c r="Q363">
        <v>0.97263833690003099</v>
      </c>
      <c r="R363">
        <v>31</v>
      </c>
      <c r="S363">
        <v>1.4643952779872</v>
      </c>
      <c r="T363">
        <v>0.42644168157486001</v>
      </c>
    </row>
    <row r="364" spans="1:20" x14ac:dyDescent="0.2">
      <c r="A364" t="str">
        <f t="shared" si="5"/>
        <v>sample_16S-A-F01-L0_anaCS-Subj5-F01</v>
      </c>
      <c r="B364" t="s">
        <v>601</v>
      </c>
      <c r="C364" s="3" t="s">
        <v>9</v>
      </c>
      <c r="D364" s="3" t="s">
        <v>7</v>
      </c>
      <c r="E364" s="3" t="s">
        <v>3</v>
      </c>
      <c r="F364" s="3" t="s">
        <v>83</v>
      </c>
      <c r="G364" s="3" t="s">
        <v>18</v>
      </c>
      <c r="H364" s="3" t="s">
        <v>13</v>
      </c>
      <c r="I364" s="3" t="s">
        <v>19</v>
      </c>
      <c r="J364" s="3" t="s">
        <v>83</v>
      </c>
      <c r="K364" s="3" t="s">
        <v>177</v>
      </c>
      <c r="L364" s="3">
        <v>61</v>
      </c>
      <c r="M364">
        <v>76623</v>
      </c>
      <c r="N364">
        <v>76718</v>
      </c>
      <c r="O364">
        <v>74681</v>
      </c>
      <c r="P364">
        <v>69092</v>
      </c>
      <c r="Q364">
        <v>0.92516168771173402</v>
      </c>
      <c r="R364">
        <v>66</v>
      </c>
      <c r="S364">
        <v>2.8209896845179601</v>
      </c>
      <c r="T364">
        <v>0.67332270991702903</v>
      </c>
    </row>
    <row r="365" spans="1:20" x14ac:dyDescent="0.2">
      <c r="A365" t="str">
        <f t="shared" si="5"/>
        <v>sample_16S-A-F01-L1_anaCS-Subj6-F01</v>
      </c>
      <c r="B365" t="s">
        <v>602</v>
      </c>
      <c r="C365" s="3" t="s">
        <v>9</v>
      </c>
      <c r="D365" s="3" t="s">
        <v>7</v>
      </c>
      <c r="E365" s="3" t="s">
        <v>3</v>
      </c>
      <c r="F365" s="3" t="s">
        <v>83</v>
      </c>
      <c r="G365" s="3" t="s">
        <v>20</v>
      </c>
      <c r="H365" s="3" t="s">
        <v>13</v>
      </c>
      <c r="I365" s="3" t="s">
        <v>21</v>
      </c>
      <c r="J365" s="3" t="s">
        <v>83</v>
      </c>
      <c r="K365" s="3" t="s">
        <v>177</v>
      </c>
      <c r="L365" s="3">
        <v>61</v>
      </c>
      <c r="M365">
        <v>67848</v>
      </c>
      <c r="N365">
        <v>67866</v>
      </c>
      <c r="O365">
        <v>66467</v>
      </c>
      <c r="P365">
        <v>61165</v>
      </c>
      <c r="Q365">
        <v>0.92023109212090204</v>
      </c>
      <c r="R365">
        <v>66</v>
      </c>
      <c r="S365">
        <v>2.5804303828578399</v>
      </c>
      <c r="T365">
        <v>0.615905257531974</v>
      </c>
    </row>
    <row r="366" spans="1:20" x14ac:dyDescent="0.2">
      <c r="A366" t="str">
        <f t="shared" si="5"/>
        <v>sample_16S-A-F01-L2_anaCS-Subj5-F01</v>
      </c>
      <c r="B366" t="s">
        <v>603</v>
      </c>
      <c r="C366" s="3" t="s">
        <v>9</v>
      </c>
      <c r="D366" s="3" t="s">
        <v>7</v>
      </c>
      <c r="E366" s="3" t="s">
        <v>3</v>
      </c>
      <c r="F366" s="3" t="s">
        <v>83</v>
      </c>
      <c r="G366" s="3" t="s">
        <v>22</v>
      </c>
      <c r="H366" s="3" t="s">
        <v>13</v>
      </c>
      <c r="I366" s="3" t="s">
        <v>19</v>
      </c>
      <c r="J366" s="3" t="s">
        <v>83</v>
      </c>
      <c r="K366" s="3" t="s">
        <v>177</v>
      </c>
      <c r="L366" s="3">
        <v>61</v>
      </c>
      <c r="M366">
        <v>67080</v>
      </c>
      <c r="N366">
        <v>67187</v>
      </c>
      <c r="O366">
        <v>64592</v>
      </c>
      <c r="P366">
        <v>56390</v>
      </c>
      <c r="Q366">
        <v>0.87301833044339905</v>
      </c>
      <c r="R366">
        <v>66</v>
      </c>
      <c r="S366">
        <v>2.77149010769531</v>
      </c>
      <c r="T366">
        <v>0.66150799489382595</v>
      </c>
    </row>
    <row r="367" spans="1:20" x14ac:dyDescent="0.2">
      <c r="A367" t="str">
        <f t="shared" si="5"/>
        <v>sample_16S-A-F01-L3_anaCS-Subj6-F01</v>
      </c>
      <c r="B367" t="s">
        <v>604</v>
      </c>
      <c r="C367" s="3" t="s">
        <v>9</v>
      </c>
      <c r="D367" s="3" t="s">
        <v>7</v>
      </c>
      <c r="E367" s="3" t="s">
        <v>3</v>
      </c>
      <c r="F367" s="3" t="s">
        <v>83</v>
      </c>
      <c r="G367" s="3" t="s">
        <v>23</v>
      </c>
      <c r="H367" s="3" t="s">
        <v>13</v>
      </c>
      <c r="I367" s="3" t="s">
        <v>21</v>
      </c>
      <c r="J367" s="3" t="s">
        <v>83</v>
      </c>
      <c r="K367" s="3" t="s">
        <v>177</v>
      </c>
      <c r="L367" s="3">
        <v>61</v>
      </c>
      <c r="M367">
        <v>114375</v>
      </c>
      <c r="N367">
        <v>114575</v>
      </c>
      <c r="O367">
        <v>111727</v>
      </c>
      <c r="P367">
        <v>98389</v>
      </c>
      <c r="Q367">
        <v>0.88061972486507301</v>
      </c>
      <c r="R367">
        <v>76</v>
      </c>
      <c r="S367">
        <v>2.5392295859751499</v>
      </c>
      <c r="T367">
        <v>0.58632785407361598</v>
      </c>
    </row>
    <row r="368" spans="1:20" x14ac:dyDescent="0.2">
      <c r="A368" t="str">
        <f t="shared" si="5"/>
        <v>sample_16S-A-F02-L0_anaCS-Subj5-F02</v>
      </c>
      <c r="B368" t="s">
        <v>605</v>
      </c>
      <c r="C368" s="3" t="s">
        <v>9</v>
      </c>
      <c r="D368" s="3" t="s">
        <v>7</v>
      </c>
      <c r="E368" s="3" t="s">
        <v>3</v>
      </c>
      <c r="F368" s="3" t="s">
        <v>84</v>
      </c>
      <c r="G368" s="3" t="s">
        <v>18</v>
      </c>
      <c r="H368" s="3" t="s">
        <v>13</v>
      </c>
      <c r="I368" s="3" t="s">
        <v>19</v>
      </c>
      <c r="J368" s="3" t="s">
        <v>84</v>
      </c>
      <c r="K368" s="3" t="s">
        <v>178</v>
      </c>
      <c r="L368" s="3">
        <v>62</v>
      </c>
      <c r="M368">
        <v>75914</v>
      </c>
      <c r="N368">
        <v>75940</v>
      </c>
      <c r="O368">
        <v>74886</v>
      </c>
      <c r="P368">
        <v>68732</v>
      </c>
      <c r="Q368">
        <v>0.91782175573538405</v>
      </c>
      <c r="R368">
        <v>18</v>
      </c>
      <c r="S368">
        <v>1.69325528173686</v>
      </c>
      <c r="T368">
        <v>0.58582612326981198</v>
      </c>
    </row>
    <row r="369" spans="1:20" x14ac:dyDescent="0.2">
      <c r="A369" t="str">
        <f t="shared" si="5"/>
        <v>sample_16S-A-F02-L1_anaCS-Subj6-F02</v>
      </c>
      <c r="B369" t="s">
        <v>606</v>
      </c>
      <c r="C369" s="3" t="s">
        <v>9</v>
      </c>
      <c r="D369" s="3" t="s">
        <v>7</v>
      </c>
      <c r="E369" s="3" t="s">
        <v>3</v>
      </c>
      <c r="F369" s="3" t="s">
        <v>84</v>
      </c>
      <c r="G369" s="3" t="s">
        <v>20</v>
      </c>
      <c r="H369" s="3" t="s">
        <v>13</v>
      </c>
      <c r="I369" s="3" t="s">
        <v>21</v>
      </c>
      <c r="J369" s="3" t="s">
        <v>84</v>
      </c>
      <c r="K369" s="3" t="s">
        <v>178</v>
      </c>
      <c r="L369" s="3">
        <v>62</v>
      </c>
      <c r="M369">
        <v>58952</v>
      </c>
      <c r="N369">
        <v>59002</v>
      </c>
      <c r="O369">
        <v>58533</v>
      </c>
      <c r="P369">
        <v>55774</v>
      </c>
      <c r="Q369">
        <v>0.95286419626535501</v>
      </c>
      <c r="R369">
        <v>22</v>
      </c>
      <c r="S369">
        <v>1.1317474710656199</v>
      </c>
      <c r="T369">
        <v>0.36613779595165902</v>
      </c>
    </row>
    <row r="370" spans="1:20" x14ac:dyDescent="0.2">
      <c r="A370" t="str">
        <f t="shared" si="5"/>
        <v>sample_16S-A-F02-L2_anaCS-Subj5-F02</v>
      </c>
      <c r="B370" t="s">
        <v>607</v>
      </c>
      <c r="C370" s="3" t="s">
        <v>9</v>
      </c>
      <c r="D370" s="3" t="s">
        <v>7</v>
      </c>
      <c r="E370" s="3" t="s">
        <v>3</v>
      </c>
      <c r="F370" s="3" t="s">
        <v>84</v>
      </c>
      <c r="G370" s="3" t="s">
        <v>22</v>
      </c>
      <c r="H370" s="3" t="s">
        <v>13</v>
      </c>
      <c r="I370" s="3" t="s">
        <v>19</v>
      </c>
      <c r="J370" s="3" t="s">
        <v>84</v>
      </c>
      <c r="K370" s="3" t="s">
        <v>178</v>
      </c>
      <c r="L370" s="3">
        <v>62</v>
      </c>
      <c r="M370">
        <v>36035</v>
      </c>
      <c r="N370">
        <v>36109</v>
      </c>
      <c r="O370">
        <v>35397</v>
      </c>
      <c r="P370">
        <v>31448</v>
      </c>
      <c r="Q370">
        <v>0.88843687318134301</v>
      </c>
      <c r="R370">
        <v>17</v>
      </c>
      <c r="S370">
        <v>1.68621873572897</v>
      </c>
      <c r="T370">
        <v>0.59516122895103396</v>
      </c>
    </row>
    <row r="371" spans="1:20" x14ac:dyDescent="0.2">
      <c r="A371" t="str">
        <f t="shared" si="5"/>
        <v>sample_16S-A-F02-L3_anaCS-Subj6-F02</v>
      </c>
      <c r="B371" t="s">
        <v>608</v>
      </c>
      <c r="C371" s="3" t="s">
        <v>9</v>
      </c>
      <c r="D371" s="3" t="s">
        <v>7</v>
      </c>
      <c r="E371" s="3" t="s">
        <v>3</v>
      </c>
      <c r="F371" s="3" t="s">
        <v>84</v>
      </c>
      <c r="G371" s="3" t="s">
        <v>23</v>
      </c>
      <c r="H371" s="3" t="s">
        <v>13</v>
      </c>
      <c r="I371" s="3" t="s">
        <v>21</v>
      </c>
      <c r="J371" s="3" t="s">
        <v>84</v>
      </c>
      <c r="K371" s="3" t="s">
        <v>178</v>
      </c>
      <c r="L371" s="3">
        <v>62</v>
      </c>
      <c r="M371">
        <v>36799</v>
      </c>
      <c r="N371">
        <v>36771</v>
      </c>
      <c r="O371">
        <v>36392</v>
      </c>
      <c r="P371">
        <v>34697</v>
      </c>
      <c r="Q371">
        <v>0.95342382941305803</v>
      </c>
      <c r="R371">
        <v>17</v>
      </c>
      <c r="S371">
        <v>1.05138015768601</v>
      </c>
      <c r="T371">
        <v>0.37109106516517598</v>
      </c>
    </row>
    <row r="372" spans="1:20" x14ac:dyDescent="0.2">
      <c r="A372" t="str">
        <f t="shared" si="5"/>
        <v>sample_HS-CS5_F02_Tinidazole_S446</v>
      </c>
      <c r="B372" t="s">
        <v>609</v>
      </c>
      <c r="C372" s="3" t="s">
        <v>10</v>
      </c>
      <c r="D372" s="3" t="s">
        <v>8</v>
      </c>
      <c r="E372" s="3" t="s">
        <v>11</v>
      </c>
      <c r="F372" s="3" t="s">
        <v>11</v>
      </c>
      <c r="G372" s="3" t="s">
        <v>11</v>
      </c>
      <c r="H372" s="3" t="s">
        <v>13</v>
      </c>
      <c r="I372" s="3" t="s">
        <v>19</v>
      </c>
      <c r="J372" s="3" t="s">
        <v>84</v>
      </c>
      <c r="K372" s="3" t="s">
        <v>178</v>
      </c>
      <c r="L372" s="3">
        <v>62</v>
      </c>
      <c r="M372">
        <v>22508</v>
      </c>
      <c r="N372">
        <v>22536</v>
      </c>
      <c r="O372">
        <v>22080</v>
      </c>
      <c r="P372">
        <v>21394</v>
      </c>
      <c r="Q372">
        <v>0.96893115942028996</v>
      </c>
      <c r="R372">
        <v>15</v>
      </c>
      <c r="S372">
        <v>1.4470931660845801</v>
      </c>
      <c r="T372">
        <v>0.53436718621227897</v>
      </c>
    </row>
    <row r="373" spans="1:20" x14ac:dyDescent="0.2">
      <c r="A373" t="str">
        <f t="shared" si="5"/>
        <v>sample_HS-CS6_F02_Tinidazole_S542</v>
      </c>
      <c r="B373" t="s">
        <v>610</v>
      </c>
      <c r="C373" s="3" t="s">
        <v>10</v>
      </c>
      <c r="D373" s="3" t="s">
        <v>8</v>
      </c>
      <c r="E373" s="3" t="s">
        <v>11</v>
      </c>
      <c r="F373" s="3" t="s">
        <v>11</v>
      </c>
      <c r="G373" s="3" t="s">
        <v>11</v>
      </c>
      <c r="H373" s="3" t="s">
        <v>13</v>
      </c>
      <c r="I373" s="3" t="s">
        <v>21</v>
      </c>
      <c r="J373" s="3" t="s">
        <v>84</v>
      </c>
      <c r="K373" s="3" t="s">
        <v>178</v>
      </c>
      <c r="L373" s="3">
        <v>62</v>
      </c>
      <c r="M373">
        <v>10971</v>
      </c>
      <c r="N373">
        <v>10981</v>
      </c>
      <c r="O373">
        <v>10801</v>
      </c>
      <c r="P373">
        <v>10708</v>
      </c>
      <c r="Q373">
        <v>0.99138968614017198</v>
      </c>
      <c r="R373">
        <v>10</v>
      </c>
      <c r="S373">
        <v>0.57328939693199699</v>
      </c>
      <c r="T373">
        <v>0.248976421621209</v>
      </c>
    </row>
    <row r="374" spans="1:20" x14ac:dyDescent="0.2">
      <c r="A374" t="str">
        <f t="shared" si="5"/>
        <v>sample_16S-A-F03-L0_anaCS-Subj5-F03</v>
      </c>
      <c r="B374" t="s">
        <v>611</v>
      </c>
      <c r="C374" s="3" t="s">
        <v>9</v>
      </c>
      <c r="D374" s="3" t="s">
        <v>7</v>
      </c>
      <c r="E374" s="3" t="s">
        <v>3</v>
      </c>
      <c r="F374" s="3" t="s">
        <v>85</v>
      </c>
      <c r="G374" s="3" t="s">
        <v>18</v>
      </c>
      <c r="H374" s="3" t="s">
        <v>13</v>
      </c>
      <c r="I374" s="3" t="s">
        <v>19</v>
      </c>
      <c r="J374" s="3" t="s">
        <v>85</v>
      </c>
      <c r="K374" s="3" t="s">
        <v>179</v>
      </c>
      <c r="L374" s="3">
        <v>63</v>
      </c>
      <c r="M374">
        <v>64751</v>
      </c>
      <c r="N374">
        <v>64709</v>
      </c>
      <c r="O374">
        <v>64155</v>
      </c>
      <c r="P374">
        <v>61089</v>
      </c>
      <c r="Q374">
        <v>0.95220949263502497</v>
      </c>
      <c r="R374">
        <v>32</v>
      </c>
      <c r="S374">
        <v>1.21767318093212</v>
      </c>
      <c r="T374">
        <v>0.35134621191085202</v>
      </c>
    </row>
    <row r="375" spans="1:20" x14ac:dyDescent="0.2">
      <c r="A375" t="str">
        <f t="shared" si="5"/>
        <v>sample_16S-A-F03-L1_anaCS-Subj6-F03</v>
      </c>
      <c r="B375" t="s">
        <v>612</v>
      </c>
      <c r="C375" s="3" t="s">
        <v>9</v>
      </c>
      <c r="D375" s="3" t="s">
        <v>7</v>
      </c>
      <c r="E375" s="3" t="s">
        <v>3</v>
      </c>
      <c r="F375" s="3" t="s">
        <v>85</v>
      </c>
      <c r="G375" s="3" t="s">
        <v>20</v>
      </c>
      <c r="H375" s="3" t="s">
        <v>13</v>
      </c>
      <c r="I375" s="3" t="s">
        <v>21</v>
      </c>
      <c r="J375" s="3" t="s">
        <v>85</v>
      </c>
      <c r="K375" s="3" t="s">
        <v>179</v>
      </c>
      <c r="L375" s="3">
        <v>63</v>
      </c>
      <c r="M375">
        <v>69326</v>
      </c>
      <c r="N375">
        <v>69358</v>
      </c>
      <c r="O375">
        <v>68328</v>
      </c>
      <c r="P375">
        <v>61831</v>
      </c>
      <c r="Q375">
        <v>0.90491452991453003</v>
      </c>
      <c r="R375">
        <v>35</v>
      </c>
      <c r="S375">
        <v>1.7557025136897699</v>
      </c>
      <c r="T375">
        <v>0.49382015018643899</v>
      </c>
    </row>
    <row r="376" spans="1:20" x14ac:dyDescent="0.2">
      <c r="A376" t="str">
        <f t="shared" si="5"/>
        <v>sample_16S-A-F03-L2_anaCS-Subj5-F03</v>
      </c>
      <c r="B376" t="s">
        <v>613</v>
      </c>
      <c r="C376" s="3" t="s">
        <v>9</v>
      </c>
      <c r="D376" s="3" t="s">
        <v>7</v>
      </c>
      <c r="E376" s="3" t="s">
        <v>3</v>
      </c>
      <c r="F376" s="3" t="s">
        <v>85</v>
      </c>
      <c r="G376" s="3" t="s">
        <v>22</v>
      </c>
      <c r="H376" s="3" t="s">
        <v>13</v>
      </c>
      <c r="I376" s="3" t="s">
        <v>19</v>
      </c>
      <c r="J376" s="3" t="s">
        <v>85</v>
      </c>
      <c r="K376" s="3" t="s">
        <v>179</v>
      </c>
      <c r="L376" s="3">
        <v>63</v>
      </c>
      <c r="M376">
        <v>70634</v>
      </c>
      <c r="N376">
        <v>70587</v>
      </c>
      <c r="O376">
        <v>69705</v>
      </c>
      <c r="P376">
        <v>63877</v>
      </c>
      <c r="Q376">
        <v>0.91639050283336898</v>
      </c>
      <c r="R376">
        <v>40</v>
      </c>
      <c r="S376">
        <v>1.3804692848443001</v>
      </c>
      <c r="T376">
        <v>0.374224558437322</v>
      </c>
    </row>
    <row r="377" spans="1:20" x14ac:dyDescent="0.2">
      <c r="A377" t="str">
        <f t="shared" si="5"/>
        <v>sample_16S-A-F03-L3_anaCS-Subj6-F03</v>
      </c>
      <c r="B377" t="s">
        <v>614</v>
      </c>
      <c r="C377" s="3" t="s">
        <v>9</v>
      </c>
      <c r="D377" s="3" t="s">
        <v>7</v>
      </c>
      <c r="E377" s="3" t="s">
        <v>3</v>
      </c>
      <c r="F377" s="3" t="s">
        <v>85</v>
      </c>
      <c r="G377" s="3" t="s">
        <v>23</v>
      </c>
      <c r="H377" s="3" t="s">
        <v>13</v>
      </c>
      <c r="I377" s="3" t="s">
        <v>21</v>
      </c>
      <c r="J377" s="3" t="s">
        <v>85</v>
      </c>
      <c r="K377" s="3" t="s">
        <v>179</v>
      </c>
      <c r="L377" s="3">
        <v>63</v>
      </c>
      <c r="M377">
        <v>70197</v>
      </c>
      <c r="N377">
        <v>70006</v>
      </c>
      <c r="O377">
        <v>68992</v>
      </c>
      <c r="P377">
        <v>62033</v>
      </c>
      <c r="Q377">
        <v>0.89913323283859004</v>
      </c>
      <c r="R377">
        <v>39</v>
      </c>
      <c r="S377">
        <v>1.7862543327374201</v>
      </c>
      <c r="T377">
        <v>0.48757316111344901</v>
      </c>
    </row>
    <row r="378" spans="1:20" x14ac:dyDescent="0.2">
      <c r="A378" t="str">
        <f t="shared" si="5"/>
        <v>sample_HS-CS5_F03_Rifampicin_S447</v>
      </c>
      <c r="B378" t="s">
        <v>615</v>
      </c>
      <c r="C378" s="3" t="s">
        <v>10</v>
      </c>
      <c r="D378" s="3" t="s">
        <v>8</v>
      </c>
      <c r="E378" s="3" t="s">
        <v>11</v>
      </c>
      <c r="F378" s="3" t="s">
        <v>11</v>
      </c>
      <c r="G378" s="3" t="s">
        <v>11</v>
      </c>
      <c r="H378" s="3" t="s">
        <v>13</v>
      </c>
      <c r="I378" s="3" t="s">
        <v>19</v>
      </c>
      <c r="J378" s="3" t="s">
        <v>85</v>
      </c>
      <c r="K378" s="3" t="s">
        <v>179</v>
      </c>
      <c r="L378" s="3">
        <v>63</v>
      </c>
      <c r="M378">
        <v>20265</v>
      </c>
      <c r="N378">
        <v>20284</v>
      </c>
      <c r="O378">
        <v>19872</v>
      </c>
      <c r="P378">
        <v>19322</v>
      </c>
      <c r="Q378">
        <v>0.97232286634460596</v>
      </c>
      <c r="R378">
        <v>20</v>
      </c>
      <c r="S378">
        <v>0.95538232474602203</v>
      </c>
      <c r="T378">
        <v>0.31891445479959502</v>
      </c>
    </row>
    <row r="379" spans="1:20" x14ac:dyDescent="0.2">
      <c r="A379" t="str">
        <f t="shared" si="5"/>
        <v>sample_HS-CS6_F03_Rifampicin_S543</v>
      </c>
      <c r="B379" t="s">
        <v>616</v>
      </c>
      <c r="C379" s="3" t="s">
        <v>10</v>
      </c>
      <c r="D379" s="3" t="s">
        <v>8</v>
      </c>
      <c r="E379" s="3" t="s">
        <v>11</v>
      </c>
      <c r="F379" s="3" t="s">
        <v>11</v>
      </c>
      <c r="G379" s="3" t="s">
        <v>11</v>
      </c>
      <c r="H379" s="3" t="s">
        <v>13</v>
      </c>
      <c r="I379" s="3" t="s">
        <v>21</v>
      </c>
      <c r="J379" s="3" t="s">
        <v>85</v>
      </c>
      <c r="K379" s="3" t="s">
        <v>179</v>
      </c>
      <c r="L379" s="3">
        <v>63</v>
      </c>
      <c r="M379">
        <v>9573</v>
      </c>
      <c r="N379">
        <v>9615</v>
      </c>
      <c r="O379">
        <v>9352</v>
      </c>
      <c r="P379">
        <v>9045</v>
      </c>
      <c r="Q379">
        <v>0.96717279726261796</v>
      </c>
      <c r="R379" t="s">
        <v>11</v>
      </c>
      <c r="S379" t="s">
        <v>11</v>
      </c>
      <c r="T379" t="s">
        <v>11</v>
      </c>
    </row>
    <row r="380" spans="1:20" x14ac:dyDescent="0.2">
      <c r="A380" t="str">
        <f t="shared" si="5"/>
        <v>sample_16S-A-F04-L0_anaCS-Subj5-F04</v>
      </c>
      <c r="B380" t="s">
        <v>617</v>
      </c>
      <c r="C380" s="3" t="s">
        <v>9</v>
      </c>
      <c r="D380" s="3" t="s">
        <v>7</v>
      </c>
      <c r="E380" s="3" t="s">
        <v>3</v>
      </c>
      <c r="F380" s="3" t="s">
        <v>86</v>
      </c>
      <c r="G380" s="3" t="s">
        <v>18</v>
      </c>
      <c r="H380" s="3" t="s">
        <v>13</v>
      </c>
      <c r="I380" s="3" t="s">
        <v>19</v>
      </c>
      <c r="J380" s="3" t="s">
        <v>86</v>
      </c>
      <c r="K380" s="3" t="s">
        <v>180</v>
      </c>
      <c r="L380" s="3">
        <v>64</v>
      </c>
      <c r="M380">
        <v>68338</v>
      </c>
      <c r="N380">
        <v>68259</v>
      </c>
      <c r="O380">
        <v>67873</v>
      </c>
      <c r="P380">
        <v>64871</v>
      </c>
      <c r="Q380">
        <v>0.95577033577416604</v>
      </c>
      <c r="R380">
        <v>20</v>
      </c>
      <c r="S380">
        <v>0.65553561429632401</v>
      </c>
      <c r="T380">
        <v>0.21882316389996601</v>
      </c>
    </row>
    <row r="381" spans="1:20" x14ac:dyDescent="0.2">
      <c r="A381" t="str">
        <f t="shared" si="5"/>
        <v>sample_16S-A-F04-L1_anaCS-Subj6-F04</v>
      </c>
      <c r="B381" t="s">
        <v>618</v>
      </c>
      <c r="C381" s="3" t="s">
        <v>9</v>
      </c>
      <c r="D381" s="3" t="s">
        <v>7</v>
      </c>
      <c r="E381" s="3" t="s">
        <v>3</v>
      </c>
      <c r="F381" s="3" t="s">
        <v>86</v>
      </c>
      <c r="G381" s="3" t="s">
        <v>20</v>
      </c>
      <c r="H381" s="3" t="s">
        <v>13</v>
      </c>
      <c r="I381" s="3" t="s">
        <v>21</v>
      </c>
      <c r="J381" s="3" t="s">
        <v>86</v>
      </c>
      <c r="K381" s="3" t="s">
        <v>180</v>
      </c>
      <c r="L381" s="3">
        <v>64</v>
      </c>
      <c r="M381">
        <v>54979</v>
      </c>
      <c r="N381">
        <v>54978</v>
      </c>
      <c r="O381">
        <v>54415</v>
      </c>
      <c r="P381">
        <v>50661</v>
      </c>
      <c r="Q381">
        <v>0.93101166957640402</v>
      </c>
      <c r="R381">
        <v>14</v>
      </c>
      <c r="S381">
        <v>0.94490464132794805</v>
      </c>
      <c r="T381">
        <v>0.35804627308558801</v>
      </c>
    </row>
    <row r="382" spans="1:20" x14ac:dyDescent="0.2">
      <c r="A382" t="str">
        <f t="shared" si="5"/>
        <v>sample_16S-A-F04-L2_anaCS-Subj5-F04</v>
      </c>
      <c r="B382" t="s">
        <v>619</v>
      </c>
      <c r="C382" s="3" t="s">
        <v>9</v>
      </c>
      <c r="D382" s="3" t="s">
        <v>7</v>
      </c>
      <c r="E382" s="3" t="s">
        <v>3</v>
      </c>
      <c r="F382" s="3" t="s">
        <v>86</v>
      </c>
      <c r="G382" s="3" t="s">
        <v>22</v>
      </c>
      <c r="H382" s="3" t="s">
        <v>13</v>
      </c>
      <c r="I382" s="3" t="s">
        <v>19</v>
      </c>
      <c r="J382" s="3" t="s">
        <v>86</v>
      </c>
      <c r="K382" s="3" t="s">
        <v>180</v>
      </c>
      <c r="L382" s="3">
        <v>64</v>
      </c>
      <c r="M382">
        <v>57593</v>
      </c>
      <c r="N382">
        <v>57601</v>
      </c>
      <c r="O382">
        <v>57242</v>
      </c>
      <c r="P382">
        <v>54074</v>
      </c>
      <c r="Q382">
        <v>0.94465602180217301</v>
      </c>
      <c r="R382">
        <v>17</v>
      </c>
      <c r="S382">
        <v>0.65334198112797104</v>
      </c>
      <c r="T382">
        <v>0.23060105321705299</v>
      </c>
    </row>
    <row r="383" spans="1:20" x14ac:dyDescent="0.2">
      <c r="A383" t="str">
        <f t="shared" si="5"/>
        <v>sample_16S-A-F04-L3_anaCS-Subj6-F04</v>
      </c>
      <c r="B383" t="s">
        <v>620</v>
      </c>
      <c r="C383" s="3" t="s">
        <v>9</v>
      </c>
      <c r="D383" s="3" t="s">
        <v>7</v>
      </c>
      <c r="E383" s="3" t="s">
        <v>3</v>
      </c>
      <c r="F383" s="3" t="s">
        <v>86</v>
      </c>
      <c r="G383" s="3" t="s">
        <v>23</v>
      </c>
      <c r="H383" s="3" t="s">
        <v>13</v>
      </c>
      <c r="I383" s="3" t="s">
        <v>21</v>
      </c>
      <c r="J383" s="3" t="s">
        <v>86</v>
      </c>
      <c r="K383" s="3" t="s">
        <v>180</v>
      </c>
      <c r="L383" s="3">
        <v>64</v>
      </c>
      <c r="M383">
        <v>89017</v>
      </c>
      <c r="N383">
        <v>89035</v>
      </c>
      <c r="O383">
        <v>88315</v>
      </c>
      <c r="P383">
        <v>80177</v>
      </c>
      <c r="Q383">
        <v>0.907852573175565</v>
      </c>
      <c r="R383">
        <v>22</v>
      </c>
      <c r="S383">
        <v>0.997098031394684</v>
      </c>
      <c r="T383">
        <v>0.32257662146030103</v>
      </c>
    </row>
    <row r="384" spans="1:20" x14ac:dyDescent="0.2">
      <c r="A384" t="str">
        <f t="shared" si="5"/>
        <v>sample_HS-CS5_F04_Tamoxifen_S448</v>
      </c>
      <c r="B384" t="s">
        <v>621</v>
      </c>
      <c r="C384" s="3" t="s">
        <v>10</v>
      </c>
      <c r="D384" s="3" t="s">
        <v>8</v>
      </c>
      <c r="E384" s="3" t="s">
        <v>11</v>
      </c>
      <c r="F384" s="3" t="s">
        <v>11</v>
      </c>
      <c r="G384" s="3" t="s">
        <v>11</v>
      </c>
      <c r="H384" s="3" t="s">
        <v>13</v>
      </c>
      <c r="I384" s="3" t="s">
        <v>19</v>
      </c>
      <c r="J384" s="3" t="s">
        <v>86</v>
      </c>
      <c r="K384" s="3" t="s">
        <v>180</v>
      </c>
      <c r="L384" s="3">
        <v>64</v>
      </c>
      <c r="M384">
        <v>32916</v>
      </c>
      <c r="N384">
        <v>32951</v>
      </c>
      <c r="O384">
        <v>32396</v>
      </c>
      <c r="P384">
        <v>31262</v>
      </c>
      <c r="Q384">
        <v>0.96499567847882495</v>
      </c>
      <c r="R384">
        <v>13</v>
      </c>
      <c r="S384">
        <v>0.45546565493493801</v>
      </c>
      <c r="T384">
        <v>0.17757296205867401</v>
      </c>
    </row>
    <row r="385" spans="1:20" x14ac:dyDescent="0.2">
      <c r="A385" t="str">
        <f t="shared" si="5"/>
        <v>sample_HS-CS6_F04_Tamoxifen_S544</v>
      </c>
      <c r="B385" t="s">
        <v>622</v>
      </c>
      <c r="C385" s="3" t="s">
        <v>10</v>
      </c>
      <c r="D385" s="3" t="s">
        <v>8</v>
      </c>
      <c r="E385" s="3" t="s">
        <v>11</v>
      </c>
      <c r="F385" s="3" t="s">
        <v>11</v>
      </c>
      <c r="G385" s="3" t="s">
        <v>11</v>
      </c>
      <c r="H385" s="3" t="s">
        <v>13</v>
      </c>
      <c r="I385" s="3" t="s">
        <v>21</v>
      </c>
      <c r="J385" s="3" t="s">
        <v>86</v>
      </c>
      <c r="K385" s="3" t="s">
        <v>180</v>
      </c>
      <c r="L385" s="3">
        <v>64</v>
      </c>
      <c r="M385">
        <v>17437</v>
      </c>
      <c r="N385">
        <v>17503</v>
      </c>
      <c r="O385">
        <v>17028</v>
      </c>
      <c r="P385">
        <v>16627</v>
      </c>
      <c r="Q385">
        <v>0.97645055203194697</v>
      </c>
      <c r="R385">
        <v>10</v>
      </c>
      <c r="S385">
        <v>0.55413343150993</v>
      </c>
      <c r="T385">
        <v>0.24065709154287601</v>
      </c>
    </row>
    <row r="386" spans="1:20" x14ac:dyDescent="0.2">
      <c r="A386" t="str">
        <f t="shared" si="5"/>
        <v>sample_16S-A-F05-L0_anaCS-Subj5-F05</v>
      </c>
      <c r="B386" t="s">
        <v>623</v>
      </c>
      <c r="C386" s="3" t="s">
        <v>9</v>
      </c>
      <c r="D386" s="3" t="s">
        <v>7</v>
      </c>
      <c r="E386" s="3" t="s">
        <v>3</v>
      </c>
      <c r="F386" s="3" t="s">
        <v>87</v>
      </c>
      <c r="G386" s="3" t="s">
        <v>18</v>
      </c>
      <c r="H386" s="3" t="s">
        <v>13</v>
      </c>
      <c r="I386" s="3" t="s">
        <v>19</v>
      </c>
      <c r="J386" s="3" t="s">
        <v>87</v>
      </c>
      <c r="K386" s="3" t="s">
        <v>181</v>
      </c>
      <c r="L386" s="3">
        <v>65</v>
      </c>
      <c r="M386">
        <v>91260</v>
      </c>
      <c r="N386">
        <v>91402</v>
      </c>
      <c r="O386">
        <v>88767</v>
      </c>
      <c r="P386">
        <v>82715</v>
      </c>
      <c r="Q386">
        <v>0.93182151024592497</v>
      </c>
      <c r="R386">
        <v>73</v>
      </c>
      <c r="S386">
        <v>2.9542825154208701</v>
      </c>
      <c r="T386">
        <v>0.68857019998541802</v>
      </c>
    </row>
    <row r="387" spans="1:20" x14ac:dyDescent="0.2">
      <c r="A387" t="str">
        <f t="shared" ref="A387:A450" si="6">_xlfn.CONCAT("sample_",B387)</f>
        <v>sample_16S-A-F05-L1_anaCS-Subj6-F05</v>
      </c>
      <c r="B387" t="s">
        <v>624</v>
      </c>
      <c r="C387" s="3" t="s">
        <v>9</v>
      </c>
      <c r="D387" s="3" t="s">
        <v>7</v>
      </c>
      <c r="E387" s="3" t="s">
        <v>3</v>
      </c>
      <c r="F387" s="3" t="s">
        <v>87</v>
      </c>
      <c r="G387" s="3" t="s">
        <v>20</v>
      </c>
      <c r="H387" s="3" t="s">
        <v>13</v>
      </c>
      <c r="I387" s="3" t="s">
        <v>21</v>
      </c>
      <c r="J387" s="3" t="s">
        <v>87</v>
      </c>
      <c r="K387" s="3" t="s">
        <v>181</v>
      </c>
      <c r="L387" s="3">
        <v>65</v>
      </c>
      <c r="M387">
        <v>73090</v>
      </c>
      <c r="N387">
        <v>73111</v>
      </c>
      <c r="O387">
        <v>71878</v>
      </c>
      <c r="P387">
        <v>67915</v>
      </c>
      <c r="Q387">
        <v>0.94486490998636596</v>
      </c>
      <c r="R387">
        <v>64</v>
      </c>
      <c r="S387">
        <v>2.3575368857834298</v>
      </c>
      <c r="T387">
        <v>0.56686779563876</v>
      </c>
    </row>
    <row r="388" spans="1:20" x14ac:dyDescent="0.2">
      <c r="A388" t="str">
        <f t="shared" si="6"/>
        <v>sample_16S-A-F05-L2_anaCS-Subj5-F05</v>
      </c>
      <c r="B388" t="s">
        <v>625</v>
      </c>
      <c r="C388" s="3" t="s">
        <v>9</v>
      </c>
      <c r="D388" s="3" t="s">
        <v>7</v>
      </c>
      <c r="E388" s="3" t="s">
        <v>3</v>
      </c>
      <c r="F388" s="3" t="s">
        <v>87</v>
      </c>
      <c r="G388" s="3" t="s">
        <v>22</v>
      </c>
      <c r="H388" s="3" t="s">
        <v>13</v>
      </c>
      <c r="I388" s="3" t="s">
        <v>19</v>
      </c>
      <c r="J388" s="3" t="s">
        <v>87</v>
      </c>
      <c r="K388" s="3" t="s">
        <v>181</v>
      </c>
      <c r="L388" s="3">
        <v>65</v>
      </c>
      <c r="M388">
        <v>75814</v>
      </c>
      <c r="N388">
        <v>75951</v>
      </c>
      <c r="O388">
        <v>73083</v>
      </c>
      <c r="P388">
        <v>64998</v>
      </c>
      <c r="Q388">
        <v>0.88937235745659005</v>
      </c>
      <c r="R388">
        <v>68</v>
      </c>
      <c r="S388">
        <v>2.91990145733851</v>
      </c>
      <c r="T388">
        <v>0.69200050369777499</v>
      </c>
    </row>
    <row r="389" spans="1:20" x14ac:dyDescent="0.2">
      <c r="A389" t="str">
        <f t="shared" si="6"/>
        <v>sample_16S-A-F05-L3_anaCS-Subj6-F05</v>
      </c>
      <c r="B389" t="s">
        <v>626</v>
      </c>
      <c r="C389" s="3" t="s">
        <v>9</v>
      </c>
      <c r="D389" s="3" t="s">
        <v>7</v>
      </c>
      <c r="E389" s="3" t="s">
        <v>3</v>
      </c>
      <c r="F389" s="3" t="s">
        <v>87</v>
      </c>
      <c r="G389" s="3" t="s">
        <v>23</v>
      </c>
      <c r="H389" s="3" t="s">
        <v>13</v>
      </c>
      <c r="I389" s="3" t="s">
        <v>21</v>
      </c>
      <c r="J389" s="3" t="s">
        <v>87</v>
      </c>
      <c r="K389" s="3" t="s">
        <v>181</v>
      </c>
      <c r="L389" s="3">
        <v>65</v>
      </c>
      <c r="M389">
        <v>99513</v>
      </c>
      <c r="N389">
        <v>99494</v>
      </c>
      <c r="O389">
        <v>97530</v>
      </c>
      <c r="P389">
        <v>89645</v>
      </c>
      <c r="Q389">
        <v>0.91915308110325</v>
      </c>
      <c r="R389">
        <v>66</v>
      </c>
      <c r="S389">
        <v>2.2456477261437602</v>
      </c>
      <c r="T389">
        <v>0.535998277762048</v>
      </c>
    </row>
    <row r="390" spans="1:20" x14ac:dyDescent="0.2">
      <c r="A390" t="str">
        <f t="shared" si="6"/>
        <v>sample_HS-CS5_F05_Zidovudine_S449</v>
      </c>
      <c r="B390" t="s">
        <v>627</v>
      </c>
      <c r="C390" s="3" t="s">
        <v>10</v>
      </c>
      <c r="D390" s="3" t="s">
        <v>8</v>
      </c>
      <c r="E390" s="3" t="s">
        <v>11</v>
      </c>
      <c r="F390" s="3" t="s">
        <v>11</v>
      </c>
      <c r="G390" s="3" t="s">
        <v>11</v>
      </c>
      <c r="H390" s="3" t="s">
        <v>13</v>
      </c>
      <c r="I390" s="3" t="s">
        <v>19</v>
      </c>
      <c r="J390" s="3" t="s">
        <v>87</v>
      </c>
      <c r="K390" s="3" t="s">
        <v>181</v>
      </c>
      <c r="L390" s="3">
        <v>65</v>
      </c>
      <c r="M390">
        <v>15468</v>
      </c>
      <c r="N390">
        <v>15501</v>
      </c>
      <c r="O390">
        <v>15052</v>
      </c>
      <c r="P390">
        <v>14867</v>
      </c>
      <c r="Q390">
        <v>0.987709274515015</v>
      </c>
      <c r="R390">
        <v>50</v>
      </c>
      <c r="S390">
        <v>2.5496128135642899</v>
      </c>
      <c r="T390">
        <v>0.65173768406437205</v>
      </c>
    </row>
    <row r="391" spans="1:20" x14ac:dyDescent="0.2">
      <c r="A391" t="str">
        <f t="shared" si="6"/>
        <v>sample_HS-CS6_F05_Zidovudine_S545</v>
      </c>
      <c r="B391" t="s">
        <v>628</v>
      </c>
      <c r="C391" s="3" t="s">
        <v>10</v>
      </c>
      <c r="D391" s="3" t="s">
        <v>8</v>
      </c>
      <c r="E391" s="3" t="s">
        <v>11</v>
      </c>
      <c r="F391" s="3" t="s">
        <v>11</v>
      </c>
      <c r="G391" s="3" t="s">
        <v>11</v>
      </c>
      <c r="H391" s="3" t="s">
        <v>13</v>
      </c>
      <c r="I391" s="3" t="s">
        <v>21</v>
      </c>
      <c r="J391" s="3" t="s">
        <v>87</v>
      </c>
      <c r="K391" s="3" t="s">
        <v>181</v>
      </c>
      <c r="L391" s="3">
        <v>65</v>
      </c>
      <c r="M391">
        <v>12007</v>
      </c>
      <c r="N391">
        <v>12042</v>
      </c>
      <c r="O391">
        <v>11725</v>
      </c>
      <c r="P391">
        <v>11620</v>
      </c>
      <c r="Q391">
        <v>0.991044776119403</v>
      </c>
      <c r="R391">
        <v>24</v>
      </c>
      <c r="S391">
        <v>1.08887897874629</v>
      </c>
      <c r="T391">
        <v>0.34262446040036998</v>
      </c>
    </row>
    <row r="392" spans="1:20" x14ac:dyDescent="0.2">
      <c r="A392" t="str">
        <f t="shared" si="6"/>
        <v>sample_16S-A-F06-L0_anaCS-Subj5-F06</v>
      </c>
      <c r="B392" t="s">
        <v>629</v>
      </c>
      <c r="C392" s="3" t="s">
        <v>9</v>
      </c>
      <c r="D392" s="3" t="s">
        <v>7</v>
      </c>
      <c r="E392" s="3" t="s">
        <v>3</v>
      </c>
      <c r="F392" s="3" t="s">
        <v>88</v>
      </c>
      <c r="G392" s="3" t="s">
        <v>18</v>
      </c>
      <c r="H392" s="3" t="s">
        <v>13</v>
      </c>
      <c r="I392" s="3" t="s">
        <v>19</v>
      </c>
      <c r="J392" s="3" t="s">
        <v>88</v>
      </c>
      <c r="K392" s="3" t="s">
        <v>182</v>
      </c>
      <c r="L392" s="3">
        <v>66</v>
      </c>
      <c r="M392">
        <v>71773</v>
      </c>
      <c r="N392">
        <v>71845</v>
      </c>
      <c r="O392">
        <v>70533</v>
      </c>
      <c r="P392">
        <v>65658</v>
      </c>
      <c r="Q392">
        <v>0.93088341627323401</v>
      </c>
      <c r="R392">
        <v>61</v>
      </c>
      <c r="S392">
        <v>2.7051371276769101</v>
      </c>
      <c r="T392">
        <v>0.65804430324473295</v>
      </c>
    </row>
    <row r="393" spans="1:20" x14ac:dyDescent="0.2">
      <c r="A393" t="str">
        <f t="shared" si="6"/>
        <v>sample_16S-A-F06-L1_anaCS-Subj6-F06</v>
      </c>
      <c r="B393" t="s">
        <v>630</v>
      </c>
      <c r="C393" s="3" t="s">
        <v>9</v>
      </c>
      <c r="D393" s="3" t="s">
        <v>7</v>
      </c>
      <c r="E393" s="3" t="s">
        <v>3</v>
      </c>
      <c r="F393" s="3" t="s">
        <v>88</v>
      </c>
      <c r="G393" s="3" t="s">
        <v>20</v>
      </c>
      <c r="H393" s="3" t="s">
        <v>13</v>
      </c>
      <c r="I393" s="3" t="s">
        <v>21</v>
      </c>
      <c r="J393" s="3" t="s">
        <v>88</v>
      </c>
      <c r="K393" s="3" t="s">
        <v>182</v>
      </c>
      <c r="L393" s="3">
        <v>66</v>
      </c>
      <c r="M393">
        <v>60172</v>
      </c>
      <c r="N393">
        <v>60223</v>
      </c>
      <c r="O393">
        <v>59226</v>
      </c>
      <c r="P393">
        <v>55291</v>
      </c>
      <c r="Q393">
        <v>0.93355958531725902</v>
      </c>
      <c r="R393">
        <v>74</v>
      </c>
      <c r="S393">
        <v>2.7565140217417099</v>
      </c>
      <c r="T393">
        <v>0.64044431532739998</v>
      </c>
    </row>
    <row r="394" spans="1:20" x14ac:dyDescent="0.2">
      <c r="A394" t="str">
        <f t="shared" si="6"/>
        <v>sample_16S-A-F06-L2_anaCS-Subj5-F06</v>
      </c>
      <c r="B394" t="s">
        <v>631</v>
      </c>
      <c r="C394" s="3" t="s">
        <v>9</v>
      </c>
      <c r="D394" s="3" t="s">
        <v>7</v>
      </c>
      <c r="E394" s="3" t="s">
        <v>3</v>
      </c>
      <c r="F394" s="3" t="s">
        <v>88</v>
      </c>
      <c r="G394" s="3" t="s">
        <v>22</v>
      </c>
      <c r="H394" s="3" t="s">
        <v>13</v>
      </c>
      <c r="I394" s="3" t="s">
        <v>19</v>
      </c>
      <c r="J394" s="3" t="s">
        <v>88</v>
      </c>
      <c r="K394" s="3" t="s">
        <v>182</v>
      </c>
      <c r="L394" s="3">
        <v>66</v>
      </c>
      <c r="M394">
        <v>73937</v>
      </c>
      <c r="N394">
        <v>73982</v>
      </c>
      <c r="O394">
        <v>72282</v>
      </c>
      <c r="P394">
        <v>64314</v>
      </c>
      <c r="Q394">
        <v>0.88976508674358801</v>
      </c>
      <c r="R394">
        <v>63</v>
      </c>
      <c r="S394">
        <v>2.6911968562913602</v>
      </c>
      <c r="T394">
        <v>0.64955571904253695</v>
      </c>
    </row>
    <row r="395" spans="1:20" x14ac:dyDescent="0.2">
      <c r="A395" t="str">
        <f t="shared" si="6"/>
        <v>sample_16S-A-F06-L3_anaCS-Subj6-F06</v>
      </c>
      <c r="B395" t="s">
        <v>632</v>
      </c>
      <c r="C395" s="3" t="s">
        <v>9</v>
      </c>
      <c r="D395" s="3" t="s">
        <v>7</v>
      </c>
      <c r="E395" s="3" t="s">
        <v>3</v>
      </c>
      <c r="F395" s="3" t="s">
        <v>88</v>
      </c>
      <c r="G395" s="3" t="s">
        <v>23</v>
      </c>
      <c r="H395" s="3" t="s">
        <v>13</v>
      </c>
      <c r="I395" s="3" t="s">
        <v>21</v>
      </c>
      <c r="J395" s="3" t="s">
        <v>88</v>
      </c>
      <c r="K395" s="3" t="s">
        <v>182</v>
      </c>
      <c r="L395" s="3">
        <v>66</v>
      </c>
      <c r="M395">
        <v>95016</v>
      </c>
      <c r="N395">
        <v>94954</v>
      </c>
      <c r="O395">
        <v>93009</v>
      </c>
      <c r="P395">
        <v>83620</v>
      </c>
      <c r="Q395">
        <v>0.89905277983850995</v>
      </c>
      <c r="R395">
        <v>76</v>
      </c>
      <c r="S395">
        <v>2.7685525782875899</v>
      </c>
      <c r="T395">
        <v>0.63928031599944801</v>
      </c>
    </row>
    <row r="396" spans="1:20" x14ac:dyDescent="0.2">
      <c r="A396" t="str">
        <f t="shared" si="6"/>
        <v>sample_HS-CS5_F06_Ofloxacin_S450</v>
      </c>
      <c r="B396" t="s">
        <v>633</v>
      </c>
      <c r="C396" s="3" t="s">
        <v>10</v>
      </c>
      <c r="D396" s="3" t="s">
        <v>8</v>
      </c>
      <c r="E396" s="3" t="s">
        <v>11</v>
      </c>
      <c r="F396" s="3" t="s">
        <v>11</v>
      </c>
      <c r="G396" s="3" t="s">
        <v>11</v>
      </c>
      <c r="H396" s="3" t="s">
        <v>13</v>
      </c>
      <c r="I396" s="3" t="s">
        <v>19</v>
      </c>
      <c r="J396" s="3" t="s">
        <v>88</v>
      </c>
      <c r="K396" s="3" t="s">
        <v>182</v>
      </c>
      <c r="L396" s="3">
        <v>66</v>
      </c>
      <c r="M396">
        <v>23383</v>
      </c>
      <c r="N396">
        <v>23407</v>
      </c>
      <c r="O396">
        <v>22924</v>
      </c>
      <c r="P396">
        <v>21848</v>
      </c>
      <c r="Q396">
        <v>0.95306229279357901</v>
      </c>
      <c r="R396">
        <v>48</v>
      </c>
      <c r="S396">
        <v>2.51994324533465</v>
      </c>
      <c r="T396">
        <v>0.65094611161605997</v>
      </c>
    </row>
    <row r="397" spans="1:20" x14ac:dyDescent="0.2">
      <c r="A397" t="str">
        <f t="shared" si="6"/>
        <v>sample_HS-CS6_F06_Ofloxacin_S546</v>
      </c>
      <c r="B397" t="s">
        <v>634</v>
      </c>
      <c r="C397" s="3" t="s">
        <v>10</v>
      </c>
      <c r="D397" s="3" t="s">
        <v>8</v>
      </c>
      <c r="E397" s="3" t="s">
        <v>11</v>
      </c>
      <c r="F397" s="3" t="s">
        <v>11</v>
      </c>
      <c r="G397" s="3" t="s">
        <v>11</v>
      </c>
      <c r="H397" s="3" t="s">
        <v>13</v>
      </c>
      <c r="I397" s="3" t="s">
        <v>21</v>
      </c>
      <c r="J397" s="3" t="s">
        <v>88</v>
      </c>
      <c r="K397" s="3" t="s">
        <v>182</v>
      </c>
      <c r="L397" s="3">
        <v>66</v>
      </c>
      <c r="M397">
        <v>10419</v>
      </c>
      <c r="N397">
        <v>10451</v>
      </c>
      <c r="O397">
        <v>10131</v>
      </c>
      <c r="P397">
        <v>9729</v>
      </c>
      <c r="Q397">
        <v>0.96031981048267701</v>
      </c>
      <c r="R397" t="s">
        <v>11</v>
      </c>
      <c r="S397" t="s">
        <v>11</v>
      </c>
      <c r="T397" t="s">
        <v>11</v>
      </c>
    </row>
    <row r="398" spans="1:20" x14ac:dyDescent="0.2">
      <c r="A398" t="str">
        <f t="shared" si="6"/>
        <v>sample_16S-A-F07-L0_anaCS-Subj5-F07</v>
      </c>
      <c r="B398" t="s">
        <v>635</v>
      </c>
      <c r="C398" s="3" t="s">
        <v>9</v>
      </c>
      <c r="D398" s="3" t="s">
        <v>7</v>
      </c>
      <c r="E398" s="3" t="s">
        <v>3</v>
      </c>
      <c r="F398" s="3" t="s">
        <v>89</v>
      </c>
      <c r="G398" s="3" t="s">
        <v>18</v>
      </c>
      <c r="H398" s="3" t="s">
        <v>13</v>
      </c>
      <c r="I398" s="3" t="s">
        <v>19</v>
      </c>
      <c r="J398" s="3" t="s">
        <v>89</v>
      </c>
      <c r="K398" s="3" t="s">
        <v>183</v>
      </c>
      <c r="L398" s="3">
        <v>67</v>
      </c>
      <c r="M398">
        <v>77596</v>
      </c>
      <c r="N398">
        <v>77696</v>
      </c>
      <c r="O398">
        <v>75791</v>
      </c>
      <c r="P398">
        <v>70833</v>
      </c>
      <c r="Q398">
        <v>0.93458326186486496</v>
      </c>
      <c r="R398">
        <v>68</v>
      </c>
      <c r="S398">
        <v>2.8069049107823001</v>
      </c>
      <c r="T398">
        <v>0.66522094682729105</v>
      </c>
    </row>
    <row r="399" spans="1:20" x14ac:dyDescent="0.2">
      <c r="A399" t="str">
        <f t="shared" si="6"/>
        <v>sample_16S-A-F07-L1_anaCS-Subj6-F07</v>
      </c>
      <c r="B399" t="s">
        <v>636</v>
      </c>
      <c r="C399" s="3" t="s">
        <v>9</v>
      </c>
      <c r="D399" s="3" t="s">
        <v>7</v>
      </c>
      <c r="E399" s="3" t="s">
        <v>3</v>
      </c>
      <c r="F399" s="3" t="s">
        <v>89</v>
      </c>
      <c r="G399" s="3" t="s">
        <v>20</v>
      </c>
      <c r="H399" s="3" t="s">
        <v>13</v>
      </c>
      <c r="I399" s="3" t="s">
        <v>21</v>
      </c>
      <c r="J399" s="3" t="s">
        <v>89</v>
      </c>
      <c r="K399" s="3" t="s">
        <v>183</v>
      </c>
      <c r="L399" s="3">
        <v>67</v>
      </c>
      <c r="M399">
        <v>95996</v>
      </c>
      <c r="N399">
        <v>95955</v>
      </c>
      <c r="O399">
        <v>94649</v>
      </c>
      <c r="P399">
        <v>87220</v>
      </c>
      <c r="Q399">
        <v>0.92151000010565398</v>
      </c>
      <c r="R399">
        <v>75</v>
      </c>
      <c r="S399">
        <v>2.4943907592695398</v>
      </c>
      <c r="T399">
        <v>0.57774119897378695</v>
      </c>
    </row>
    <row r="400" spans="1:20" x14ac:dyDescent="0.2">
      <c r="A400" t="str">
        <f t="shared" si="6"/>
        <v>sample_16S-A-F07-L2_anaCS-Subj5-F07</v>
      </c>
      <c r="B400" t="s">
        <v>637</v>
      </c>
      <c r="C400" s="3" t="s">
        <v>9</v>
      </c>
      <c r="D400" s="3" t="s">
        <v>7</v>
      </c>
      <c r="E400" s="3" t="s">
        <v>3</v>
      </c>
      <c r="F400" s="3" t="s">
        <v>89</v>
      </c>
      <c r="G400" s="3" t="s">
        <v>22</v>
      </c>
      <c r="H400" s="3" t="s">
        <v>13</v>
      </c>
      <c r="I400" s="3" t="s">
        <v>19</v>
      </c>
      <c r="J400" s="3" t="s">
        <v>89</v>
      </c>
      <c r="K400" s="3" t="s">
        <v>183</v>
      </c>
      <c r="L400" s="3">
        <v>67</v>
      </c>
      <c r="M400">
        <v>68950</v>
      </c>
      <c r="N400">
        <v>69039</v>
      </c>
      <c r="O400">
        <v>66561</v>
      </c>
      <c r="P400">
        <v>59206</v>
      </c>
      <c r="Q400">
        <v>0.889499857273779</v>
      </c>
      <c r="R400">
        <v>63</v>
      </c>
      <c r="S400">
        <v>2.7447425339128202</v>
      </c>
      <c r="T400">
        <v>0.66247967183614898</v>
      </c>
    </row>
    <row r="401" spans="1:20" x14ac:dyDescent="0.2">
      <c r="A401" t="str">
        <f t="shared" si="6"/>
        <v>sample_16S-A-F07-L3_anaCS-Subj6-F07</v>
      </c>
      <c r="B401" t="s">
        <v>638</v>
      </c>
      <c r="C401" s="3" t="s">
        <v>9</v>
      </c>
      <c r="D401" s="3" t="s">
        <v>7</v>
      </c>
      <c r="E401" s="3" t="s">
        <v>3</v>
      </c>
      <c r="F401" s="3" t="s">
        <v>89</v>
      </c>
      <c r="G401" s="3" t="s">
        <v>23</v>
      </c>
      <c r="H401" s="3" t="s">
        <v>13</v>
      </c>
      <c r="I401" s="3" t="s">
        <v>21</v>
      </c>
      <c r="J401" s="3" t="s">
        <v>89</v>
      </c>
      <c r="K401" s="3" t="s">
        <v>183</v>
      </c>
      <c r="L401" s="3">
        <v>67</v>
      </c>
      <c r="M401">
        <v>82682</v>
      </c>
      <c r="N401">
        <v>82763</v>
      </c>
      <c r="O401">
        <v>81117</v>
      </c>
      <c r="P401">
        <v>73454</v>
      </c>
      <c r="Q401">
        <v>0.90553151620498795</v>
      </c>
      <c r="R401">
        <v>66</v>
      </c>
      <c r="S401">
        <v>2.3212501920556101</v>
      </c>
      <c r="T401">
        <v>0.554043312631742</v>
      </c>
    </row>
    <row r="402" spans="1:20" x14ac:dyDescent="0.2">
      <c r="A402" t="str">
        <f t="shared" si="6"/>
        <v>sample_HS-CS5_F07_Nimetazepam_S451</v>
      </c>
      <c r="B402" t="s">
        <v>639</v>
      </c>
      <c r="C402" s="3" t="s">
        <v>10</v>
      </c>
      <c r="D402" s="3" t="s">
        <v>8</v>
      </c>
      <c r="E402" s="3" t="s">
        <v>11</v>
      </c>
      <c r="F402" s="3" t="s">
        <v>11</v>
      </c>
      <c r="G402" s="3" t="s">
        <v>11</v>
      </c>
      <c r="H402" s="3" t="s">
        <v>13</v>
      </c>
      <c r="I402" s="3" t="s">
        <v>19</v>
      </c>
      <c r="J402" s="3" t="s">
        <v>89</v>
      </c>
      <c r="K402" s="3" t="s">
        <v>183</v>
      </c>
      <c r="L402" s="3">
        <v>67</v>
      </c>
      <c r="M402">
        <v>17818</v>
      </c>
      <c r="N402">
        <v>17830</v>
      </c>
      <c r="O402">
        <v>17418</v>
      </c>
      <c r="P402">
        <v>17322</v>
      </c>
      <c r="Q402">
        <v>0.99448846021357196</v>
      </c>
      <c r="R402">
        <v>45</v>
      </c>
      <c r="S402">
        <v>2.4210142453496299</v>
      </c>
      <c r="T402">
        <v>0.63599393217960398</v>
      </c>
    </row>
    <row r="403" spans="1:20" x14ac:dyDescent="0.2">
      <c r="A403" t="str">
        <f t="shared" si="6"/>
        <v>sample_HS-CS6_F07_Nimetazepam_S547</v>
      </c>
      <c r="B403" t="s">
        <v>640</v>
      </c>
      <c r="C403" s="3" t="s">
        <v>10</v>
      </c>
      <c r="D403" s="3" t="s">
        <v>8</v>
      </c>
      <c r="E403" s="3" t="s">
        <v>11</v>
      </c>
      <c r="F403" s="3" t="s">
        <v>11</v>
      </c>
      <c r="G403" s="3" t="s">
        <v>11</v>
      </c>
      <c r="H403" s="3" t="s">
        <v>13</v>
      </c>
      <c r="I403" s="3" t="s">
        <v>21</v>
      </c>
      <c r="J403" s="3" t="s">
        <v>89</v>
      </c>
      <c r="K403" s="3" t="s">
        <v>183</v>
      </c>
      <c r="L403" s="3">
        <v>67</v>
      </c>
      <c r="M403">
        <v>10685</v>
      </c>
      <c r="N403">
        <v>10702</v>
      </c>
      <c r="O403">
        <v>10426</v>
      </c>
      <c r="P403">
        <v>10146</v>
      </c>
      <c r="Q403">
        <v>0.97314406291962396</v>
      </c>
      <c r="R403">
        <v>30</v>
      </c>
      <c r="S403">
        <v>1.4042868042240699</v>
      </c>
      <c r="T403">
        <v>0.41288012621537401</v>
      </c>
    </row>
    <row r="404" spans="1:20" x14ac:dyDescent="0.2">
      <c r="A404" t="str">
        <f t="shared" si="6"/>
        <v>sample_HS-CS5_F08_Ethynylestradiol_S452</v>
      </c>
      <c r="B404" t="s">
        <v>641</v>
      </c>
      <c r="C404" s="3" t="s">
        <v>10</v>
      </c>
      <c r="D404" s="3" t="s">
        <v>8</v>
      </c>
      <c r="E404" s="3" t="s">
        <v>11</v>
      </c>
      <c r="F404" s="3" t="s">
        <v>11</v>
      </c>
      <c r="G404" s="3" t="s">
        <v>11</v>
      </c>
      <c r="H404" s="3" t="s">
        <v>13</v>
      </c>
      <c r="I404" s="3" t="s">
        <v>19</v>
      </c>
      <c r="J404" s="3" t="s">
        <v>90</v>
      </c>
      <c r="K404" s="3" t="s">
        <v>184</v>
      </c>
      <c r="L404" s="3">
        <v>68</v>
      </c>
      <c r="M404">
        <v>16069</v>
      </c>
      <c r="N404">
        <v>16110</v>
      </c>
      <c r="O404">
        <v>15758</v>
      </c>
      <c r="P404">
        <v>15683</v>
      </c>
      <c r="Q404">
        <v>0.99524051275542602</v>
      </c>
      <c r="R404">
        <v>40</v>
      </c>
      <c r="S404">
        <v>2.4166387117704899</v>
      </c>
      <c r="T404">
        <v>0.65511457932716999</v>
      </c>
    </row>
    <row r="405" spans="1:20" x14ac:dyDescent="0.2">
      <c r="A405" t="str">
        <f t="shared" si="6"/>
        <v>sample_HS-CS6_F08_Ethynylestradiol_S548</v>
      </c>
      <c r="B405" t="s">
        <v>642</v>
      </c>
      <c r="C405" s="3" t="s">
        <v>10</v>
      </c>
      <c r="D405" s="3" t="s">
        <v>8</v>
      </c>
      <c r="E405" s="3" t="s">
        <v>11</v>
      </c>
      <c r="F405" s="3" t="s">
        <v>11</v>
      </c>
      <c r="G405" s="3" t="s">
        <v>11</v>
      </c>
      <c r="H405" s="3" t="s">
        <v>13</v>
      </c>
      <c r="I405" s="3" t="s">
        <v>21</v>
      </c>
      <c r="J405" s="3" t="s">
        <v>90</v>
      </c>
      <c r="K405" s="3" t="s">
        <v>184</v>
      </c>
      <c r="L405" s="3">
        <v>68</v>
      </c>
      <c r="M405">
        <v>8292</v>
      </c>
      <c r="N405">
        <v>8330</v>
      </c>
      <c r="O405">
        <v>8052</v>
      </c>
      <c r="P405">
        <v>7848</v>
      </c>
      <c r="Q405">
        <v>0.97466467958271197</v>
      </c>
      <c r="R405" t="s">
        <v>11</v>
      </c>
      <c r="S405" t="s">
        <v>11</v>
      </c>
      <c r="T405" t="s">
        <v>11</v>
      </c>
    </row>
    <row r="406" spans="1:20" x14ac:dyDescent="0.2">
      <c r="A406" t="str">
        <f t="shared" si="6"/>
        <v>sample_16S-A-F08-L0_anaCS-Subj5-F08</v>
      </c>
      <c r="B406" t="s">
        <v>643</v>
      </c>
      <c r="C406" s="3" t="s">
        <v>9</v>
      </c>
      <c r="D406" s="3" t="s">
        <v>7</v>
      </c>
      <c r="E406" s="3" t="s">
        <v>3</v>
      </c>
      <c r="F406" s="3" t="s">
        <v>90</v>
      </c>
      <c r="G406" s="3" t="s">
        <v>18</v>
      </c>
      <c r="H406" s="3" t="s">
        <v>13</v>
      </c>
      <c r="I406" s="3" t="s">
        <v>19</v>
      </c>
      <c r="J406" s="3" t="s">
        <v>90</v>
      </c>
      <c r="K406" s="3" t="s">
        <v>184</v>
      </c>
      <c r="L406" s="3">
        <v>68</v>
      </c>
      <c r="M406">
        <v>72894</v>
      </c>
      <c r="N406">
        <v>72951</v>
      </c>
      <c r="O406">
        <v>71325</v>
      </c>
      <c r="P406">
        <v>66644</v>
      </c>
      <c r="Q406">
        <v>0.93437083771468599</v>
      </c>
      <c r="R406">
        <v>64</v>
      </c>
      <c r="S406">
        <v>2.8219385691340402</v>
      </c>
      <c r="T406">
        <v>0.67853279656382803</v>
      </c>
    </row>
    <row r="407" spans="1:20" x14ac:dyDescent="0.2">
      <c r="A407" t="str">
        <f t="shared" si="6"/>
        <v>sample_16S-A-F08-L1_anaCS-Subj6-F08</v>
      </c>
      <c r="B407" t="s">
        <v>644</v>
      </c>
      <c r="C407" s="3" t="s">
        <v>9</v>
      </c>
      <c r="D407" s="3" t="s">
        <v>7</v>
      </c>
      <c r="E407" s="3" t="s">
        <v>3</v>
      </c>
      <c r="F407" s="3" t="s">
        <v>90</v>
      </c>
      <c r="G407" s="3" t="s">
        <v>20</v>
      </c>
      <c r="H407" s="3" t="s">
        <v>13</v>
      </c>
      <c r="I407" s="3" t="s">
        <v>21</v>
      </c>
      <c r="J407" s="3" t="s">
        <v>90</v>
      </c>
      <c r="K407" s="3" t="s">
        <v>184</v>
      </c>
      <c r="L407" s="3">
        <v>68</v>
      </c>
      <c r="M407">
        <v>81503</v>
      </c>
      <c r="N407">
        <v>81555</v>
      </c>
      <c r="O407">
        <v>80168</v>
      </c>
      <c r="P407">
        <v>74302</v>
      </c>
      <c r="Q407">
        <v>0.92682865981439</v>
      </c>
      <c r="R407">
        <v>70</v>
      </c>
      <c r="S407">
        <v>2.6142920030981101</v>
      </c>
      <c r="T407">
        <v>0.61534539976018598</v>
      </c>
    </row>
    <row r="408" spans="1:20" x14ac:dyDescent="0.2">
      <c r="A408" t="str">
        <f t="shared" si="6"/>
        <v>sample_16S-A-F08-L2_anaCS-Subj5-F08</v>
      </c>
      <c r="B408" t="s">
        <v>645</v>
      </c>
      <c r="C408" s="3" t="s">
        <v>9</v>
      </c>
      <c r="D408" s="3" t="s">
        <v>7</v>
      </c>
      <c r="E408" s="3" t="s">
        <v>3</v>
      </c>
      <c r="F408" s="3" t="s">
        <v>90</v>
      </c>
      <c r="G408" s="3" t="s">
        <v>22</v>
      </c>
      <c r="H408" s="3" t="s">
        <v>13</v>
      </c>
      <c r="I408" s="3" t="s">
        <v>19</v>
      </c>
      <c r="J408" s="3" t="s">
        <v>90</v>
      </c>
      <c r="K408" s="3" t="s">
        <v>184</v>
      </c>
      <c r="L408" s="3">
        <v>68</v>
      </c>
      <c r="M408">
        <v>76214</v>
      </c>
      <c r="N408">
        <v>76250</v>
      </c>
      <c r="O408">
        <v>73561</v>
      </c>
      <c r="P408">
        <v>64504</v>
      </c>
      <c r="Q408">
        <v>0.87687769334293997</v>
      </c>
      <c r="R408">
        <v>63</v>
      </c>
      <c r="S408">
        <v>2.7905483212296001</v>
      </c>
      <c r="T408">
        <v>0.67353550041565502</v>
      </c>
    </row>
    <row r="409" spans="1:20" x14ac:dyDescent="0.2">
      <c r="A409" t="str">
        <f t="shared" si="6"/>
        <v>sample_16S-A-F08-L3_anaCS-Subj6-F08</v>
      </c>
      <c r="B409" t="s">
        <v>646</v>
      </c>
      <c r="C409" s="3" t="s">
        <v>9</v>
      </c>
      <c r="D409" s="3" t="s">
        <v>7</v>
      </c>
      <c r="E409" s="3" t="s">
        <v>3</v>
      </c>
      <c r="F409" s="3" t="s">
        <v>90</v>
      </c>
      <c r="G409" s="3" t="s">
        <v>23</v>
      </c>
      <c r="H409" s="3" t="s">
        <v>13</v>
      </c>
      <c r="I409" s="3" t="s">
        <v>21</v>
      </c>
      <c r="J409" s="3" t="s">
        <v>90</v>
      </c>
      <c r="K409" s="3" t="s">
        <v>184</v>
      </c>
      <c r="L409" s="3">
        <v>68</v>
      </c>
      <c r="M409">
        <v>112933</v>
      </c>
      <c r="N409">
        <v>112898</v>
      </c>
      <c r="O409">
        <v>110574</v>
      </c>
      <c r="P409">
        <v>98559</v>
      </c>
      <c r="Q409">
        <v>0.89133973628520302</v>
      </c>
      <c r="R409">
        <v>74</v>
      </c>
      <c r="S409">
        <v>2.55902450466409</v>
      </c>
      <c r="T409">
        <v>0.59455989843290702</v>
      </c>
    </row>
    <row r="410" spans="1:20" x14ac:dyDescent="0.2">
      <c r="A410" t="str">
        <f t="shared" si="6"/>
        <v>sample_HS-CS5_F09_Halometasone-monohydrate_S453</v>
      </c>
      <c r="B410" t="s">
        <v>647</v>
      </c>
      <c r="C410" s="3" t="s">
        <v>10</v>
      </c>
      <c r="D410" s="3" t="s">
        <v>8</v>
      </c>
      <c r="E410" s="3" t="s">
        <v>11</v>
      </c>
      <c r="F410" s="3" t="s">
        <v>11</v>
      </c>
      <c r="G410" s="3" t="s">
        <v>11</v>
      </c>
      <c r="H410" s="3" t="s">
        <v>13</v>
      </c>
      <c r="I410" s="3" t="s">
        <v>19</v>
      </c>
      <c r="J410" s="3" t="s">
        <v>91</v>
      </c>
      <c r="K410" s="3" t="s">
        <v>185</v>
      </c>
      <c r="L410" s="3">
        <v>69</v>
      </c>
      <c r="M410">
        <v>17355</v>
      </c>
      <c r="N410">
        <v>17391</v>
      </c>
      <c r="O410">
        <v>16992</v>
      </c>
      <c r="P410">
        <v>16690</v>
      </c>
      <c r="Q410">
        <v>0.98222693032015096</v>
      </c>
      <c r="R410">
        <v>44</v>
      </c>
      <c r="S410">
        <v>2.34863021363096</v>
      </c>
      <c r="T410">
        <v>0.62064284320738905</v>
      </c>
    </row>
    <row r="411" spans="1:20" x14ac:dyDescent="0.2">
      <c r="A411" t="str">
        <f t="shared" si="6"/>
        <v>sample_HS-CS6_F09_Halometasone-monohydrate_S549</v>
      </c>
      <c r="B411" t="s">
        <v>648</v>
      </c>
      <c r="C411" s="3" t="s">
        <v>10</v>
      </c>
      <c r="D411" s="3" t="s">
        <v>8</v>
      </c>
      <c r="E411" s="3" t="s">
        <v>11</v>
      </c>
      <c r="F411" s="3" t="s">
        <v>11</v>
      </c>
      <c r="G411" s="3" t="s">
        <v>11</v>
      </c>
      <c r="H411" s="3" t="s">
        <v>13</v>
      </c>
      <c r="I411" s="3" t="s">
        <v>21</v>
      </c>
      <c r="J411" s="3" t="s">
        <v>91</v>
      </c>
      <c r="K411" s="3" t="s">
        <v>185</v>
      </c>
      <c r="L411" s="3">
        <v>69</v>
      </c>
      <c r="M411">
        <v>11188</v>
      </c>
      <c r="N411">
        <v>11222</v>
      </c>
      <c r="O411">
        <v>10896</v>
      </c>
      <c r="P411">
        <v>10636</v>
      </c>
      <c r="Q411">
        <v>0.97613803230543295</v>
      </c>
      <c r="R411">
        <v>30</v>
      </c>
      <c r="S411">
        <v>1.54951167439353</v>
      </c>
      <c r="T411">
        <v>0.45557828626702201</v>
      </c>
    </row>
    <row r="412" spans="1:20" x14ac:dyDescent="0.2">
      <c r="A412" t="str">
        <f t="shared" si="6"/>
        <v>sample_16S-A-F09-L0_anaCS-Subj5-F09</v>
      </c>
      <c r="B412" t="s">
        <v>649</v>
      </c>
      <c r="C412" s="3" t="s">
        <v>9</v>
      </c>
      <c r="D412" s="3" t="s">
        <v>7</v>
      </c>
      <c r="E412" s="3" t="s">
        <v>3</v>
      </c>
      <c r="F412" s="3" t="s">
        <v>91</v>
      </c>
      <c r="G412" s="3" t="s">
        <v>18</v>
      </c>
      <c r="H412" s="3" t="s">
        <v>13</v>
      </c>
      <c r="I412" s="3" t="s">
        <v>19</v>
      </c>
      <c r="J412" s="3" t="s">
        <v>91</v>
      </c>
      <c r="K412" s="3" t="s">
        <v>185</v>
      </c>
      <c r="L412" s="3">
        <v>69</v>
      </c>
      <c r="M412">
        <v>68896</v>
      </c>
      <c r="N412">
        <v>69065</v>
      </c>
      <c r="O412">
        <v>67128</v>
      </c>
      <c r="P412">
        <v>62678</v>
      </c>
      <c r="Q412">
        <v>0.93370873554999401</v>
      </c>
      <c r="R412">
        <v>67</v>
      </c>
      <c r="S412">
        <v>2.7843964223453002</v>
      </c>
      <c r="T412">
        <v>0.66221164646004604</v>
      </c>
    </row>
    <row r="413" spans="1:20" x14ac:dyDescent="0.2">
      <c r="A413" t="str">
        <f t="shared" si="6"/>
        <v>sample_16S-A-F09-L1_anaCS-Subj6-F09</v>
      </c>
      <c r="B413" t="s">
        <v>650</v>
      </c>
      <c r="C413" s="3" t="s">
        <v>9</v>
      </c>
      <c r="D413" s="3" t="s">
        <v>7</v>
      </c>
      <c r="E413" s="3" t="s">
        <v>3</v>
      </c>
      <c r="F413" s="3" t="s">
        <v>91</v>
      </c>
      <c r="G413" s="3" t="s">
        <v>20</v>
      </c>
      <c r="H413" s="3" t="s">
        <v>13</v>
      </c>
      <c r="I413" s="3" t="s">
        <v>21</v>
      </c>
      <c r="J413" s="3" t="s">
        <v>91</v>
      </c>
      <c r="K413" s="3" t="s">
        <v>185</v>
      </c>
      <c r="L413" s="3">
        <v>69</v>
      </c>
      <c r="M413">
        <v>76766</v>
      </c>
      <c r="N413">
        <v>76791</v>
      </c>
      <c r="O413">
        <v>75523</v>
      </c>
      <c r="P413">
        <v>69779</v>
      </c>
      <c r="Q413">
        <v>0.92394369927042097</v>
      </c>
      <c r="R413">
        <v>68</v>
      </c>
      <c r="S413">
        <v>2.6392859647245399</v>
      </c>
      <c r="T413">
        <v>0.62549618323647305</v>
      </c>
    </row>
    <row r="414" spans="1:20" x14ac:dyDescent="0.2">
      <c r="A414" t="str">
        <f t="shared" si="6"/>
        <v>sample_16S-A-F09-L2_anaCS-Subj5-F09</v>
      </c>
      <c r="B414" t="s">
        <v>651</v>
      </c>
      <c r="C414" s="3" t="s">
        <v>9</v>
      </c>
      <c r="D414" s="3" t="s">
        <v>7</v>
      </c>
      <c r="E414" s="3" t="s">
        <v>3</v>
      </c>
      <c r="F414" s="3" t="s">
        <v>91</v>
      </c>
      <c r="G414" s="3" t="s">
        <v>22</v>
      </c>
      <c r="H414" s="3" t="s">
        <v>13</v>
      </c>
      <c r="I414" s="3" t="s">
        <v>19</v>
      </c>
      <c r="J414" s="3" t="s">
        <v>91</v>
      </c>
      <c r="K414" s="3" t="s">
        <v>185</v>
      </c>
      <c r="L414" s="3">
        <v>69</v>
      </c>
      <c r="M414">
        <v>52756</v>
      </c>
      <c r="N414">
        <v>52784</v>
      </c>
      <c r="O414">
        <v>50675</v>
      </c>
      <c r="P414">
        <v>45570</v>
      </c>
      <c r="Q414">
        <v>0.89925999013320201</v>
      </c>
      <c r="R414">
        <v>60</v>
      </c>
      <c r="S414">
        <v>2.7248074324681602</v>
      </c>
      <c r="T414">
        <v>0.66550515987578196</v>
      </c>
    </row>
    <row r="415" spans="1:20" x14ac:dyDescent="0.2">
      <c r="A415" t="str">
        <f t="shared" si="6"/>
        <v>sample_16S-A-F09-L3_anaCS-Subj6-F09</v>
      </c>
      <c r="B415" t="s">
        <v>652</v>
      </c>
      <c r="C415" s="3" t="s">
        <v>9</v>
      </c>
      <c r="D415" s="3" t="s">
        <v>7</v>
      </c>
      <c r="E415" s="3" t="s">
        <v>3</v>
      </c>
      <c r="F415" s="3" t="s">
        <v>91</v>
      </c>
      <c r="G415" s="3" t="s">
        <v>23</v>
      </c>
      <c r="H415" s="3" t="s">
        <v>13</v>
      </c>
      <c r="I415" s="3" t="s">
        <v>21</v>
      </c>
      <c r="J415" s="3" t="s">
        <v>91</v>
      </c>
      <c r="K415" s="3" t="s">
        <v>185</v>
      </c>
      <c r="L415" s="3">
        <v>69</v>
      </c>
      <c r="M415">
        <v>65188</v>
      </c>
      <c r="N415">
        <v>65214</v>
      </c>
      <c r="O415">
        <v>63511</v>
      </c>
      <c r="P415">
        <v>58017</v>
      </c>
      <c r="Q415">
        <v>0.91349530002676704</v>
      </c>
      <c r="R415">
        <v>68</v>
      </c>
      <c r="S415">
        <v>2.4731779029913099</v>
      </c>
      <c r="T415">
        <v>0.58612949087815103</v>
      </c>
    </row>
    <row r="416" spans="1:20" x14ac:dyDescent="0.2">
      <c r="A416" t="str">
        <f t="shared" si="6"/>
        <v>sample_16S-A-F10-L0_anaCS-Subj5-F10</v>
      </c>
      <c r="B416" t="s">
        <v>653</v>
      </c>
      <c r="C416" s="3" t="s">
        <v>9</v>
      </c>
      <c r="D416" s="3" t="s">
        <v>7</v>
      </c>
      <c r="E416" s="3" t="s">
        <v>3</v>
      </c>
      <c r="F416" s="3" t="s">
        <v>92</v>
      </c>
      <c r="G416" s="3" t="s">
        <v>18</v>
      </c>
      <c r="H416" s="3" t="s">
        <v>13</v>
      </c>
      <c r="I416" s="3" t="s">
        <v>19</v>
      </c>
      <c r="J416" s="3" t="s">
        <v>92</v>
      </c>
      <c r="K416" s="3" t="s">
        <v>186</v>
      </c>
      <c r="L416" s="3">
        <v>70</v>
      </c>
      <c r="M416">
        <v>83164</v>
      </c>
      <c r="N416">
        <v>83246</v>
      </c>
      <c r="O416">
        <v>81537</v>
      </c>
      <c r="P416">
        <v>76725</v>
      </c>
      <c r="Q416">
        <v>0.94098384782368705</v>
      </c>
      <c r="R416">
        <v>66</v>
      </c>
      <c r="S416">
        <v>2.7264015833786899</v>
      </c>
      <c r="T416">
        <v>0.65074612378680297</v>
      </c>
    </row>
    <row r="417" spans="1:20" x14ac:dyDescent="0.2">
      <c r="A417" t="str">
        <f t="shared" si="6"/>
        <v>sample_16S-A-F10-L1_anaCS-Subj6-F10</v>
      </c>
      <c r="B417" t="s">
        <v>654</v>
      </c>
      <c r="C417" s="3" t="s">
        <v>9</v>
      </c>
      <c r="D417" s="3" t="s">
        <v>7</v>
      </c>
      <c r="E417" s="3" t="s">
        <v>3</v>
      </c>
      <c r="F417" s="3" t="s">
        <v>92</v>
      </c>
      <c r="G417" s="3" t="s">
        <v>20</v>
      </c>
      <c r="H417" s="3" t="s">
        <v>13</v>
      </c>
      <c r="I417" s="3" t="s">
        <v>21</v>
      </c>
      <c r="J417" s="3" t="s">
        <v>92</v>
      </c>
      <c r="K417" s="3" t="s">
        <v>186</v>
      </c>
      <c r="L417" s="3">
        <v>70</v>
      </c>
      <c r="M417">
        <v>76352</v>
      </c>
      <c r="N417">
        <v>76359</v>
      </c>
      <c r="O417">
        <v>75033</v>
      </c>
      <c r="P417">
        <v>69527</v>
      </c>
      <c r="Q417">
        <v>0.926618954326763</v>
      </c>
      <c r="R417">
        <v>68</v>
      </c>
      <c r="S417">
        <v>2.5789512627068301</v>
      </c>
      <c r="T417">
        <v>0.61119719239834702</v>
      </c>
    </row>
    <row r="418" spans="1:20" x14ac:dyDescent="0.2">
      <c r="A418" t="str">
        <f t="shared" si="6"/>
        <v>sample_16S-A-F10-L2_anaCS-Subj5-F10</v>
      </c>
      <c r="B418" t="s">
        <v>655</v>
      </c>
      <c r="C418" s="3" t="s">
        <v>9</v>
      </c>
      <c r="D418" s="3" t="s">
        <v>7</v>
      </c>
      <c r="E418" s="3" t="s">
        <v>3</v>
      </c>
      <c r="F418" s="3" t="s">
        <v>92</v>
      </c>
      <c r="G418" s="3" t="s">
        <v>22</v>
      </c>
      <c r="H418" s="3" t="s">
        <v>13</v>
      </c>
      <c r="I418" s="3" t="s">
        <v>19</v>
      </c>
      <c r="J418" s="3" t="s">
        <v>92</v>
      </c>
      <c r="K418" s="3" t="s">
        <v>186</v>
      </c>
      <c r="L418" s="3">
        <v>70</v>
      </c>
      <c r="M418">
        <v>102044</v>
      </c>
      <c r="N418">
        <v>102096</v>
      </c>
      <c r="O418">
        <v>99129</v>
      </c>
      <c r="P418">
        <v>88024</v>
      </c>
      <c r="Q418">
        <v>0.88797425576773703</v>
      </c>
      <c r="R418">
        <v>64</v>
      </c>
      <c r="S418">
        <v>2.6887785936713802</v>
      </c>
      <c r="T418">
        <v>0.64651459052301596</v>
      </c>
    </row>
    <row r="419" spans="1:20" x14ac:dyDescent="0.2">
      <c r="A419" t="str">
        <f t="shared" si="6"/>
        <v>sample_16S-A-F10-L3_anaCS-Subj6-F10</v>
      </c>
      <c r="B419" t="s">
        <v>656</v>
      </c>
      <c r="C419" s="3" t="s">
        <v>9</v>
      </c>
      <c r="D419" s="3" t="s">
        <v>7</v>
      </c>
      <c r="E419" s="3" t="s">
        <v>3</v>
      </c>
      <c r="F419" s="3" t="s">
        <v>92</v>
      </c>
      <c r="G419" s="3" t="s">
        <v>23</v>
      </c>
      <c r="H419" s="3" t="s">
        <v>13</v>
      </c>
      <c r="I419" s="3" t="s">
        <v>21</v>
      </c>
      <c r="J419" s="3" t="s">
        <v>92</v>
      </c>
      <c r="K419" s="3" t="s">
        <v>186</v>
      </c>
      <c r="L419" s="3">
        <v>70</v>
      </c>
      <c r="M419">
        <v>119395</v>
      </c>
      <c r="N419">
        <v>119086</v>
      </c>
      <c r="O419">
        <v>116660</v>
      </c>
      <c r="P419">
        <v>104306</v>
      </c>
      <c r="Q419">
        <v>0.89410252014400804</v>
      </c>
      <c r="R419">
        <v>72</v>
      </c>
      <c r="S419">
        <v>2.48247954304777</v>
      </c>
      <c r="T419">
        <v>0.58047073911369995</v>
      </c>
    </row>
    <row r="420" spans="1:20" x14ac:dyDescent="0.2">
      <c r="A420" t="str">
        <f t="shared" si="6"/>
        <v>sample_HS-CS5_F10_Prednisolone_S454</v>
      </c>
      <c r="B420" t="s">
        <v>657</v>
      </c>
      <c r="C420" s="3" t="s">
        <v>10</v>
      </c>
      <c r="D420" s="3" t="s">
        <v>8</v>
      </c>
      <c r="E420" s="3" t="s">
        <v>11</v>
      </c>
      <c r="F420" s="3" t="s">
        <v>11</v>
      </c>
      <c r="G420" s="3" t="s">
        <v>11</v>
      </c>
      <c r="H420" s="3" t="s">
        <v>13</v>
      </c>
      <c r="I420" s="3" t="s">
        <v>19</v>
      </c>
      <c r="J420" s="3" t="s">
        <v>92</v>
      </c>
      <c r="K420" s="3" t="s">
        <v>186</v>
      </c>
      <c r="L420" s="3">
        <v>70</v>
      </c>
      <c r="M420">
        <v>20553</v>
      </c>
      <c r="N420">
        <v>20600</v>
      </c>
      <c r="O420">
        <v>20139</v>
      </c>
      <c r="P420">
        <v>19836</v>
      </c>
      <c r="Q420">
        <v>0.98495456576791296</v>
      </c>
      <c r="R420">
        <v>43</v>
      </c>
      <c r="S420">
        <v>2.32611105004692</v>
      </c>
      <c r="T420">
        <v>0.61844915944281897</v>
      </c>
    </row>
    <row r="421" spans="1:20" x14ac:dyDescent="0.2">
      <c r="A421" t="str">
        <f t="shared" si="6"/>
        <v>sample_HS-CS6_F10_Prednisolone_S550</v>
      </c>
      <c r="B421" t="s">
        <v>658</v>
      </c>
      <c r="C421" s="3" t="s">
        <v>10</v>
      </c>
      <c r="D421" s="3" t="s">
        <v>8</v>
      </c>
      <c r="E421" s="3" t="s">
        <v>11</v>
      </c>
      <c r="F421" s="3" t="s">
        <v>11</v>
      </c>
      <c r="G421" s="3" t="s">
        <v>11</v>
      </c>
      <c r="H421" s="3" t="s">
        <v>13</v>
      </c>
      <c r="I421" s="3" t="s">
        <v>21</v>
      </c>
      <c r="J421" s="3" t="s">
        <v>92</v>
      </c>
      <c r="K421" s="3" t="s">
        <v>186</v>
      </c>
      <c r="L421" s="3">
        <v>70</v>
      </c>
      <c r="M421">
        <v>12212</v>
      </c>
      <c r="N421">
        <v>12245</v>
      </c>
      <c r="O421">
        <v>11793</v>
      </c>
      <c r="P421">
        <v>11501</v>
      </c>
      <c r="Q421">
        <v>0.97523954888493203</v>
      </c>
      <c r="R421">
        <v>28</v>
      </c>
      <c r="S421">
        <v>1.3557358045955801</v>
      </c>
      <c r="T421">
        <v>0.40685852277544998</v>
      </c>
    </row>
    <row r="422" spans="1:20" x14ac:dyDescent="0.2">
      <c r="A422" t="str">
        <f t="shared" si="6"/>
        <v>sample_HS-CS5_F11_Azathioprine_S455</v>
      </c>
      <c r="B422" t="s">
        <v>659</v>
      </c>
      <c r="C422" s="3" t="s">
        <v>10</v>
      </c>
      <c r="D422" s="3" t="s">
        <v>8</v>
      </c>
      <c r="E422" s="3" t="s">
        <v>11</v>
      </c>
      <c r="F422" s="3" t="s">
        <v>11</v>
      </c>
      <c r="G422" s="3" t="s">
        <v>11</v>
      </c>
      <c r="H422" s="3" t="s">
        <v>13</v>
      </c>
      <c r="I422" s="3" t="s">
        <v>19</v>
      </c>
      <c r="J422" s="3" t="s">
        <v>93</v>
      </c>
      <c r="K422" s="3" t="s">
        <v>187</v>
      </c>
      <c r="L422" s="3">
        <v>71</v>
      </c>
      <c r="M422">
        <v>25369</v>
      </c>
      <c r="N422">
        <v>25440</v>
      </c>
      <c r="O422">
        <v>24824</v>
      </c>
      <c r="P422">
        <v>24271</v>
      </c>
      <c r="Q422">
        <v>0.97772317112471796</v>
      </c>
      <c r="R422">
        <v>45</v>
      </c>
      <c r="S422">
        <v>2.3150449059245601</v>
      </c>
      <c r="T422">
        <v>0.60815607166272201</v>
      </c>
    </row>
    <row r="423" spans="1:20" x14ac:dyDescent="0.2">
      <c r="A423" t="str">
        <f t="shared" si="6"/>
        <v>sample_HS-CS6_F11_Azathioprine_S551</v>
      </c>
      <c r="B423" t="s">
        <v>660</v>
      </c>
      <c r="C423" s="3" t="s">
        <v>10</v>
      </c>
      <c r="D423" s="3" t="s">
        <v>8</v>
      </c>
      <c r="E423" s="3" t="s">
        <v>11</v>
      </c>
      <c r="F423" s="3" t="s">
        <v>11</v>
      </c>
      <c r="G423" s="3" t="s">
        <v>11</v>
      </c>
      <c r="H423" s="3" t="s">
        <v>13</v>
      </c>
      <c r="I423" s="3" t="s">
        <v>21</v>
      </c>
      <c r="J423" s="3" t="s">
        <v>93</v>
      </c>
      <c r="K423" s="3" t="s">
        <v>187</v>
      </c>
      <c r="L423" s="3">
        <v>71</v>
      </c>
      <c r="M423">
        <v>11503</v>
      </c>
      <c r="N423">
        <v>11534</v>
      </c>
      <c r="O423">
        <v>11093</v>
      </c>
      <c r="P423">
        <v>10794</v>
      </c>
      <c r="Q423">
        <v>0.97304606508609004</v>
      </c>
      <c r="R423">
        <v>29</v>
      </c>
      <c r="S423">
        <v>1.58808797347221</v>
      </c>
      <c r="T423">
        <v>0.471621162396826</v>
      </c>
    </row>
    <row r="424" spans="1:20" x14ac:dyDescent="0.2">
      <c r="A424" t="str">
        <f t="shared" si="6"/>
        <v>sample_16S-A-F11-L0_anaCS-Subj5-F11</v>
      </c>
      <c r="B424" t="s">
        <v>661</v>
      </c>
      <c r="C424" s="3" t="s">
        <v>9</v>
      </c>
      <c r="D424" s="3" t="s">
        <v>7</v>
      </c>
      <c r="E424" s="3" t="s">
        <v>3</v>
      </c>
      <c r="F424" s="3" t="s">
        <v>93</v>
      </c>
      <c r="G424" s="3" t="s">
        <v>18</v>
      </c>
      <c r="H424" s="3" t="s">
        <v>13</v>
      </c>
      <c r="I424" s="3" t="s">
        <v>19</v>
      </c>
      <c r="J424" s="3" t="s">
        <v>93</v>
      </c>
      <c r="K424" s="3" t="s">
        <v>187</v>
      </c>
      <c r="L424" s="3">
        <v>71</v>
      </c>
      <c r="M424">
        <v>29313</v>
      </c>
      <c r="N424">
        <v>29327</v>
      </c>
      <c r="O424">
        <v>28573</v>
      </c>
      <c r="P424">
        <v>27479</v>
      </c>
      <c r="Q424">
        <v>0.96171210583417899</v>
      </c>
      <c r="R424">
        <v>53</v>
      </c>
      <c r="S424">
        <v>2.6518157696617202</v>
      </c>
      <c r="T424">
        <v>0.66791455827468404</v>
      </c>
    </row>
    <row r="425" spans="1:20" x14ac:dyDescent="0.2">
      <c r="A425" t="str">
        <f t="shared" si="6"/>
        <v>sample_16S-A-F11-L1_anaCS-Subj6-F11</v>
      </c>
      <c r="B425" t="s">
        <v>662</v>
      </c>
      <c r="C425" s="3" t="s">
        <v>9</v>
      </c>
      <c r="D425" s="3" t="s">
        <v>7</v>
      </c>
      <c r="E425" s="3" t="s">
        <v>3</v>
      </c>
      <c r="F425" s="3" t="s">
        <v>93</v>
      </c>
      <c r="G425" s="3" t="s">
        <v>20</v>
      </c>
      <c r="H425" s="3" t="s">
        <v>13</v>
      </c>
      <c r="I425" s="3" t="s">
        <v>21</v>
      </c>
      <c r="J425" s="3" t="s">
        <v>93</v>
      </c>
      <c r="K425" s="3" t="s">
        <v>187</v>
      </c>
      <c r="L425" s="3">
        <v>71</v>
      </c>
      <c r="M425">
        <v>48043</v>
      </c>
      <c r="N425">
        <v>48122</v>
      </c>
      <c r="O425">
        <v>47073</v>
      </c>
      <c r="P425">
        <v>44212</v>
      </c>
      <c r="Q425">
        <v>0.939222059354619</v>
      </c>
      <c r="R425">
        <v>60</v>
      </c>
      <c r="S425">
        <v>2.5898431660110499</v>
      </c>
      <c r="T425">
        <v>0.63254157696133895</v>
      </c>
    </row>
    <row r="426" spans="1:20" x14ac:dyDescent="0.2">
      <c r="A426" t="str">
        <f t="shared" si="6"/>
        <v>sample_16S-A-F11-L2_anaCS-Subj5-F11</v>
      </c>
      <c r="B426" t="s">
        <v>663</v>
      </c>
      <c r="C426" s="3" t="s">
        <v>9</v>
      </c>
      <c r="D426" s="3" t="s">
        <v>7</v>
      </c>
      <c r="E426" s="3" t="s">
        <v>3</v>
      </c>
      <c r="F426" s="3" t="s">
        <v>93</v>
      </c>
      <c r="G426" s="3" t="s">
        <v>22</v>
      </c>
      <c r="H426" s="3" t="s">
        <v>13</v>
      </c>
      <c r="I426" s="3" t="s">
        <v>19</v>
      </c>
      <c r="J426" s="3" t="s">
        <v>93</v>
      </c>
      <c r="K426" s="3" t="s">
        <v>187</v>
      </c>
      <c r="L426" s="3">
        <v>71</v>
      </c>
      <c r="M426">
        <v>35056</v>
      </c>
      <c r="N426">
        <v>34996</v>
      </c>
      <c r="O426">
        <v>33560</v>
      </c>
      <c r="P426">
        <v>30521</v>
      </c>
      <c r="Q426">
        <v>0.90944576877234795</v>
      </c>
      <c r="R426">
        <v>58</v>
      </c>
      <c r="S426">
        <v>2.6279165050817102</v>
      </c>
      <c r="T426">
        <v>0.64719945539343104</v>
      </c>
    </row>
    <row r="427" spans="1:20" x14ac:dyDescent="0.2">
      <c r="A427" t="str">
        <f t="shared" si="6"/>
        <v>sample_16S-A-F11-L3_anaCS-Subj6-F11</v>
      </c>
      <c r="B427" t="s">
        <v>664</v>
      </c>
      <c r="C427" s="3" t="s">
        <v>9</v>
      </c>
      <c r="D427" s="3" t="s">
        <v>7</v>
      </c>
      <c r="E427" s="3" t="s">
        <v>3</v>
      </c>
      <c r="F427" s="3" t="s">
        <v>93</v>
      </c>
      <c r="G427" s="3" t="s">
        <v>23</v>
      </c>
      <c r="H427" s="3" t="s">
        <v>13</v>
      </c>
      <c r="I427" s="3" t="s">
        <v>21</v>
      </c>
      <c r="J427" s="3" t="s">
        <v>93</v>
      </c>
      <c r="K427" s="3" t="s">
        <v>187</v>
      </c>
      <c r="L427" s="3">
        <v>71</v>
      </c>
      <c r="M427">
        <v>39697</v>
      </c>
      <c r="N427">
        <v>39756</v>
      </c>
      <c r="O427">
        <v>38712</v>
      </c>
      <c r="P427">
        <v>35453</v>
      </c>
      <c r="Q427">
        <v>0.91581421781359795</v>
      </c>
      <c r="R427">
        <v>53</v>
      </c>
      <c r="S427">
        <v>2.4317357922954401</v>
      </c>
      <c r="T427">
        <v>0.61248287159818005</v>
      </c>
    </row>
    <row r="428" spans="1:20" x14ac:dyDescent="0.2">
      <c r="A428" t="str">
        <f t="shared" si="6"/>
        <v>sample_HS-CS5_F12_Miglitol_S456</v>
      </c>
      <c r="B428" t="s">
        <v>665</v>
      </c>
      <c r="C428" s="3" t="s">
        <v>10</v>
      </c>
      <c r="D428" s="3" t="s">
        <v>8</v>
      </c>
      <c r="E428" s="3" t="s">
        <v>11</v>
      </c>
      <c r="F428" s="3" t="s">
        <v>11</v>
      </c>
      <c r="G428" s="3" t="s">
        <v>11</v>
      </c>
      <c r="H428" s="3" t="s">
        <v>13</v>
      </c>
      <c r="I428" s="3" t="s">
        <v>19</v>
      </c>
      <c r="J428" s="3" t="s">
        <v>94</v>
      </c>
      <c r="K428" s="3" t="s">
        <v>188</v>
      </c>
      <c r="L428" s="3">
        <v>72</v>
      </c>
      <c r="M428">
        <v>29008</v>
      </c>
      <c r="N428">
        <v>29032</v>
      </c>
      <c r="O428">
        <v>28319</v>
      </c>
      <c r="P428">
        <v>27472</v>
      </c>
      <c r="Q428">
        <v>0.97009075179208304</v>
      </c>
      <c r="R428">
        <v>46</v>
      </c>
      <c r="S428">
        <v>2.3544726452299001</v>
      </c>
      <c r="T428">
        <v>0.61496295980839899</v>
      </c>
    </row>
    <row r="429" spans="1:20" x14ac:dyDescent="0.2">
      <c r="A429" t="str">
        <f t="shared" si="6"/>
        <v>sample_HS-CS6_F12_Miglitol_S552</v>
      </c>
      <c r="B429" t="s">
        <v>666</v>
      </c>
      <c r="C429" s="3" t="s">
        <v>10</v>
      </c>
      <c r="D429" s="3" t="s">
        <v>8</v>
      </c>
      <c r="E429" s="3" t="s">
        <v>11</v>
      </c>
      <c r="F429" s="3" t="s">
        <v>11</v>
      </c>
      <c r="G429" s="3" t="s">
        <v>11</v>
      </c>
      <c r="H429" s="3" t="s">
        <v>13</v>
      </c>
      <c r="I429" s="3" t="s">
        <v>21</v>
      </c>
      <c r="J429" s="3" t="s">
        <v>94</v>
      </c>
      <c r="K429" s="3" t="s">
        <v>188</v>
      </c>
      <c r="L429" s="3">
        <v>72</v>
      </c>
      <c r="M429">
        <v>11695</v>
      </c>
      <c r="N429">
        <v>11719</v>
      </c>
      <c r="O429">
        <v>11442</v>
      </c>
      <c r="P429">
        <v>11253</v>
      </c>
      <c r="Q429">
        <v>0.98348190875720998</v>
      </c>
      <c r="R429">
        <v>31</v>
      </c>
      <c r="S429">
        <v>1.5349286679746399</v>
      </c>
      <c r="T429">
        <v>0.44698147563562801</v>
      </c>
    </row>
    <row r="430" spans="1:20" x14ac:dyDescent="0.2">
      <c r="A430" t="str">
        <f t="shared" si="6"/>
        <v>sample_16S-A-F12-L0_anaCS-Subj5-F12</v>
      </c>
      <c r="B430" t="s">
        <v>667</v>
      </c>
      <c r="C430" s="3" t="s">
        <v>9</v>
      </c>
      <c r="D430" s="3" t="s">
        <v>7</v>
      </c>
      <c r="E430" s="3" t="s">
        <v>3</v>
      </c>
      <c r="F430" s="3" t="s">
        <v>94</v>
      </c>
      <c r="G430" s="3" t="s">
        <v>18</v>
      </c>
      <c r="H430" s="3" t="s">
        <v>13</v>
      </c>
      <c r="I430" s="3" t="s">
        <v>19</v>
      </c>
      <c r="J430" s="3" t="s">
        <v>94</v>
      </c>
      <c r="K430" s="3" t="s">
        <v>188</v>
      </c>
      <c r="L430" s="3">
        <v>72</v>
      </c>
      <c r="M430">
        <v>31832</v>
      </c>
      <c r="N430">
        <v>31938</v>
      </c>
      <c r="O430">
        <v>31210</v>
      </c>
      <c r="P430">
        <v>29937</v>
      </c>
      <c r="Q430">
        <v>0.95921179109259902</v>
      </c>
      <c r="R430">
        <v>57</v>
      </c>
      <c r="S430">
        <v>2.73390084342088</v>
      </c>
      <c r="T430">
        <v>0.67619742177673403</v>
      </c>
    </row>
    <row r="431" spans="1:20" x14ac:dyDescent="0.2">
      <c r="A431" t="str">
        <f t="shared" si="6"/>
        <v>sample_16S-A-F12-L1_anaCS-Subj6-F12</v>
      </c>
      <c r="B431" t="s">
        <v>668</v>
      </c>
      <c r="C431" s="3" t="s">
        <v>9</v>
      </c>
      <c r="D431" s="3" t="s">
        <v>7</v>
      </c>
      <c r="E431" s="3" t="s">
        <v>3</v>
      </c>
      <c r="F431" s="3" t="s">
        <v>94</v>
      </c>
      <c r="G431" s="3" t="s">
        <v>20</v>
      </c>
      <c r="H431" s="3" t="s">
        <v>13</v>
      </c>
      <c r="I431" s="3" t="s">
        <v>21</v>
      </c>
      <c r="J431" s="3" t="s">
        <v>94</v>
      </c>
      <c r="K431" s="3" t="s">
        <v>188</v>
      </c>
      <c r="L431" s="3">
        <v>72</v>
      </c>
      <c r="M431">
        <v>77873</v>
      </c>
      <c r="N431">
        <v>77770</v>
      </c>
      <c r="O431">
        <v>76127</v>
      </c>
      <c r="P431">
        <v>68494</v>
      </c>
      <c r="Q431">
        <v>0.89973334033916996</v>
      </c>
      <c r="R431">
        <v>70</v>
      </c>
      <c r="S431">
        <v>2.7694777481633301</v>
      </c>
      <c r="T431">
        <v>0.65187262557163905</v>
      </c>
    </row>
    <row r="432" spans="1:20" x14ac:dyDescent="0.2">
      <c r="A432" t="str">
        <f t="shared" si="6"/>
        <v>sample_16S-A-F12-L2_anaCS-Subj5-F12</v>
      </c>
      <c r="B432" t="s">
        <v>669</v>
      </c>
      <c r="C432" s="3" t="s">
        <v>9</v>
      </c>
      <c r="D432" s="3" t="s">
        <v>7</v>
      </c>
      <c r="E432" s="3" t="s">
        <v>3</v>
      </c>
      <c r="F432" s="3" t="s">
        <v>94</v>
      </c>
      <c r="G432" s="3" t="s">
        <v>22</v>
      </c>
      <c r="H432" s="3" t="s">
        <v>13</v>
      </c>
      <c r="I432" s="3" t="s">
        <v>19</v>
      </c>
      <c r="J432" s="3" t="s">
        <v>94</v>
      </c>
      <c r="K432" s="3" t="s">
        <v>188</v>
      </c>
      <c r="L432" s="3">
        <v>72</v>
      </c>
      <c r="M432">
        <v>56678</v>
      </c>
      <c r="N432">
        <v>56758</v>
      </c>
      <c r="O432">
        <v>54824</v>
      </c>
      <c r="P432">
        <v>48449</v>
      </c>
      <c r="Q432">
        <v>0.88371880928060698</v>
      </c>
      <c r="R432">
        <v>58</v>
      </c>
      <c r="S432">
        <v>2.7940411360431998</v>
      </c>
      <c r="T432">
        <v>0.68811238793059704</v>
      </c>
    </row>
    <row r="433" spans="1:20" x14ac:dyDescent="0.2">
      <c r="A433" t="str">
        <f t="shared" si="6"/>
        <v>sample_16S-A-F12-L3_anaCS-Subj6-F12</v>
      </c>
      <c r="B433" t="s">
        <v>670</v>
      </c>
      <c r="C433" s="3" t="s">
        <v>9</v>
      </c>
      <c r="D433" s="3" t="s">
        <v>7</v>
      </c>
      <c r="E433" s="3" t="s">
        <v>3</v>
      </c>
      <c r="F433" s="3" t="s">
        <v>94</v>
      </c>
      <c r="G433" s="3" t="s">
        <v>23</v>
      </c>
      <c r="H433" s="3" t="s">
        <v>13</v>
      </c>
      <c r="I433" s="3" t="s">
        <v>21</v>
      </c>
      <c r="J433" s="3" t="s">
        <v>94</v>
      </c>
      <c r="K433" s="3" t="s">
        <v>188</v>
      </c>
      <c r="L433" s="3">
        <v>72</v>
      </c>
      <c r="M433">
        <v>93291</v>
      </c>
      <c r="N433">
        <v>93355</v>
      </c>
      <c r="O433">
        <v>90669</v>
      </c>
      <c r="P433">
        <v>78372</v>
      </c>
      <c r="Q433">
        <v>0.86437481388346604</v>
      </c>
      <c r="R433">
        <v>72</v>
      </c>
      <c r="S433">
        <v>2.73034214333101</v>
      </c>
      <c r="T433">
        <v>0.63842770685105299</v>
      </c>
    </row>
    <row r="434" spans="1:20" x14ac:dyDescent="0.2">
      <c r="A434" t="str">
        <f t="shared" si="6"/>
        <v>sample_16S-A-G01-L0_anaCS-Subj5-G01</v>
      </c>
      <c r="B434" t="s">
        <v>671</v>
      </c>
      <c r="C434" s="3" t="s">
        <v>9</v>
      </c>
      <c r="D434" s="3" t="s">
        <v>7</v>
      </c>
      <c r="E434" s="3" t="s">
        <v>3</v>
      </c>
      <c r="F434" s="3" t="s">
        <v>95</v>
      </c>
      <c r="G434" s="3" t="s">
        <v>18</v>
      </c>
      <c r="H434" s="3" t="s">
        <v>13</v>
      </c>
      <c r="I434" s="3" t="s">
        <v>19</v>
      </c>
      <c r="J434" s="3" t="s">
        <v>95</v>
      </c>
      <c r="K434" s="3" t="s">
        <v>189</v>
      </c>
      <c r="L434" s="3">
        <v>73</v>
      </c>
      <c r="M434">
        <v>92167</v>
      </c>
      <c r="N434">
        <v>92294</v>
      </c>
      <c r="O434">
        <v>90912</v>
      </c>
      <c r="P434">
        <v>84555</v>
      </c>
      <c r="Q434">
        <v>0.93007523759239696</v>
      </c>
      <c r="R434">
        <v>36</v>
      </c>
      <c r="S434">
        <v>1.90883856935981</v>
      </c>
      <c r="T434">
        <v>0.53267154496529401</v>
      </c>
    </row>
    <row r="435" spans="1:20" x14ac:dyDescent="0.2">
      <c r="A435" t="str">
        <f t="shared" si="6"/>
        <v>sample_16S-A-G01-L1_anaCS-Subj6-G01</v>
      </c>
      <c r="B435" t="s">
        <v>672</v>
      </c>
      <c r="C435" s="3" t="s">
        <v>9</v>
      </c>
      <c r="D435" s="3" t="s">
        <v>7</v>
      </c>
      <c r="E435" s="3" t="s">
        <v>3</v>
      </c>
      <c r="F435" s="3" t="s">
        <v>95</v>
      </c>
      <c r="G435" s="3" t="s">
        <v>20</v>
      </c>
      <c r="H435" s="3" t="s">
        <v>13</v>
      </c>
      <c r="I435" s="3" t="s">
        <v>21</v>
      </c>
      <c r="J435" s="3" t="s">
        <v>95</v>
      </c>
      <c r="K435" s="3" t="s">
        <v>189</v>
      </c>
      <c r="L435" s="3">
        <v>73</v>
      </c>
      <c r="M435">
        <v>74377</v>
      </c>
      <c r="N435">
        <v>74484</v>
      </c>
      <c r="O435">
        <v>73357</v>
      </c>
      <c r="P435">
        <v>66511</v>
      </c>
      <c r="Q435">
        <v>0.90667557288329703</v>
      </c>
      <c r="R435">
        <v>39</v>
      </c>
      <c r="S435">
        <v>2.17733516613947</v>
      </c>
      <c r="T435">
        <v>0.594321967651262</v>
      </c>
    </row>
    <row r="436" spans="1:20" x14ac:dyDescent="0.2">
      <c r="A436" t="str">
        <f t="shared" si="6"/>
        <v>sample_16S-A-G01-L2_anaCS-Subj5-G01</v>
      </c>
      <c r="B436" t="s">
        <v>673</v>
      </c>
      <c r="C436" s="3" t="s">
        <v>9</v>
      </c>
      <c r="D436" s="3" t="s">
        <v>7</v>
      </c>
      <c r="E436" s="3" t="s">
        <v>3</v>
      </c>
      <c r="F436" s="3" t="s">
        <v>95</v>
      </c>
      <c r="G436" s="3" t="s">
        <v>22</v>
      </c>
      <c r="H436" s="3" t="s">
        <v>13</v>
      </c>
      <c r="I436" s="3" t="s">
        <v>19</v>
      </c>
      <c r="J436" s="3" t="s">
        <v>95</v>
      </c>
      <c r="K436" s="3" t="s">
        <v>189</v>
      </c>
      <c r="L436" s="3">
        <v>73</v>
      </c>
      <c r="M436">
        <v>61268</v>
      </c>
      <c r="N436">
        <v>61165</v>
      </c>
      <c r="O436">
        <v>59933</v>
      </c>
      <c r="P436">
        <v>56821</v>
      </c>
      <c r="Q436">
        <v>0.94807535080840299</v>
      </c>
      <c r="R436">
        <v>38</v>
      </c>
      <c r="S436">
        <v>1.81718885591283</v>
      </c>
      <c r="T436">
        <v>0.49955898667964999</v>
      </c>
    </row>
    <row r="437" spans="1:20" x14ac:dyDescent="0.2">
      <c r="A437" t="str">
        <f t="shared" si="6"/>
        <v>sample_16S-A-G01-L3_anaCS-Subj6-G01</v>
      </c>
      <c r="B437" t="s">
        <v>674</v>
      </c>
      <c r="C437" s="3" t="s">
        <v>9</v>
      </c>
      <c r="D437" s="3" t="s">
        <v>7</v>
      </c>
      <c r="E437" s="3" t="s">
        <v>3</v>
      </c>
      <c r="F437" s="3" t="s">
        <v>95</v>
      </c>
      <c r="G437" s="3" t="s">
        <v>23</v>
      </c>
      <c r="H437" s="3" t="s">
        <v>13</v>
      </c>
      <c r="I437" s="3" t="s">
        <v>21</v>
      </c>
      <c r="J437" s="3" t="s">
        <v>95</v>
      </c>
      <c r="K437" s="3" t="s">
        <v>189</v>
      </c>
      <c r="L437" s="3">
        <v>73</v>
      </c>
      <c r="M437">
        <v>97010</v>
      </c>
      <c r="N437">
        <v>97100</v>
      </c>
      <c r="O437">
        <v>95633</v>
      </c>
      <c r="P437">
        <v>85283</v>
      </c>
      <c r="Q437">
        <v>0.89177376010373</v>
      </c>
      <c r="R437">
        <v>42</v>
      </c>
      <c r="S437">
        <v>2.15799421519747</v>
      </c>
      <c r="T437">
        <v>0.57736355418930496</v>
      </c>
    </row>
    <row r="438" spans="1:20" x14ac:dyDescent="0.2">
      <c r="A438" t="str">
        <f t="shared" si="6"/>
        <v>sample_HS-CS5_G01_Tosufloxacin-tosilate_S457</v>
      </c>
      <c r="B438" t="s">
        <v>675</v>
      </c>
      <c r="C438" s="3" t="s">
        <v>10</v>
      </c>
      <c r="D438" s="3" t="s">
        <v>8</v>
      </c>
      <c r="E438" s="3" t="s">
        <v>11</v>
      </c>
      <c r="F438" s="3" t="s">
        <v>11</v>
      </c>
      <c r="G438" s="3" t="s">
        <v>11</v>
      </c>
      <c r="H438" s="3" t="s">
        <v>13</v>
      </c>
      <c r="I438" s="3" t="s">
        <v>19</v>
      </c>
      <c r="J438" s="3" t="s">
        <v>95</v>
      </c>
      <c r="K438" s="3" t="s">
        <v>189</v>
      </c>
      <c r="L438" s="3">
        <v>73</v>
      </c>
      <c r="M438">
        <v>29150</v>
      </c>
      <c r="N438">
        <v>29197</v>
      </c>
      <c r="O438">
        <v>28643</v>
      </c>
      <c r="P438">
        <v>28103</v>
      </c>
      <c r="Q438">
        <v>0.98114722619837302</v>
      </c>
      <c r="R438">
        <v>33</v>
      </c>
      <c r="S438">
        <v>1.7464819546119701</v>
      </c>
      <c r="T438">
        <v>0.49949325831844499</v>
      </c>
    </row>
    <row r="439" spans="1:20" x14ac:dyDescent="0.2">
      <c r="A439" t="str">
        <f t="shared" si="6"/>
        <v>sample_HS-CS6_G01_Tosufloxacin-tosilate_S553</v>
      </c>
      <c r="B439" t="s">
        <v>676</v>
      </c>
      <c r="C439" s="3" t="s">
        <v>10</v>
      </c>
      <c r="D439" s="3" t="s">
        <v>8</v>
      </c>
      <c r="E439" s="3" t="s">
        <v>11</v>
      </c>
      <c r="F439" s="3" t="s">
        <v>11</v>
      </c>
      <c r="G439" s="3" t="s">
        <v>11</v>
      </c>
      <c r="H439" s="3" t="s">
        <v>13</v>
      </c>
      <c r="I439" s="3" t="s">
        <v>21</v>
      </c>
      <c r="J439" s="3" t="s">
        <v>95</v>
      </c>
      <c r="K439" s="3" t="s">
        <v>189</v>
      </c>
      <c r="L439" s="3">
        <v>73</v>
      </c>
      <c r="M439">
        <v>12669</v>
      </c>
      <c r="N439">
        <v>12672</v>
      </c>
      <c r="O439">
        <v>12399</v>
      </c>
      <c r="P439">
        <v>11580</v>
      </c>
      <c r="Q439">
        <v>0.93394628599080598</v>
      </c>
      <c r="R439">
        <v>23</v>
      </c>
      <c r="S439">
        <v>1.8126826999469701</v>
      </c>
      <c r="T439">
        <v>0.57811706069749802</v>
      </c>
    </row>
    <row r="440" spans="1:20" x14ac:dyDescent="0.2">
      <c r="A440" t="str">
        <f t="shared" si="6"/>
        <v>sample_HS-CS5_G02_Bifonazole_S458</v>
      </c>
      <c r="B440" t="s">
        <v>677</v>
      </c>
      <c r="C440" s="3" t="s">
        <v>10</v>
      </c>
      <c r="D440" s="3" t="s">
        <v>8</v>
      </c>
      <c r="E440" s="3" t="s">
        <v>11</v>
      </c>
      <c r="F440" s="3" t="s">
        <v>11</v>
      </c>
      <c r="G440" s="3" t="s">
        <v>11</v>
      </c>
      <c r="H440" s="3" t="s">
        <v>13</v>
      </c>
      <c r="I440" s="3" t="s">
        <v>19</v>
      </c>
      <c r="J440" s="3" t="s">
        <v>96</v>
      </c>
      <c r="K440" s="3" t="s">
        <v>190</v>
      </c>
      <c r="L440" s="3">
        <v>74</v>
      </c>
      <c r="M440">
        <v>40865</v>
      </c>
      <c r="N440">
        <v>40894</v>
      </c>
      <c r="O440">
        <v>40063</v>
      </c>
      <c r="P440">
        <v>38164</v>
      </c>
      <c r="Q440">
        <v>0.95259965554252102</v>
      </c>
      <c r="R440">
        <v>20</v>
      </c>
      <c r="S440">
        <v>0.89552257299007898</v>
      </c>
      <c r="T440">
        <v>0.29893277877187402</v>
      </c>
    </row>
    <row r="441" spans="1:20" x14ac:dyDescent="0.2">
      <c r="A441" t="str">
        <f t="shared" si="6"/>
        <v>sample_HS-CS6_G02_Bifonazole_S554</v>
      </c>
      <c r="B441" t="s">
        <v>678</v>
      </c>
      <c r="C441" s="3" t="s">
        <v>10</v>
      </c>
      <c r="D441" s="3" t="s">
        <v>8</v>
      </c>
      <c r="E441" s="3" t="s">
        <v>11</v>
      </c>
      <c r="F441" s="3" t="s">
        <v>11</v>
      </c>
      <c r="G441" s="3" t="s">
        <v>11</v>
      </c>
      <c r="H441" s="3" t="s">
        <v>13</v>
      </c>
      <c r="I441" s="3" t="s">
        <v>21</v>
      </c>
      <c r="J441" s="3" t="s">
        <v>96</v>
      </c>
      <c r="K441" s="3" t="s">
        <v>190</v>
      </c>
      <c r="L441" s="3">
        <v>74</v>
      </c>
      <c r="M441">
        <v>18547</v>
      </c>
      <c r="N441">
        <v>18564</v>
      </c>
      <c r="O441">
        <v>17980</v>
      </c>
      <c r="P441">
        <v>17662</v>
      </c>
      <c r="Q441">
        <v>0.98231368186874302</v>
      </c>
      <c r="R441">
        <v>9</v>
      </c>
      <c r="S441">
        <v>0.43009409929411901</v>
      </c>
      <c r="T441">
        <v>0.195744260159123</v>
      </c>
    </row>
    <row r="442" spans="1:20" x14ac:dyDescent="0.2">
      <c r="A442" t="str">
        <f t="shared" si="6"/>
        <v>sample_16S-A-G02-L0_anaCS-Subj5-G02</v>
      </c>
      <c r="B442" t="s">
        <v>679</v>
      </c>
      <c r="C442" s="3" t="s">
        <v>9</v>
      </c>
      <c r="D442" s="3" t="s">
        <v>7</v>
      </c>
      <c r="E442" s="3" t="s">
        <v>3</v>
      </c>
      <c r="F442" s="3" t="s">
        <v>96</v>
      </c>
      <c r="G442" s="3" t="s">
        <v>18</v>
      </c>
      <c r="H442" s="3" t="s">
        <v>13</v>
      </c>
      <c r="I442" s="3" t="s">
        <v>19</v>
      </c>
      <c r="J442" s="3" t="s">
        <v>96</v>
      </c>
      <c r="K442" s="3" t="s">
        <v>190</v>
      </c>
      <c r="L442" s="3">
        <v>74</v>
      </c>
      <c r="M442">
        <v>83015</v>
      </c>
      <c r="N442">
        <v>83044</v>
      </c>
      <c r="O442">
        <v>82554</v>
      </c>
      <c r="P442">
        <v>76720</v>
      </c>
      <c r="Q442">
        <v>0.92933110448918299</v>
      </c>
      <c r="R442">
        <v>28</v>
      </c>
      <c r="S442">
        <v>1.31974283196945</v>
      </c>
      <c r="T442">
        <v>0.39605697307577897</v>
      </c>
    </row>
    <row r="443" spans="1:20" x14ac:dyDescent="0.2">
      <c r="A443" t="str">
        <f t="shared" si="6"/>
        <v>sample_16S-A-G02-L1_anaCS-Subj6-G02</v>
      </c>
      <c r="B443" t="s">
        <v>680</v>
      </c>
      <c r="C443" s="3" t="s">
        <v>9</v>
      </c>
      <c r="D443" s="3" t="s">
        <v>7</v>
      </c>
      <c r="E443" s="3" t="s">
        <v>3</v>
      </c>
      <c r="F443" s="3" t="s">
        <v>96</v>
      </c>
      <c r="G443" s="3" t="s">
        <v>20</v>
      </c>
      <c r="H443" s="3" t="s">
        <v>13</v>
      </c>
      <c r="I443" s="3" t="s">
        <v>21</v>
      </c>
      <c r="J443" s="3" t="s">
        <v>96</v>
      </c>
      <c r="K443" s="3" t="s">
        <v>190</v>
      </c>
      <c r="L443" s="3">
        <v>74</v>
      </c>
      <c r="M443">
        <v>62929</v>
      </c>
      <c r="N443">
        <v>62981</v>
      </c>
      <c r="O443">
        <v>62313</v>
      </c>
      <c r="P443">
        <v>58360</v>
      </c>
      <c r="Q443">
        <v>0.93656219408470098</v>
      </c>
      <c r="R443">
        <v>22</v>
      </c>
      <c r="S443">
        <v>0.92818893037955696</v>
      </c>
      <c r="T443">
        <v>0.30028346241932402</v>
      </c>
    </row>
    <row r="444" spans="1:20" x14ac:dyDescent="0.2">
      <c r="A444" t="str">
        <f t="shared" si="6"/>
        <v>sample_16S-A-G02-L2_anaCS-Subj5-G02</v>
      </c>
      <c r="B444" t="s">
        <v>681</v>
      </c>
      <c r="C444" s="3" t="s">
        <v>9</v>
      </c>
      <c r="D444" s="3" t="s">
        <v>7</v>
      </c>
      <c r="E444" s="3" t="s">
        <v>3</v>
      </c>
      <c r="F444" s="3" t="s">
        <v>96</v>
      </c>
      <c r="G444" s="3" t="s">
        <v>22</v>
      </c>
      <c r="H444" s="3" t="s">
        <v>13</v>
      </c>
      <c r="I444" s="3" t="s">
        <v>19</v>
      </c>
      <c r="J444" s="3" t="s">
        <v>96</v>
      </c>
      <c r="K444" s="3" t="s">
        <v>190</v>
      </c>
      <c r="L444" s="3">
        <v>74</v>
      </c>
      <c r="M444">
        <v>64135</v>
      </c>
      <c r="N444">
        <v>64135</v>
      </c>
      <c r="O444">
        <v>63621</v>
      </c>
      <c r="P444">
        <v>58165</v>
      </c>
      <c r="Q444">
        <v>0.914242152748306</v>
      </c>
      <c r="R444">
        <v>28</v>
      </c>
      <c r="S444">
        <v>1.3500834483770601</v>
      </c>
      <c r="T444">
        <v>0.40516224146940999</v>
      </c>
    </row>
    <row r="445" spans="1:20" x14ac:dyDescent="0.2">
      <c r="A445" t="str">
        <f t="shared" si="6"/>
        <v>sample_16S-A-G02-L3_anaCS-Subj6-G02</v>
      </c>
      <c r="B445" t="s">
        <v>682</v>
      </c>
      <c r="C445" s="3" t="s">
        <v>9</v>
      </c>
      <c r="D445" s="3" t="s">
        <v>7</v>
      </c>
      <c r="E445" s="3" t="s">
        <v>3</v>
      </c>
      <c r="F445" s="3" t="s">
        <v>96</v>
      </c>
      <c r="G445" s="3" t="s">
        <v>23</v>
      </c>
      <c r="H445" s="3" t="s">
        <v>13</v>
      </c>
      <c r="I445" s="3" t="s">
        <v>21</v>
      </c>
      <c r="J445" s="3" t="s">
        <v>96</v>
      </c>
      <c r="K445" s="3" t="s">
        <v>190</v>
      </c>
      <c r="L445" s="3">
        <v>74</v>
      </c>
      <c r="M445">
        <v>80936</v>
      </c>
      <c r="N445">
        <v>80964</v>
      </c>
      <c r="O445">
        <v>80099</v>
      </c>
      <c r="P445">
        <v>73488</v>
      </c>
      <c r="Q445">
        <v>0.91746463751107998</v>
      </c>
      <c r="R445">
        <v>26</v>
      </c>
      <c r="S445">
        <v>0.95094158059317302</v>
      </c>
      <c r="T445">
        <v>0.29187028975226198</v>
      </c>
    </row>
    <row r="446" spans="1:20" x14ac:dyDescent="0.2">
      <c r="A446" t="str">
        <f t="shared" si="6"/>
        <v>sample_16S-A-G03-L0_anaCS-Subj5-G03</v>
      </c>
      <c r="B446" t="s">
        <v>683</v>
      </c>
      <c r="C446" s="3" t="s">
        <v>9</v>
      </c>
      <c r="D446" s="3" t="s">
        <v>7</v>
      </c>
      <c r="E446" s="3" t="s">
        <v>3</v>
      </c>
      <c r="F446" s="3" t="s">
        <v>97</v>
      </c>
      <c r="G446" s="3" t="s">
        <v>18</v>
      </c>
      <c r="H446" s="3" t="s">
        <v>13</v>
      </c>
      <c r="I446" s="3" t="s">
        <v>19</v>
      </c>
      <c r="J446" s="3" t="s">
        <v>97</v>
      </c>
      <c r="K446" s="3" t="s">
        <v>191</v>
      </c>
      <c r="L446" s="3">
        <v>75</v>
      </c>
      <c r="M446">
        <v>109792</v>
      </c>
      <c r="N446">
        <v>109883</v>
      </c>
      <c r="O446">
        <v>108792</v>
      </c>
      <c r="P446">
        <v>101485</v>
      </c>
      <c r="Q446">
        <v>0.93283513493639203</v>
      </c>
      <c r="R446">
        <v>46</v>
      </c>
      <c r="S446">
        <v>2.4611941605444598</v>
      </c>
      <c r="T446">
        <v>0.64283747305281602</v>
      </c>
    </row>
    <row r="447" spans="1:20" x14ac:dyDescent="0.2">
      <c r="A447" t="str">
        <f t="shared" si="6"/>
        <v>sample_16S-A-G03-L1_anaCS-Subj6-G03</v>
      </c>
      <c r="B447" t="s">
        <v>684</v>
      </c>
      <c r="C447" s="3" t="s">
        <v>9</v>
      </c>
      <c r="D447" s="3" t="s">
        <v>7</v>
      </c>
      <c r="E447" s="3" t="s">
        <v>3</v>
      </c>
      <c r="F447" s="3" t="s">
        <v>97</v>
      </c>
      <c r="G447" s="3" t="s">
        <v>20</v>
      </c>
      <c r="H447" s="3" t="s">
        <v>13</v>
      </c>
      <c r="I447" s="3" t="s">
        <v>21</v>
      </c>
      <c r="J447" s="3" t="s">
        <v>97</v>
      </c>
      <c r="K447" s="3" t="s">
        <v>191</v>
      </c>
      <c r="L447" s="3">
        <v>75</v>
      </c>
      <c r="M447">
        <v>80086</v>
      </c>
      <c r="N447">
        <v>80113</v>
      </c>
      <c r="O447">
        <v>79555</v>
      </c>
      <c r="P447">
        <v>75962</v>
      </c>
      <c r="Q447">
        <v>0.954836276789642</v>
      </c>
      <c r="R447">
        <v>44</v>
      </c>
      <c r="S447">
        <v>1.5836000112330499</v>
      </c>
      <c r="T447">
        <v>0.41847797399976999</v>
      </c>
    </row>
    <row r="448" spans="1:20" x14ac:dyDescent="0.2">
      <c r="A448" t="str">
        <f t="shared" si="6"/>
        <v>sample_16S-A-G03-L2_anaCS-Subj5-G03</v>
      </c>
      <c r="B448" t="s">
        <v>685</v>
      </c>
      <c r="C448" s="3" t="s">
        <v>9</v>
      </c>
      <c r="D448" s="3" t="s">
        <v>7</v>
      </c>
      <c r="E448" s="3" t="s">
        <v>3</v>
      </c>
      <c r="F448" s="3" t="s">
        <v>97</v>
      </c>
      <c r="G448" s="3" t="s">
        <v>22</v>
      </c>
      <c r="H448" s="3" t="s">
        <v>13</v>
      </c>
      <c r="I448" s="3" t="s">
        <v>19</v>
      </c>
      <c r="J448" s="3" t="s">
        <v>97</v>
      </c>
      <c r="K448" s="3" t="s">
        <v>191</v>
      </c>
      <c r="L448" s="3">
        <v>75</v>
      </c>
      <c r="M448">
        <v>48331</v>
      </c>
      <c r="N448">
        <v>48336</v>
      </c>
      <c r="O448">
        <v>47514</v>
      </c>
      <c r="P448">
        <v>43492</v>
      </c>
      <c r="Q448">
        <v>0.91535126489034802</v>
      </c>
      <c r="R448">
        <v>38</v>
      </c>
      <c r="S448">
        <v>2.4756533117318602</v>
      </c>
      <c r="T448">
        <v>0.68057585525838704</v>
      </c>
    </row>
    <row r="449" spans="1:20" x14ac:dyDescent="0.2">
      <c r="A449" t="str">
        <f t="shared" si="6"/>
        <v>sample_16S-A-G03-L3_anaCS-Subj6-G03</v>
      </c>
      <c r="B449" t="s">
        <v>686</v>
      </c>
      <c r="C449" s="3" t="s">
        <v>9</v>
      </c>
      <c r="D449" s="3" t="s">
        <v>7</v>
      </c>
      <c r="E449" s="3" t="s">
        <v>3</v>
      </c>
      <c r="F449" s="3" t="s">
        <v>97</v>
      </c>
      <c r="G449" s="3" t="s">
        <v>23</v>
      </c>
      <c r="H449" s="3" t="s">
        <v>13</v>
      </c>
      <c r="I449" s="3" t="s">
        <v>21</v>
      </c>
      <c r="J449" s="3" t="s">
        <v>97</v>
      </c>
      <c r="K449" s="3" t="s">
        <v>191</v>
      </c>
      <c r="L449" s="3">
        <v>75</v>
      </c>
      <c r="M449">
        <v>69880</v>
      </c>
      <c r="N449">
        <v>69928</v>
      </c>
      <c r="O449">
        <v>69232</v>
      </c>
      <c r="P449">
        <v>65208</v>
      </c>
      <c r="Q449">
        <v>0.94187658886064296</v>
      </c>
      <c r="R449">
        <v>42</v>
      </c>
      <c r="S449">
        <v>1.43522232214672</v>
      </c>
      <c r="T449">
        <v>0.383988545998317</v>
      </c>
    </row>
    <row r="450" spans="1:20" x14ac:dyDescent="0.2">
      <c r="A450" t="str">
        <f t="shared" si="6"/>
        <v>sample_HS-CS5_G03_Tetracycline_S459</v>
      </c>
      <c r="B450" t="s">
        <v>687</v>
      </c>
      <c r="C450" s="3" t="s">
        <v>10</v>
      </c>
      <c r="D450" s="3" t="s">
        <v>8</v>
      </c>
      <c r="E450" s="3" t="s">
        <v>11</v>
      </c>
      <c r="F450" s="3" t="s">
        <v>11</v>
      </c>
      <c r="G450" s="3" t="s">
        <v>11</v>
      </c>
      <c r="H450" s="3" t="s">
        <v>13</v>
      </c>
      <c r="I450" s="3" t="s">
        <v>19</v>
      </c>
      <c r="J450" s="3" t="s">
        <v>97</v>
      </c>
      <c r="K450" s="3" t="s">
        <v>191</v>
      </c>
      <c r="L450" s="3">
        <v>75</v>
      </c>
      <c r="M450">
        <v>20541</v>
      </c>
      <c r="N450">
        <v>20582</v>
      </c>
      <c r="O450">
        <v>20192</v>
      </c>
      <c r="P450">
        <v>19088</v>
      </c>
      <c r="Q450">
        <v>0.94532488114104596</v>
      </c>
      <c r="R450">
        <v>31</v>
      </c>
      <c r="S450">
        <v>2.1917841651108101</v>
      </c>
      <c r="T450">
        <v>0.63826218171346505</v>
      </c>
    </row>
    <row r="451" spans="1:20" x14ac:dyDescent="0.2">
      <c r="A451" t="str">
        <f t="shared" ref="A451:A514" si="7">_xlfn.CONCAT("sample_",B451)</f>
        <v>sample_HS-CS6_G03_Tetracycline_S555</v>
      </c>
      <c r="B451" t="s">
        <v>688</v>
      </c>
      <c r="C451" s="3" t="s">
        <v>10</v>
      </c>
      <c r="D451" s="3" t="s">
        <v>8</v>
      </c>
      <c r="E451" s="3" t="s">
        <v>11</v>
      </c>
      <c r="F451" s="3" t="s">
        <v>11</v>
      </c>
      <c r="G451" s="3" t="s">
        <v>11</v>
      </c>
      <c r="H451" s="3" t="s">
        <v>13</v>
      </c>
      <c r="I451" s="3" t="s">
        <v>21</v>
      </c>
      <c r="J451" s="3" t="s">
        <v>97</v>
      </c>
      <c r="K451" s="3" t="s">
        <v>191</v>
      </c>
      <c r="L451" s="3">
        <v>75</v>
      </c>
      <c r="M451">
        <v>16480</v>
      </c>
      <c r="N451">
        <v>16503</v>
      </c>
      <c r="O451">
        <v>16165</v>
      </c>
      <c r="P451">
        <v>16089</v>
      </c>
      <c r="Q451">
        <v>0.99529848437983304</v>
      </c>
      <c r="R451">
        <v>17</v>
      </c>
      <c r="S451">
        <v>0.55625268766134395</v>
      </c>
      <c r="T451">
        <v>0.19633279252630401</v>
      </c>
    </row>
    <row r="452" spans="1:20" x14ac:dyDescent="0.2">
      <c r="A452" t="str">
        <f t="shared" si="7"/>
        <v>sample_16S-A-G04-L0_anaCS-Subj5-G04</v>
      </c>
      <c r="B452" t="s">
        <v>689</v>
      </c>
      <c r="C452" s="3" t="s">
        <v>9</v>
      </c>
      <c r="D452" s="3" t="s">
        <v>7</v>
      </c>
      <c r="E452" s="3" t="s">
        <v>3</v>
      </c>
      <c r="F452" s="3" t="s">
        <v>98</v>
      </c>
      <c r="G452" s="3" t="s">
        <v>18</v>
      </c>
      <c r="H452" s="3" t="s">
        <v>13</v>
      </c>
      <c r="I452" s="3" t="s">
        <v>19</v>
      </c>
      <c r="J452" s="3" t="s">
        <v>98</v>
      </c>
      <c r="K452" s="3" t="s">
        <v>192</v>
      </c>
      <c r="L452" s="3">
        <v>76</v>
      </c>
      <c r="M452">
        <v>69537</v>
      </c>
      <c r="N452">
        <v>69536</v>
      </c>
      <c r="O452">
        <v>69173</v>
      </c>
      <c r="P452">
        <v>64388</v>
      </c>
      <c r="Q452">
        <v>0.93082561114885898</v>
      </c>
      <c r="R452">
        <v>18</v>
      </c>
      <c r="S452">
        <v>0.791937782008721</v>
      </c>
      <c r="T452">
        <v>0.273991669011171</v>
      </c>
    </row>
    <row r="453" spans="1:20" x14ac:dyDescent="0.2">
      <c r="A453" t="str">
        <f t="shared" si="7"/>
        <v>sample_16S-A-G04-L1_anaCS-Subj6-G04</v>
      </c>
      <c r="B453" t="s">
        <v>690</v>
      </c>
      <c r="C453" s="3" t="s">
        <v>9</v>
      </c>
      <c r="D453" s="3" t="s">
        <v>7</v>
      </c>
      <c r="E453" s="3" t="s">
        <v>3</v>
      </c>
      <c r="F453" s="3" t="s">
        <v>98</v>
      </c>
      <c r="G453" s="3" t="s">
        <v>20</v>
      </c>
      <c r="H453" s="3" t="s">
        <v>13</v>
      </c>
      <c r="I453" s="3" t="s">
        <v>21</v>
      </c>
      <c r="J453" s="3" t="s">
        <v>98</v>
      </c>
      <c r="K453" s="3" t="s">
        <v>192</v>
      </c>
      <c r="L453" s="3">
        <v>76</v>
      </c>
      <c r="M453">
        <v>52353</v>
      </c>
      <c r="N453">
        <v>52393</v>
      </c>
      <c r="O453">
        <v>51765</v>
      </c>
      <c r="P453">
        <v>47041</v>
      </c>
      <c r="Q453">
        <v>0.90874142760552501</v>
      </c>
      <c r="R453">
        <v>17</v>
      </c>
      <c r="S453">
        <v>0.96707815259002905</v>
      </c>
      <c r="T453">
        <v>0.34133615621247099</v>
      </c>
    </row>
    <row r="454" spans="1:20" x14ac:dyDescent="0.2">
      <c r="A454" t="str">
        <f t="shared" si="7"/>
        <v>sample_16S-A-G04-L2_anaCS-Subj5-G04</v>
      </c>
      <c r="B454" t="s">
        <v>691</v>
      </c>
      <c r="C454" s="3" t="s">
        <v>9</v>
      </c>
      <c r="D454" s="3" t="s">
        <v>7</v>
      </c>
      <c r="E454" s="3" t="s">
        <v>3</v>
      </c>
      <c r="F454" s="3" t="s">
        <v>98</v>
      </c>
      <c r="G454" s="3" t="s">
        <v>22</v>
      </c>
      <c r="H454" s="3" t="s">
        <v>13</v>
      </c>
      <c r="I454" s="3" t="s">
        <v>19</v>
      </c>
      <c r="J454" s="3" t="s">
        <v>98</v>
      </c>
      <c r="K454" s="3" t="s">
        <v>192</v>
      </c>
      <c r="L454" s="3">
        <v>76</v>
      </c>
      <c r="M454">
        <v>54744</v>
      </c>
      <c r="N454">
        <v>54719</v>
      </c>
      <c r="O454">
        <v>54339</v>
      </c>
      <c r="P454">
        <v>48899</v>
      </c>
      <c r="Q454">
        <v>0.89988774176926301</v>
      </c>
      <c r="R454">
        <v>19</v>
      </c>
      <c r="S454">
        <v>0.88520532026728205</v>
      </c>
      <c r="T454">
        <v>0.30063632716813199</v>
      </c>
    </row>
    <row r="455" spans="1:20" x14ac:dyDescent="0.2">
      <c r="A455" t="str">
        <f t="shared" si="7"/>
        <v>sample_16S-A-G04-L3_anaCS-Subj6-G04</v>
      </c>
      <c r="B455" t="s">
        <v>692</v>
      </c>
      <c r="C455" s="3" t="s">
        <v>9</v>
      </c>
      <c r="D455" s="3" t="s">
        <v>7</v>
      </c>
      <c r="E455" s="3" t="s">
        <v>3</v>
      </c>
      <c r="F455" s="3" t="s">
        <v>98</v>
      </c>
      <c r="G455" s="3" t="s">
        <v>23</v>
      </c>
      <c r="H455" s="3" t="s">
        <v>13</v>
      </c>
      <c r="I455" s="3" t="s">
        <v>21</v>
      </c>
      <c r="J455" s="3" t="s">
        <v>98</v>
      </c>
      <c r="K455" s="3" t="s">
        <v>192</v>
      </c>
      <c r="L455" s="3">
        <v>76</v>
      </c>
      <c r="M455">
        <v>86023</v>
      </c>
      <c r="N455">
        <v>86003</v>
      </c>
      <c r="O455">
        <v>85020</v>
      </c>
      <c r="P455">
        <v>74521</v>
      </c>
      <c r="Q455">
        <v>0.87651140908021596</v>
      </c>
      <c r="R455">
        <v>22</v>
      </c>
      <c r="S455">
        <v>1.0849149105425</v>
      </c>
      <c r="T455">
        <v>0.35098673891190901</v>
      </c>
    </row>
    <row r="456" spans="1:20" x14ac:dyDescent="0.2">
      <c r="A456" t="str">
        <f t="shared" si="7"/>
        <v>sample_HS-CS5_G04_Toremifene-citrate_S460</v>
      </c>
      <c r="B456" t="s">
        <v>693</v>
      </c>
      <c r="C456" s="3" t="s">
        <v>10</v>
      </c>
      <c r="D456" s="3" t="s">
        <v>8</v>
      </c>
      <c r="E456" s="3" t="s">
        <v>11</v>
      </c>
      <c r="F456" s="3" t="s">
        <v>11</v>
      </c>
      <c r="G456" s="3" t="s">
        <v>11</v>
      </c>
      <c r="H456" s="3" t="s">
        <v>13</v>
      </c>
      <c r="I456" s="3" t="s">
        <v>19</v>
      </c>
      <c r="J456" s="3" t="s">
        <v>98</v>
      </c>
      <c r="K456" s="3" t="s">
        <v>192</v>
      </c>
      <c r="L456" s="3">
        <v>76</v>
      </c>
      <c r="M456">
        <v>31474</v>
      </c>
      <c r="N456">
        <v>31505</v>
      </c>
      <c r="O456">
        <v>31058</v>
      </c>
      <c r="P456">
        <v>29355</v>
      </c>
      <c r="Q456">
        <v>0.94516710670358695</v>
      </c>
      <c r="R456">
        <v>14</v>
      </c>
      <c r="S456">
        <v>0.65386356025744496</v>
      </c>
      <c r="T456">
        <v>0.24776406064386999</v>
      </c>
    </row>
    <row r="457" spans="1:20" x14ac:dyDescent="0.2">
      <c r="A457" t="str">
        <f t="shared" si="7"/>
        <v>sample_HS-CS6_G04_Toremifene-citrate_S556</v>
      </c>
      <c r="B457" t="s">
        <v>694</v>
      </c>
      <c r="C457" s="3" t="s">
        <v>10</v>
      </c>
      <c r="D457" s="3" t="s">
        <v>8</v>
      </c>
      <c r="E457" s="3" t="s">
        <v>11</v>
      </c>
      <c r="F457" s="3" t="s">
        <v>11</v>
      </c>
      <c r="G457" s="3" t="s">
        <v>11</v>
      </c>
      <c r="H457" s="3" t="s">
        <v>13</v>
      </c>
      <c r="I457" s="3" t="s">
        <v>21</v>
      </c>
      <c r="J457" s="3" t="s">
        <v>98</v>
      </c>
      <c r="K457" s="3" t="s">
        <v>192</v>
      </c>
      <c r="L457" s="3">
        <v>76</v>
      </c>
      <c r="M457">
        <v>16987</v>
      </c>
      <c r="N457">
        <v>17032</v>
      </c>
      <c r="O457">
        <v>16467</v>
      </c>
      <c r="P457">
        <v>15993</v>
      </c>
      <c r="Q457">
        <v>0.971215157587903</v>
      </c>
      <c r="R457">
        <v>10</v>
      </c>
      <c r="S457">
        <v>0.621079774425915</v>
      </c>
      <c r="T457">
        <v>0.26973151885489099</v>
      </c>
    </row>
    <row r="458" spans="1:20" x14ac:dyDescent="0.2">
      <c r="A458" t="str">
        <f t="shared" si="7"/>
        <v>sample_HS-CS5_G05_Acarbose_S461</v>
      </c>
      <c r="B458" t="s">
        <v>695</v>
      </c>
      <c r="C458" s="3" t="s">
        <v>10</v>
      </c>
      <c r="D458" s="3" t="s">
        <v>8</v>
      </c>
      <c r="E458" s="3" t="s">
        <v>11</v>
      </c>
      <c r="F458" s="3" t="s">
        <v>11</v>
      </c>
      <c r="G458" s="3" t="s">
        <v>11</v>
      </c>
      <c r="H458" s="3" t="s">
        <v>13</v>
      </c>
      <c r="I458" s="3" t="s">
        <v>19</v>
      </c>
      <c r="J458" s="3" t="s">
        <v>99</v>
      </c>
      <c r="K458" s="3" t="s">
        <v>193</v>
      </c>
      <c r="L458" s="3">
        <v>77</v>
      </c>
      <c r="M458">
        <v>15877</v>
      </c>
      <c r="N458">
        <v>15917</v>
      </c>
      <c r="O458">
        <v>15553</v>
      </c>
      <c r="P458">
        <v>15326</v>
      </c>
      <c r="Q458">
        <v>0.98540474506526099</v>
      </c>
      <c r="R458">
        <v>36</v>
      </c>
      <c r="S458">
        <v>2.2636698149100698</v>
      </c>
      <c r="T458">
        <v>0.63168908935230295</v>
      </c>
    </row>
    <row r="459" spans="1:20" x14ac:dyDescent="0.2">
      <c r="A459" t="str">
        <f t="shared" si="7"/>
        <v>sample_HS-CS6_G05_Acarbose_S557</v>
      </c>
      <c r="B459" t="s">
        <v>696</v>
      </c>
      <c r="C459" s="3" t="s">
        <v>10</v>
      </c>
      <c r="D459" s="3" t="s">
        <v>8</v>
      </c>
      <c r="E459" s="3" t="s">
        <v>11</v>
      </c>
      <c r="F459" s="3" t="s">
        <v>11</v>
      </c>
      <c r="G459" s="3" t="s">
        <v>11</v>
      </c>
      <c r="H459" s="3" t="s">
        <v>13</v>
      </c>
      <c r="I459" s="3" t="s">
        <v>21</v>
      </c>
      <c r="J459" s="3" t="s">
        <v>99</v>
      </c>
      <c r="K459" s="3" t="s">
        <v>193</v>
      </c>
      <c r="L459" s="3">
        <v>77</v>
      </c>
      <c r="M459">
        <v>11085</v>
      </c>
      <c r="N459">
        <v>11125</v>
      </c>
      <c r="O459">
        <v>10769</v>
      </c>
      <c r="P459">
        <v>10710</v>
      </c>
      <c r="Q459">
        <v>0.99452131117095399</v>
      </c>
      <c r="R459">
        <v>30</v>
      </c>
      <c r="S459">
        <v>1.3831457104473499</v>
      </c>
      <c r="T459">
        <v>0.40666434647536198</v>
      </c>
    </row>
    <row r="460" spans="1:20" x14ac:dyDescent="0.2">
      <c r="A460" t="str">
        <f t="shared" si="7"/>
        <v>sample_16S-A-G05-L0_anaCS-Subj5-G05</v>
      </c>
      <c r="B460" t="s">
        <v>697</v>
      </c>
      <c r="C460" s="3" t="s">
        <v>9</v>
      </c>
      <c r="D460" s="3" t="s">
        <v>7</v>
      </c>
      <c r="E460" s="3" t="s">
        <v>3</v>
      </c>
      <c r="F460" s="3" t="s">
        <v>99</v>
      </c>
      <c r="G460" s="3" t="s">
        <v>18</v>
      </c>
      <c r="H460" s="3" t="s">
        <v>13</v>
      </c>
      <c r="I460" s="3" t="s">
        <v>19</v>
      </c>
      <c r="J460" s="3" t="s">
        <v>99</v>
      </c>
      <c r="K460" s="3" t="s">
        <v>193</v>
      </c>
      <c r="L460" s="3">
        <v>77</v>
      </c>
      <c r="M460">
        <v>89422</v>
      </c>
      <c r="N460">
        <v>89434</v>
      </c>
      <c r="O460">
        <v>87535</v>
      </c>
      <c r="P460">
        <v>81750</v>
      </c>
      <c r="Q460">
        <v>0.93391214942594403</v>
      </c>
      <c r="R460">
        <v>60</v>
      </c>
      <c r="S460">
        <v>2.7226461082612499</v>
      </c>
      <c r="T460">
        <v>0.66497727948514496</v>
      </c>
    </row>
    <row r="461" spans="1:20" x14ac:dyDescent="0.2">
      <c r="A461" t="str">
        <f t="shared" si="7"/>
        <v>sample_16S-A-G05-L1_anaCS-Subj6-G05</v>
      </c>
      <c r="B461" t="s">
        <v>698</v>
      </c>
      <c r="C461" s="3" t="s">
        <v>9</v>
      </c>
      <c r="D461" s="3" t="s">
        <v>7</v>
      </c>
      <c r="E461" s="3" t="s">
        <v>3</v>
      </c>
      <c r="F461" s="3" t="s">
        <v>99</v>
      </c>
      <c r="G461" s="3" t="s">
        <v>20</v>
      </c>
      <c r="H461" s="3" t="s">
        <v>13</v>
      </c>
      <c r="I461" s="3" t="s">
        <v>21</v>
      </c>
      <c r="J461" s="3" t="s">
        <v>99</v>
      </c>
      <c r="K461" s="3" t="s">
        <v>193</v>
      </c>
      <c r="L461" s="3">
        <v>77</v>
      </c>
      <c r="M461">
        <v>67990</v>
      </c>
      <c r="N461">
        <v>68062</v>
      </c>
      <c r="O461">
        <v>66409</v>
      </c>
      <c r="P461">
        <v>59979</v>
      </c>
      <c r="Q461">
        <v>0.90317577436793195</v>
      </c>
      <c r="R461">
        <v>66</v>
      </c>
      <c r="S461">
        <v>2.6427768148817101</v>
      </c>
      <c r="T461">
        <v>0.63078630044906003</v>
      </c>
    </row>
    <row r="462" spans="1:20" x14ac:dyDescent="0.2">
      <c r="A462" t="str">
        <f t="shared" si="7"/>
        <v>sample_16S-A-G05-L2_anaCS-Subj5-G05</v>
      </c>
      <c r="B462" t="s">
        <v>699</v>
      </c>
      <c r="C462" s="3" t="s">
        <v>9</v>
      </c>
      <c r="D462" s="3" t="s">
        <v>7</v>
      </c>
      <c r="E462" s="3" t="s">
        <v>3</v>
      </c>
      <c r="F462" s="3" t="s">
        <v>99</v>
      </c>
      <c r="G462" s="3" t="s">
        <v>22</v>
      </c>
      <c r="H462" s="3" t="s">
        <v>13</v>
      </c>
      <c r="I462" s="3" t="s">
        <v>19</v>
      </c>
      <c r="J462" s="3" t="s">
        <v>99</v>
      </c>
      <c r="K462" s="3" t="s">
        <v>193</v>
      </c>
      <c r="L462" s="3">
        <v>77</v>
      </c>
      <c r="M462">
        <v>61606</v>
      </c>
      <c r="N462">
        <v>61570</v>
      </c>
      <c r="O462">
        <v>59579</v>
      </c>
      <c r="P462">
        <v>53506</v>
      </c>
      <c r="Q462">
        <v>0.89806811124725106</v>
      </c>
      <c r="R462">
        <v>61</v>
      </c>
      <c r="S462">
        <v>2.7223762562865299</v>
      </c>
      <c r="T462">
        <v>0.66223784680243403</v>
      </c>
    </row>
    <row r="463" spans="1:20" x14ac:dyDescent="0.2">
      <c r="A463" t="str">
        <f t="shared" si="7"/>
        <v>sample_16S-A-G05-L3_anaCS-Subj6-G05</v>
      </c>
      <c r="B463" t="s">
        <v>700</v>
      </c>
      <c r="C463" s="3" t="s">
        <v>9</v>
      </c>
      <c r="D463" s="3" t="s">
        <v>7</v>
      </c>
      <c r="E463" s="3" t="s">
        <v>3</v>
      </c>
      <c r="F463" s="3" t="s">
        <v>99</v>
      </c>
      <c r="G463" s="3" t="s">
        <v>23</v>
      </c>
      <c r="H463" s="3" t="s">
        <v>13</v>
      </c>
      <c r="I463" s="3" t="s">
        <v>21</v>
      </c>
      <c r="J463" s="3" t="s">
        <v>99</v>
      </c>
      <c r="K463" s="3" t="s">
        <v>193</v>
      </c>
      <c r="L463" s="3">
        <v>77</v>
      </c>
      <c r="M463">
        <v>73286</v>
      </c>
      <c r="N463">
        <v>73362</v>
      </c>
      <c r="O463">
        <v>71205</v>
      </c>
      <c r="P463">
        <v>63371</v>
      </c>
      <c r="Q463">
        <v>0.88997963626149801</v>
      </c>
      <c r="R463">
        <v>67</v>
      </c>
      <c r="S463">
        <v>2.4767972871688402</v>
      </c>
      <c r="T463">
        <v>0.58905549379435795</v>
      </c>
    </row>
    <row r="464" spans="1:20" x14ac:dyDescent="0.2">
      <c r="A464" t="str">
        <f t="shared" si="7"/>
        <v>sample_HS-CS5_G06_Gatifloxacin_S462</v>
      </c>
      <c r="B464" t="s">
        <v>701</v>
      </c>
      <c r="C464" s="3" t="s">
        <v>10</v>
      </c>
      <c r="D464" s="3" t="s">
        <v>8</v>
      </c>
      <c r="E464" s="3" t="s">
        <v>11</v>
      </c>
      <c r="F464" s="3" t="s">
        <v>11</v>
      </c>
      <c r="G464" s="3" t="s">
        <v>11</v>
      </c>
      <c r="H464" s="3" t="s">
        <v>13</v>
      </c>
      <c r="I464" s="3" t="s">
        <v>19</v>
      </c>
      <c r="J464" s="3" t="s">
        <v>100</v>
      </c>
      <c r="K464" s="3" t="s">
        <v>194</v>
      </c>
      <c r="L464" s="3">
        <v>78</v>
      </c>
      <c r="M464">
        <v>16350</v>
      </c>
      <c r="N464">
        <v>16349</v>
      </c>
      <c r="O464">
        <v>16002</v>
      </c>
      <c r="P464">
        <v>15876</v>
      </c>
      <c r="Q464">
        <v>0.99212598425196896</v>
      </c>
      <c r="R464">
        <v>36</v>
      </c>
      <c r="S464">
        <v>2.3656941748551099</v>
      </c>
      <c r="T464">
        <v>0.66015952907851005</v>
      </c>
    </row>
    <row r="465" spans="1:20" x14ac:dyDescent="0.2">
      <c r="A465" t="str">
        <f t="shared" si="7"/>
        <v>sample_HS-CS6_G06_Gatifloxacin_S558</v>
      </c>
      <c r="B465" t="s">
        <v>702</v>
      </c>
      <c r="C465" s="3" t="s">
        <v>10</v>
      </c>
      <c r="D465" s="3" t="s">
        <v>8</v>
      </c>
      <c r="E465" s="3" t="s">
        <v>11</v>
      </c>
      <c r="F465" s="3" t="s">
        <v>11</v>
      </c>
      <c r="G465" s="3" t="s">
        <v>11</v>
      </c>
      <c r="H465" s="3" t="s">
        <v>13</v>
      </c>
      <c r="I465" s="3" t="s">
        <v>21</v>
      </c>
      <c r="J465" s="3" t="s">
        <v>100</v>
      </c>
      <c r="K465" s="3" t="s">
        <v>194</v>
      </c>
      <c r="L465" s="3">
        <v>78</v>
      </c>
      <c r="M465">
        <v>9105</v>
      </c>
      <c r="N465">
        <v>9145</v>
      </c>
      <c r="O465">
        <v>8902</v>
      </c>
      <c r="P465">
        <v>8602</v>
      </c>
      <c r="Q465">
        <v>0.966299707930802</v>
      </c>
      <c r="R465" t="s">
        <v>11</v>
      </c>
      <c r="S465" t="s">
        <v>11</v>
      </c>
      <c r="T465" t="s">
        <v>11</v>
      </c>
    </row>
    <row r="466" spans="1:20" x14ac:dyDescent="0.2">
      <c r="A466" t="str">
        <f t="shared" si="7"/>
        <v>sample_16S-A-G06-L0_anaCS-Subj5-G06</v>
      </c>
      <c r="B466" t="s">
        <v>703</v>
      </c>
      <c r="C466" s="3" t="s">
        <v>9</v>
      </c>
      <c r="D466" s="3" t="s">
        <v>7</v>
      </c>
      <c r="E466" s="3" t="s">
        <v>3</v>
      </c>
      <c r="F466" s="3" t="s">
        <v>100</v>
      </c>
      <c r="G466" s="3" t="s">
        <v>18</v>
      </c>
      <c r="H466" s="3" t="s">
        <v>13</v>
      </c>
      <c r="I466" s="3" t="s">
        <v>19</v>
      </c>
      <c r="J466" s="3" t="s">
        <v>100</v>
      </c>
      <c r="K466" s="3" t="s">
        <v>194</v>
      </c>
      <c r="L466" s="3">
        <v>78</v>
      </c>
      <c r="M466">
        <v>105745</v>
      </c>
      <c r="N466">
        <v>105900</v>
      </c>
      <c r="O466">
        <v>104118</v>
      </c>
      <c r="P466">
        <v>97250</v>
      </c>
      <c r="Q466">
        <v>0.93403638179757598</v>
      </c>
      <c r="R466">
        <v>45</v>
      </c>
      <c r="S466">
        <v>2.49352781116341</v>
      </c>
      <c r="T466">
        <v>0.65504305093091197</v>
      </c>
    </row>
    <row r="467" spans="1:20" x14ac:dyDescent="0.2">
      <c r="A467" t="str">
        <f t="shared" si="7"/>
        <v>sample_16S-A-G06-L1_anaCS-Subj6-G06</v>
      </c>
      <c r="B467" t="s">
        <v>704</v>
      </c>
      <c r="C467" s="3" t="s">
        <v>9</v>
      </c>
      <c r="D467" s="3" t="s">
        <v>7</v>
      </c>
      <c r="E467" s="3" t="s">
        <v>3</v>
      </c>
      <c r="F467" s="3" t="s">
        <v>100</v>
      </c>
      <c r="G467" s="3" t="s">
        <v>20</v>
      </c>
      <c r="H467" s="3" t="s">
        <v>13</v>
      </c>
      <c r="I467" s="3" t="s">
        <v>21</v>
      </c>
      <c r="J467" s="3" t="s">
        <v>100</v>
      </c>
      <c r="K467" s="3" t="s">
        <v>194</v>
      </c>
      <c r="L467" s="3">
        <v>78</v>
      </c>
      <c r="M467">
        <v>70144</v>
      </c>
      <c r="N467">
        <v>70141</v>
      </c>
      <c r="O467">
        <v>69342</v>
      </c>
      <c r="P467">
        <v>66008</v>
      </c>
      <c r="Q467">
        <v>0.95191947160451096</v>
      </c>
      <c r="R467">
        <v>42</v>
      </c>
      <c r="S467">
        <v>2.41907636815142</v>
      </c>
      <c r="T467">
        <v>0.64721514077064102</v>
      </c>
    </row>
    <row r="468" spans="1:20" x14ac:dyDescent="0.2">
      <c r="A468" t="str">
        <f t="shared" si="7"/>
        <v>sample_16S-A-G06-L2_anaCS-Subj5-G06</v>
      </c>
      <c r="B468" t="s">
        <v>705</v>
      </c>
      <c r="C468" s="3" t="s">
        <v>9</v>
      </c>
      <c r="D468" s="3" t="s">
        <v>7</v>
      </c>
      <c r="E468" s="3" t="s">
        <v>3</v>
      </c>
      <c r="F468" s="3" t="s">
        <v>100</v>
      </c>
      <c r="G468" s="3" t="s">
        <v>22</v>
      </c>
      <c r="H468" s="3" t="s">
        <v>13</v>
      </c>
      <c r="I468" s="3" t="s">
        <v>19</v>
      </c>
      <c r="J468" s="3" t="s">
        <v>100</v>
      </c>
      <c r="K468" s="3" t="s">
        <v>194</v>
      </c>
      <c r="L468" s="3">
        <v>78</v>
      </c>
      <c r="M468">
        <v>111188</v>
      </c>
      <c r="N468">
        <v>111222</v>
      </c>
      <c r="O468">
        <v>108780</v>
      </c>
      <c r="P468">
        <v>97348</v>
      </c>
      <c r="Q468">
        <v>0.89490715205000904</v>
      </c>
      <c r="R468">
        <v>47</v>
      </c>
      <c r="S468">
        <v>2.470003642704</v>
      </c>
      <c r="T468">
        <v>0.641534792486121</v>
      </c>
    </row>
    <row r="469" spans="1:20" x14ac:dyDescent="0.2">
      <c r="A469" t="str">
        <f t="shared" si="7"/>
        <v>sample_16S-A-G06-L3_anaCS-Subj6-G06</v>
      </c>
      <c r="B469" t="s">
        <v>706</v>
      </c>
      <c r="C469" s="3" t="s">
        <v>9</v>
      </c>
      <c r="D469" s="3" t="s">
        <v>7</v>
      </c>
      <c r="E469" s="3" t="s">
        <v>3</v>
      </c>
      <c r="F469" s="3" t="s">
        <v>100</v>
      </c>
      <c r="G469" s="3" t="s">
        <v>23</v>
      </c>
      <c r="H469" s="3" t="s">
        <v>13</v>
      </c>
      <c r="I469" s="3" t="s">
        <v>21</v>
      </c>
      <c r="J469" s="3" t="s">
        <v>100</v>
      </c>
      <c r="K469" s="3" t="s">
        <v>194</v>
      </c>
      <c r="L469" s="3">
        <v>78</v>
      </c>
      <c r="M469">
        <v>126491</v>
      </c>
      <c r="N469">
        <v>126538</v>
      </c>
      <c r="O469">
        <v>124674</v>
      </c>
      <c r="P469">
        <v>115313</v>
      </c>
      <c r="Q469">
        <v>0.924916181401094</v>
      </c>
      <c r="R469">
        <v>47</v>
      </c>
      <c r="S469">
        <v>2.4438750302315699</v>
      </c>
      <c r="T469">
        <v>0.63474840007331601</v>
      </c>
    </row>
    <row r="470" spans="1:20" x14ac:dyDescent="0.2">
      <c r="A470" t="str">
        <f t="shared" si="7"/>
        <v>sample_HS-CS5_G07_3-Pyridinemethanol_S463</v>
      </c>
      <c r="B470" t="s">
        <v>707</v>
      </c>
      <c r="C470" s="3" t="s">
        <v>10</v>
      </c>
      <c r="D470" s="3" t="s">
        <v>8</v>
      </c>
      <c r="E470" s="3" t="s">
        <v>11</v>
      </c>
      <c r="F470" s="3" t="s">
        <v>11</v>
      </c>
      <c r="G470" s="3" t="s">
        <v>11</v>
      </c>
      <c r="H470" s="3" t="s">
        <v>13</v>
      </c>
      <c r="I470" s="3" t="s">
        <v>19</v>
      </c>
      <c r="J470" s="3" t="s">
        <v>101</v>
      </c>
      <c r="K470" s="3" t="s">
        <v>195</v>
      </c>
      <c r="L470" s="3">
        <v>79</v>
      </c>
      <c r="M470">
        <v>16461</v>
      </c>
      <c r="N470">
        <v>16553</v>
      </c>
      <c r="O470">
        <v>16105</v>
      </c>
      <c r="P470">
        <v>15961</v>
      </c>
      <c r="Q470">
        <v>0.99105867742937004</v>
      </c>
      <c r="R470">
        <v>36</v>
      </c>
      <c r="S470">
        <v>2.4944241398080602</v>
      </c>
      <c r="T470">
        <v>0.69608230977641705</v>
      </c>
    </row>
    <row r="471" spans="1:20" x14ac:dyDescent="0.2">
      <c r="A471" t="str">
        <f t="shared" si="7"/>
        <v>sample_HS-CS6_G07_3-Pyridinemethanol_S559</v>
      </c>
      <c r="B471" t="s">
        <v>708</v>
      </c>
      <c r="C471" s="3" t="s">
        <v>10</v>
      </c>
      <c r="D471" s="3" t="s">
        <v>8</v>
      </c>
      <c r="E471" s="3" t="s">
        <v>11</v>
      </c>
      <c r="F471" s="3" t="s">
        <v>11</v>
      </c>
      <c r="G471" s="3" t="s">
        <v>11</v>
      </c>
      <c r="H471" s="3" t="s">
        <v>13</v>
      </c>
      <c r="I471" s="3" t="s">
        <v>21</v>
      </c>
      <c r="J471" s="3" t="s">
        <v>101</v>
      </c>
      <c r="K471" s="3" t="s">
        <v>195</v>
      </c>
      <c r="L471" s="3">
        <v>79</v>
      </c>
      <c r="M471">
        <v>12249</v>
      </c>
      <c r="N471">
        <v>12280</v>
      </c>
      <c r="O471">
        <v>11950</v>
      </c>
      <c r="P471">
        <v>11665</v>
      </c>
      <c r="Q471">
        <v>0.97615062761506299</v>
      </c>
      <c r="R471">
        <v>27</v>
      </c>
      <c r="S471">
        <v>1.3620095093754001</v>
      </c>
      <c r="T471">
        <v>0.41325149415742102</v>
      </c>
    </row>
    <row r="472" spans="1:20" x14ac:dyDescent="0.2">
      <c r="A472" t="str">
        <f t="shared" si="7"/>
        <v>sample_16S-A-G07-L0_anaCS-Subj5-G07</v>
      </c>
      <c r="B472" t="s">
        <v>709</v>
      </c>
      <c r="C472" s="3" t="s">
        <v>9</v>
      </c>
      <c r="D472" s="3" t="s">
        <v>7</v>
      </c>
      <c r="E472" s="3" t="s">
        <v>3</v>
      </c>
      <c r="F472" s="3" t="s">
        <v>101</v>
      </c>
      <c r="G472" s="3" t="s">
        <v>18</v>
      </c>
      <c r="H472" s="3" t="s">
        <v>13</v>
      </c>
      <c r="I472" s="3" t="s">
        <v>19</v>
      </c>
      <c r="J472" s="3" t="s">
        <v>101</v>
      </c>
      <c r="K472" s="3" t="s">
        <v>195</v>
      </c>
      <c r="L472" s="3">
        <v>79</v>
      </c>
      <c r="M472">
        <v>44187</v>
      </c>
      <c r="N472">
        <v>44227</v>
      </c>
      <c r="O472">
        <v>43061</v>
      </c>
      <c r="P472">
        <v>40796</v>
      </c>
      <c r="Q472">
        <v>0.94740019971668099</v>
      </c>
      <c r="R472">
        <v>57</v>
      </c>
      <c r="S472">
        <v>2.8680895069664598</v>
      </c>
      <c r="T472">
        <v>0.70938737032207</v>
      </c>
    </row>
    <row r="473" spans="1:20" x14ac:dyDescent="0.2">
      <c r="A473" t="str">
        <f t="shared" si="7"/>
        <v>sample_16S-A-G07-L1_anaCS-Subj6-G07</v>
      </c>
      <c r="B473" t="s">
        <v>710</v>
      </c>
      <c r="C473" s="3" t="s">
        <v>9</v>
      </c>
      <c r="D473" s="3" t="s">
        <v>7</v>
      </c>
      <c r="E473" s="3" t="s">
        <v>3</v>
      </c>
      <c r="F473" s="3" t="s">
        <v>101</v>
      </c>
      <c r="G473" s="3" t="s">
        <v>20</v>
      </c>
      <c r="H473" s="3" t="s">
        <v>13</v>
      </c>
      <c r="I473" s="3" t="s">
        <v>21</v>
      </c>
      <c r="J473" s="3" t="s">
        <v>101</v>
      </c>
      <c r="K473" s="3" t="s">
        <v>195</v>
      </c>
      <c r="L473" s="3">
        <v>79</v>
      </c>
      <c r="M473">
        <v>26960</v>
      </c>
      <c r="N473">
        <v>27007</v>
      </c>
      <c r="O473">
        <v>26469</v>
      </c>
      <c r="P473">
        <v>25191</v>
      </c>
      <c r="Q473">
        <v>0.95171710302618195</v>
      </c>
      <c r="R473">
        <v>51</v>
      </c>
      <c r="S473">
        <v>2.2730631064464002</v>
      </c>
      <c r="T473">
        <v>0.57811900088545298</v>
      </c>
    </row>
    <row r="474" spans="1:20" x14ac:dyDescent="0.2">
      <c r="A474" t="str">
        <f t="shared" si="7"/>
        <v>sample_16S-A-G07-L2_anaCS-Subj5-G07</v>
      </c>
      <c r="B474" t="s">
        <v>711</v>
      </c>
      <c r="C474" s="3" t="s">
        <v>9</v>
      </c>
      <c r="D474" s="3" t="s">
        <v>7</v>
      </c>
      <c r="E474" s="3" t="s">
        <v>3</v>
      </c>
      <c r="F474" s="3" t="s">
        <v>101</v>
      </c>
      <c r="G474" s="3" t="s">
        <v>22</v>
      </c>
      <c r="H474" s="3" t="s">
        <v>13</v>
      </c>
      <c r="I474" s="3" t="s">
        <v>19</v>
      </c>
      <c r="J474" s="3" t="s">
        <v>101</v>
      </c>
      <c r="K474" s="3" t="s">
        <v>195</v>
      </c>
      <c r="L474" s="3">
        <v>79</v>
      </c>
      <c r="M474">
        <v>19410</v>
      </c>
      <c r="N474">
        <v>19532</v>
      </c>
      <c r="O474">
        <v>18755</v>
      </c>
      <c r="P474">
        <v>17429</v>
      </c>
      <c r="Q474">
        <v>0.92929885363902998</v>
      </c>
      <c r="R474">
        <v>43</v>
      </c>
      <c r="S474">
        <v>2.74336317532505</v>
      </c>
      <c r="T474">
        <v>0.72938506086884203</v>
      </c>
    </row>
    <row r="475" spans="1:20" x14ac:dyDescent="0.2">
      <c r="A475" t="str">
        <f t="shared" si="7"/>
        <v>sample_16S-A-G07-L3_anaCS-Subj6-G07</v>
      </c>
      <c r="B475" t="s">
        <v>712</v>
      </c>
      <c r="C475" s="3" t="s">
        <v>9</v>
      </c>
      <c r="D475" s="3" t="s">
        <v>7</v>
      </c>
      <c r="E475" s="3" t="s">
        <v>3</v>
      </c>
      <c r="F475" s="3" t="s">
        <v>101</v>
      </c>
      <c r="G475" s="3" t="s">
        <v>23</v>
      </c>
      <c r="H475" s="3" t="s">
        <v>13</v>
      </c>
      <c r="I475" s="3" t="s">
        <v>21</v>
      </c>
      <c r="J475" s="3" t="s">
        <v>101</v>
      </c>
      <c r="K475" s="3" t="s">
        <v>195</v>
      </c>
      <c r="L475" s="3">
        <v>79</v>
      </c>
      <c r="M475">
        <v>21257</v>
      </c>
      <c r="N475">
        <v>21261</v>
      </c>
      <c r="O475">
        <v>20741</v>
      </c>
      <c r="P475">
        <v>19417</v>
      </c>
      <c r="Q475">
        <v>0.93616508365074003</v>
      </c>
      <c r="R475">
        <v>44</v>
      </c>
      <c r="S475">
        <v>2.0994107943509701</v>
      </c>
      <c r="T475">
        <v>0.55478477493137002</v>
      </c>
    </row>
    <row r="476" spans="1:20" x14ac:dyDescent="0.2">
      <c r="A476" t="str">
        <f t="shared" si="7"/>
        <v>sample_HS-CS5_G08_Lomerizine-dihydrochloride_S464</v>
      </c>
      <c r="B476" t="s">
        <v>713</v>
      </c>
      <c r="C476" s="3" t="s">
        <v>10</v>
      </c>
      <c r="D476" s="3" t="s">
        <v>8</v>
      </c>
      <c r="E476" s="3" t="s">
        <v>11</v>
      </c>
      <c r="F476" s="3" t="s">
        <v>11</v>
      </c>
      <c r="G476" s="3" t="s">
        <v>11</v>
      </c>
      <c r="H476" s="3" t="s">
        <v>13</v>
      </c>
      <c r="I476" s="3" t="s">
        <v>19</v>
      </c>
      <c r="J476" s="3" t="s">
        <v>102</v>
      </c>
      <c r="K476" s="3" t="s">
        <v>196</v>
      </c>
      <c r="L476" s="3">
        <v>80</v>
      </c>
      <c r="M476">
        <v>18767</v>
      </c>
      <c r="N476">
        <v>18856</v>
      </c>
      <c r="O476">
        <v>18323</v>
      </c>
      <c r="P476">
        <v>18229</v>
      </c>
      <c r="Q476">
        <v>0.99486983572559096</v>
      </c>
      <c r="R476">
        <v>41</v>
      </c>
      <c r="S476">
        <v>2.3775453396548998</v>
      </c>
      <c r="T476">
        <v>0.64023137209907599</v>
      </c>
    </row>
    <row r="477" spans="1:20" x14ac:dyDescent="0.2">
      <c r="A477" t="str">
        <f t="shared" si="7"/>
        <v>sample_HS-CS6_G08_Lomerizine-dihydrochloride_S560</v>
      </c>
      <c r="B477" t="s">
        <v>714</v>
      </c>
      <c r="C477" s="3" t="s">
        <v>10</v>
      </c>
      <c r="D477" s="3" t="s">
        <v>8</v>
      </c>
      <c r="E477" s="3" t="s">
        <v>11</v>
      </c>
      <c r="F477" s="3" t="s">
        <v>11</v>
      </c>
      <c r="G477" s="3" t="s">
        <v>11</v>
      </c>
      <c r="H477" s="3" t="s">
        <v>13</v>
      </c>
      <c r="I477" s="3" t="s">
        <v>21</v>
      </c>
      <c r="J477" s="3" t="s">
        <v>102</v>
      </c>
      <c r="K477" s="3" t="s">
        <v>196</v>
      </c>
      <c r="L477" s="3">
        <v>80</v>
      </c>
      <c r="M477">
        <v>12582</v>
      </c>
      <c r="N477">
        <v>12567</v>
      </c>
      <c r="O477">
        <v>12263</v>
      </c>
      <c r="P477">
        <v>12117</v>
      </c>
      <c r="Q477">
        <v>0.98809426730816297</v>
      </c>
      <c r="R477">
        <v>29</v>
      </c>
      <c r="S477">
        <v>1.33878124798651</v>
      </c>
      <c r="T477">
        <v>0.39758349595078102</v>
      </c>
    </row>
    <row r="478" spans="1:20" x14ac:dyDescent="0.2">
      <c r="A478" t="str">
        <f t="shared" si="7"/>
        <v>sample_16S-A-G08-L0_anaCS-Subj5-G08</v>
      </c>
      <c r="B478" t="s">
        <v>715</v>
      </c>
      <c r="C478" s="3" t="s">
        <v>9</v>
      </c>
      <c r="D478" s="3" t="s">
        <v>7</v>
      </c>
      <c r="E478" s="3" t="s">
        <v>3</v>
      </c>
      <c r="F478" s="3" t="s">
        <v>102</v>
      </c>
      <c r="G478" s="3" t="s">
        <v>18</v>
      </c>
      <c r="H478" s="3" t="s">
        <v>13</v>
      </c>
      <c r="I478" s="3" t="s">
        <v>19</v>
      </c>
      <c r="J478" s="3" t="s">
        <v>102</v>
      </c>
      <c r="K478" s="3" t="s">
        <v>196</v>
      </c>
      <c r="L478" s="3">
        <v>80</v>
      </c>
      <c r="M478">
        <v>90817</v>
      </c>
      <c r="N478">
        <v>91055</v>
      </c>
      <c r="O478">
        <v>88763</v>
      </c>
      <c r="P478">
        <v>81981</v>
      </c>
      <c r="Q478">
        <v>0.92359429041379904</v>
      </c>
      <c r="R478">
        <v>69</v>
      </c>
      <c r="S478">
        <v>2.8341376394827198</v>
      </c>
      <c r="T478">
        <v>0.66935908116753795</v>
      </c>
    </row>
    <row r="479" spans="1:20" x14ac:dyDescent="0.2">
      <c r="A479" t="str">
        <f t="shared" si="7"/>
        <v>sample_16S-A-G08-L1_anaCS-Subj6-G08</v>
      </c>
      <c r="B479" t="s">
        <v>716</v>
      </c>
      <c r="C479" s="3" t="s">
        <v>9</v>
      </c>
      <c r="D479" s="3" t="s">
        <v>7</v>
      </c>
      <c r="E479" s="3" t="s">
        <v>3</v>
      </c>
      <c r="F479" s="3" t="s">
        <v>102</v>
      </c>
      <c r="G479" s="3" t="s">
        <v>20</v>
      </c>
      <c r="H479" s="3" t="s">
        <v>13</v>
      </c>
      <c r="I479" s="3" t="s">
        <v>21</v>
      </c>
      <c r="J479" s="3" t="s">
        <v>102</v>
      </c>
      <c r="K479" s="3" t="s">
        <v>196</v>
      </c>
      <c r="L479" s="3">
        <v>80</v>
      </c>
      <c r="M479">
        <v>67758</v>
      </c>
      <c r="N479">
        <v>67765</v>
      </c>
      <c r="O479">
        <v>66493</v>
      </c>
      <c r="P479">
        <v>61633</v>
      </c>
      <c r="Q479">
        <v>0.92690959950671503</v>
      </c>
      <c r="R479">
        <v>68</v>
      </c>
      <c r="S479">
        <v>2.56081557371758</v>
      </c>
      <c r="T479">
        <v>0.60689913436494203</v>
      </c>
    </row>
    <row r="480" spans="1:20" x14ac:dyDescent="0.2">
      <c r="A480" t="str">
        <f t="shared" si="7"/>
        <v>sample_16S-A-G08-L2_anaCS-Subj5-G08</v>
      </c>
      <c r="B480" t="s">
        <v>717</v>
      </c>
      <c r="C480" s="3" t="s">
        <v>9</v>
      </c>
      <c r="D480" s="3" t="s">
        <v>7</v>
      </c>
      <c r="E480" s="3" t="s">
        <v>3</v>
      </c>
      <c r="F480" s="3" t="s">
        <v>102</v>
      </c>
      <c r="G480" s="3" t="s">
        <v>22</v>
      </c>
      <c r="H480" s="3" t="s">
        <v>13</v>
      </c>
      <c r="I480" s="3" t="s">
        <v>19</v>
      </c>
      <c r="J480" s="3" t="s">
        <v>102</v>
      </c>
      <c r="K480" s="3" t="s">
        <v>196</v>
      </c>
      <c r="L480" s="3">
        <v>80</v>
      </c>
      <c r="M480">
        <v>36962</v>
      </c>
      <c r="N480">
        <v>37030</v>
      </c>
      <c r="O480">
        <v>35362</v>
      </c>
      <c r="P480">
        <v>31723</v>
      </c>
      <c r="Q480">
        <v>0.89709292460833701</v>
      </c>
      <c r="R480">
        <v>60</v>
      </c>
      <c r="S480">
        <v>2.7702918007566599</v>
      </c>
      <c r="T480">
        <v>0.67661423181569202</v>
      </c>
    </row>
    <row r="481" spans="1:20" x14ac:dyDescent="0.2">
      <c r="A481" t="str">
        <f t="shared" si="7"/>
        <v>sample_16S-A-G08-L3_anaCS-Subj6-G08</v>
      </c>
      <c r="B481" t="s">
        <v>718</v>
      </c>
      <c r="C481" s="3" t="s">
        <v>9</v>
      </c>
      <c r="D481" s="3" t="s">
        <v>7</v>
      </c>
      <c r="E481" s="3" t="s">
        <v>3</v>
      </c>
      <c r="F481" s="3" t="s">
        <v>102</v>
      </c>
      <c r="G481" s="3" t="s">
        <v>23</v>
      </c>
      <c r="H481" s="3" t="s">
        <v>13</v>
      </c>
      <c r="I481" s="3" t="s">
        <v>21</v>
      </c>
      <c r="J481" s="3" t="s">
        <v>102</v>
      </c>
      <c r="K481" s="3" t="s">
        <v>196</v>
      </c>
      <c r="L481" s="3">
        <v>80</v>
      </c>
      <c r="M481">
        <v>90640</v>
      </c>
      <c r="N481">
        <v>90635</v>
      </c>
      <c r="O481">
        <v>88630</v>
      </c>
      <c r="P481">
        <v>79046</v>
      </c>
      <c r="Q481">
        <v>0.89186505697844998</v>
      </c>
      <c r="R481">
        <v>71</v>
      </c>
      <c r="S481">
        <v>2.47971161810477</v>
      </c>
      <c r="T481">
        <v>0.58172597746793897</v>
      </c>
    </row>
    <row r="482" spans="1:20" x14ac:dyDescent="0.2">
      <c r="A482" t="str">
        <f t="shared" si="7"/>
        <v>sample_16S-A-G09-L0_anaCS-Subj5-G09</v>
      </c>
      <c r="B482" t="s">
        <v>719</v>
      </c>
      <c r="C482" s="3" t="s">
        <v>9</v>
      </c>
      <c r="D482" s="3" t="s">
        <v>7</v>
      </c>
      <c r="E482" s="3" t="s">
        <v>3</v>
      </c>
      <c r="F482" s="3" t="s">
        <v>103</v>
      </c>
      <c r="G482" s="3" t="s">
        <v>18</v>
      </c>
      <c r="H482" s="3" t="s">
        <v>13</v>
      </c>
      <c r="I482" s="3" t="s">
        <v>19</v>
      </c>
      <c r="J482" s="3" t="s">
        <v>103</v>
      </c>
      <c r="K482" s="3" t="s">
        <v>197</v>
      </c>
      <c r="L482" s="3">
        <v>81</v>
      </c>
      <c r="M482">
        <v>103187</v>
      </c>
      <c r="N482">
        <v>103373</v>
      </c>
      <c r="O482">
        <v>100742</v>
      </c>
      <c r="P482">
        <v>91998</v>
      </c>
      <c r="Q482">
        <v>0.91320402612614404</v>
      </c>
      <c r="R482">
        <v>73</v>
      </c>
      <c r="S482">
        <v>2.86988217141444</v>
      </c>
      <c r="T482">
        <v>0.66889856687382698</v>
      </c>
    </row>
    <row r="483" spans="1:20" x14ac:dyDescent="0.2">
      <c r="A483" t="str">
        <f t="shared" si="7"/>
        <v>sample_16S-A-G09-L1_anaCS-Subj6-G09</v>
      </c>
      <c r="B483" t="s">
        <v>720</v>
      </c>
      <c r="C483" s="3" t="s">
        <v>9</v>
      </c>
      <c r="D483" s="3" t="s">
        <v>7</v>
      </c>
      <c r="E483" s="3" t="s">
        <v>3</v>
      </c>
      <c r="F483" s="3" t="s">
        <v>103</v>
      </c>
      <c r="G483" s="3" t="s">
        <v>20</v>
      </c>
      <c r="H483" s="3" t="s">
        <v>13</v>
      </c>
      <c r="I483" s="3" t="s">
        <v>21</v>
      </c>
      <c r="J483" s="3" t="s">
        <v>103</v>
      </c>
      <c r="K483" s="3" t="s">
        <v>197</v>
      </c>
      <c r="L483" s="3">
        <v>81</v>
      </c>
      <c r="M483">
        <v>61543</v>
      </c>
      <c r="N483">
        <v>61593</v>
      </c>
      <c r="O483">
        <v>60434</v>
      </c>
      <c r="P483">
        <v>56055</v>
      </c>
      <c r="Q483">
        <v>0.92754078829797804</v>
      </c>
      <c r="R483">
        <v>66</v>
      </c>
      <c r="S483">
        <v>2.48497906456724</v>
      </c>
      <c r="T483">
        <v>0.59312263601112802</v>
      </c>
    </row>
    <row r="484" spans="1:20" x14ac:dyDescent="0.2">
      <c r="A484" t="str">
        <f t="shared" si="7"/>
        <v>sample_16S-A-G09-L2_anaCS-Subj5-G09</v>
      </c>
      <c r="B484" t="s">
        <v>721</v>
      </c>
      <c r="C484" s="3" t="s">
        <v>9</v>
      </c>
      <c r="D484" s="3" t="s">
        <v>7</v>
      </c>
      <c r="E484" s="3" t="s">
        <v>3</v>
      </c>
      <c r="F484" s="3" t="s">
        <v>103</v>
      </c>
      <c r="G484" s="3" t="s">
        <v>22</v>
      </c>
      <c r="H484" s="3" t="s">
        <v>13</v>
      </c>
      <c r="I484" s="3" t="s">
        <v>19</v>
      </c>
      <c r="J484" s="3" t="s">
        <v>103</v>
      </c>
      <c r="K484" s="3" t="s">
        <v>197</v>
      </c>
      <c r="L484" s="3">
        <v>81</v>
      </c>
      <c r="M484">
        <v>64105</v>
      </c>
      <c r="N484">
        <v>64150</v>
      </c>
      <c r="O484">
        <v>61530</v>
      </c>
      <c r="P484">
        <v>53727</v>
      </c>
      <c r="Q484">
        <v>0.87318381277425605</v>
      </c>
      <c r="R484">
        <v>65</v>
      </c>
      <c r="S484">
        <v>2.7890972729819201</v>
      </c>
      <c r="T484">
        <v>0.668145309156152</v>
      </c>
    </row>
    <row r="485" spans="1:20" x14ac:dyDescent="0.2">
      <c r="A485" t="str">
        <f t="shared" si="7"/>
        <v>sample_16S-A-G09-L3_anaCS-Subj6-G09</v>
      </c>
      <c r="B485" t="s">
        <v>722</v>
      </c>
      <c r="C485" s="3" t="s">
        <v>9</v>
      </c>
      <c r="D485" s="3" t="s">
        <v>7</v>
      </c>
      <c r="E485" s="3" t="s">
        <v>3</v>
      </c>
      <c r="F485" s="3" t="s">
        <v>103</v>
      </c>
      <c r="G485" s="3" t="s">
        <v>23</v>
      </c>
      <c r="H485" s="3" t="s">
        <v>13</v>
      </c>
      <c r="I485" s="3" t="s">
        <v>21</v>
      </c>
      <c r="J485" s="3" t="s">
        <v>103</v>
      </c>
      <c r="K485" s="3" t="s">
        <v>197</v>
      </c>
      <c r="L485" s="3">
        <v>81</v>
      </c>
      <c r="M485">
        <v>90360</v>
      </c>
      <c r="N485">
        <v>90423</v>
      </c>
      <c r="O485">
        <v>88520</v>
      </c>
      <c r="P485">
        <v>78982</v>
      </c>
      <c r="Q485">
        <v>0.89225033890646199</v>
      </c>
      <c r="R485">
        <v>67</v>
      </c>
      <c r="S485">
        <v>2.4502566173487899</v>
      </c>
      <c r="T485">
        <v>0.58274333920363897</v>
      </c>
    </row>
    <row r="486" spans="1:20" x14ac:dyDescent="0.2">
      <c r="A486" t="str">
        <f t="shared" si="7"/>
        <v>sample_HS-CS5_G09_Tizanidine-hydrochloride_S465</v>
      </c>
      <c r="B486" t="s">
        <v>723</v>
      </c>
      <c r="C486" s="3" t="s">
        <v>10</v>
      </c>
      <c r="D486" s="3" t="s">
        <v>8</v>
      </c>
      <c r="E486" s="3" t="s">
        <v>11</v>
      </c>
      <c r="F486" s="3" t="s">
        <v>11</v>
      </c>
      <c r="G486" s="3" t="s">
        <v>11</v>
      </c>
      <c r="H486" s="3" t="s">
        <v>13</v>
      </c>
      <c r="I486" s="3" t="s">
        <v>19</v>
      </c>
      <c r="J486" s="3" t="s">
        <v>103</v>
      </c>
      <c r="K486" s="3" t="s">
        <v>197</v>
      </c>
      <c r="L486" s="3">
        <v>81</v>
      </c>
      <c r="M486">
        <v>15241</v>
      </c>
      <c r="N486">
        <v>15296</v>
      </c>
      <c r="O486">
        <v>14846</v>
      </c>
      <c r="P486">
        <v>14707</v>
      </c>
      <c r="Q486">
        <v>0.99063720867573801</v>
      </c>
      <c r="R486">
        <v>44</v>
      </c>
      <c r="S486">
        <v>2.31633425644308</v>
      </c>
      <c r="T486">
        <v>0.61210839850134102</v>
      </c>
    </row>
    <row r="487" spans="1:20" x14ac:dyDescent="0.2">
      <c r="A487" t="str">
        <f t="shared" si="7"/>
        <v>sample_HS-CS6_G09_Tizanidine-hydrochloride_S561</v>
      </c>
      <c r="B487" t="s">
        <v>724</v>
      </c>
      <c r="C487" s="3" t="s">
        <v>10</v>
      </c>
      <c r="D487" s="3" t="s">
        <v>8</v>
      </c>
      <c r="E487" s="3" t="s">
        <v>11</v>
      </c>
      <c r="F487" s="3" t="s">
        <v>11</v>
      </c>
      <c r="G487" s="3" t="s">
        <v>11</v>
      </c>
      <c r="H487" s="3" t="s">
        <v>13</v>
      </c>
      <c r="I487" s="3" t="s">
        <v>21</v>
      </c>
      <c r="J487" s="3" t="s">
        <v>103</v>
      </c>
      <c r="K487" s="3" t="s">
        <v>197</v>
      </c>
      <c r="L487" s="3">
        <v>81</v>
      </c>
      <c r="M487">
        <v>12996</v>
      </c>
      <c r="N487">
        <v>13031</v>
      </c>
      <c r="O487">
        <v>12677</v>
      </c>
      <c r="P487">
        <v>12403</v>
      </c>
      <c r="Q487">
        <v>0.97838605348268504</v>
      </c>
      <c r="R487">
        <v>30</v>
      </c>
      <c r="S487">
        <v>1.3519494886855701</v>
      </c>
      <c r="T487">
        <v>0.39749221729227502</v>
      </c>
    </row>
    <row r="488" spans="1:20" x14ac:dyDescent="0.2">
      <c r="A488" t="str">
        <f t="shared" si="7"/>
        <v>sample_16S-A-G10-L0_anaCS-Subj5-G10</v>
      </c>
      <c r="B488" t="s">
        <v>725</v>
      </c>
      <c r="C488" s="3" t="s">
        <v>9</v>
      </c>
      <c r="D488" s="3" t="s">
        <v>7</v>
      </c>
      <c r="E488" s="3" t="s">
        <v>3</v>
      </c>
      <c r="F488" s="3" t="s">
        <v>104</v>
      </c>
      <c r="G488" s="3" t="s">
        <v>18</v>
      </c>
      <c r="H488" s="3" t="s">
        <v>13</v>
      </c>
      <c r="I488" s="3" t="s">
        <v>19</v>
      </c>
      <c r="J488" s="3" t="s">
        <v>104</v>
      </c>
      <c r="K488" s="3" t="s">
        <v>198</v>
      </c>
      <c r="L488" s="3">
        <v>82</v>
      </c>
      <c r="M488">
        <v>107238</v>
      </c>
      <c r="N488">
        <v>107396</v>
      </c>
      <c r="O488">
        <v>105137</v>
      </c>
      <c r="P488">
        <v>98167</v>
      </c>
      <c r="Q488">
        <v>0.93370554609699696</v>
      </c>
      <c r="R488">
        <v>59</v>
      </c>
      <c r="S488">
        <v>2.7666398522440399</v>
      </c>
      <c r="T488">
        <v>0.67850752820898197</v>
      </c>
    </row>
    <row r="489" spans="1:20" x14ac:dyDescent="0.2">
      <c r="A489" t="str">
        <f t="shared" si="7"/>
        <v>sample_16S-A-G10-L1_anaCS-Subj6-G10</v>
      </c>
      <c r="B489" t="s">
        <v>726</v>
      </c>
      <c r="C489" s="3" t="s">
        <v>9</v>
      </c>
      <c r="D489" s="3" t="s">
        <v>7</v>
      </c>
      <c r="E489" s="3" t="s">
        <v>3</v>
      </c>
      <c r="F489" s="3" t="s">
        <v>104</v>
      </c>
      <c r="G489" s="3" t="s">
        <v>20</v>
      </c>
      <c r="H489" s="3" t="s">
        <v>13</v>
      </c>
      <c r="I489" s="3" t="s">
        <v>21</v>
      </c>
      <c r="J489" s="3" t="s">
        <v>104</v>
      </c>
      <c r="K489" s="3" t="s">
        <v>198</v>
      </c>
      <c r="L489" s="3">
        <v>82</v>
      </c>
      <c r="M489">
        <v>77471</v>
      </c>
      <c r="N489">
        <v>77428</v>
      </c>
      <c r="O489">
        <v>75903</v>
      </c>
      <c r="P489">
        <v>68908</v>
      </c>
      <c r="Q489">
        <v>0.90784290476002305</v>
      </c>
      <c r="R489">
        <v>68</v>
      </c>
      <c r="S489">
        <v>2.5754460881748802</v>
      </c>
      <c r="T489">
        <v>0.610366485411451</v>
      </c>
    </row>
    <row r="490" spans="1:20" x14ac:dyDescent="0.2">
      <c r="A490" t="str">
        <f t="shared" si="7"/>
        <v>sample_16S-A-G10-L2_anaCS-Subj5-G10</v>
      </c>
      <c r="B490" t="s">
        <v>727</v>
      </c>
      <c r="C490" s="3" t="s">
        <v>9</v>
      </c>
      <c r="D490" s="3" t="s">
        <v>7</v>
      </c>
      <c r="E490" s="3" t="s">
        <v>3</v>
      </c>
      <c r="F490" s="3" t="s">
        <v>104</v>
      </c>
      <c r="G490" s="3" t="s">
        <v>22</v>
      </c>
      <c r="H490" s="3" t="s">
        <v>13</v>
      </c>
      <c r="I490" s="3" t="s">
        <v>19</v>
      </c>
      <c r="J490" s="3" t="s">
        <v>104</v>
      </c>
      <c r="K490" s="3" t="s">
        <v>198</v>
      </c>
      <c r="L490" s="3">
        <v>82</v>
      </c>
      <c r="M490">
        <v>97503</v>
      </c>
      <c r="N490">
        <v>97574</v>
      </c>
      <c r="O490">
        <v>94530</v>
      </c>
      <c r="P490">
        <v>83055</v>
      </c>
      <c r="Q490">
        <v>0.87860996509044798</v>
      </c>
      <c r="R490">
        <v>62</v>
      </c>
      <c r="S490">
        <v>2.7168563932852501</v>
      </c>
      <c r="T490">
        <v>0.65829123547077395</v>
      </c>
    </row>
    <row r="491" spans="1:20" x14ac:dyDescent="0.2">
      <c r="A491" t="str">
        <f t="shared" si="7"/>
        <v>sample_16S-A-G10-L3_anaCS-Subj6-G10</v>
      </c>
      <c r="B491" t="s">
        <v>728</v>
      </c>
      <c r="C491" s="3" t="s">
        <v>9</v>
      </c>
      <c r="D491" s="3" t="s">
        <v>7</v>
      </c>
      <c r="E491" s="3" t="s">
        <v>3</v>
      </c>
      <c r="F491" s="3" t="s">
        <v>104</v>
      </c>
      <c r="G491" s="3" t="s">
        <v>23</v>
      </c>
      <c r="H491" s="3" t="s">
        <v>13</v>
      </c>
      <c r="I491" s="3" t="s">
        <v>21</v>
      </c>
      <c r="J491" s="3" t="s">
        <v>104</v>
      </c>
      <c r="K491" s="3" t="s">
        <v>198</v>
      </c>
      <c r="L491" s="3">
        <v>82</v>
      </c>
      <c r="M491">
        <v>107763</v>
      </c>
      <c r="N491">
        <v>107878</v>
      </c>
      <c r="O491">
        <v>105186</v>
      </c>
      <c r="P491">
        <v>91836</v>
      </c>
      <c r="Q491">
        <v>0.87308196908333802</v>
      </c>
      <c r="R491">
        <v>75</v>
      </c>
      <c r="S491">
        <v>2.5841409274763198</v>
      </c>
      <c r="T491">
        <v>0.59852878792519404</v>
      </c>
    </row>
    <row r="492" spans="1:20" x14ac:dyDescent="0.2">
      <c r="A492" t="str">
        <f t="shared" si="7"/>
        <v>sample_HS-CS5_G10_Prednisone_S466</v>
      </c>
      <c r="B492" t="s">
        <v>729</v>
      </c>
      <c r="C492" s="3" t="s">
        <v>10</v>
      </c>
      <c r="D492" s="3" t="s">
        <v>8</v>
      </c>
      <c r="E492" s="3" t="s">
        <v>11</v>
      </c>
      <c r="F492" s="3" t="s">
        <v>11</v>
      </c>
      <c r="G492" s="3" t="s">
        <v>11</v>
      </c>
      <c r="H492" s="3" t="s">
        <v>13</v>
      </c>
      <c r="I492" s="3" t="s">
        <v>19</v>
      </c>
      <c r="J492" s="3" t="s">
        <v>104</v>
      </c>
      <c r="K492" s="3" t="s">
        <v>198</v>
      </c>
      <c r="L492" s="3">
        <v>82</v>
      </c>
      <c r="M492">
        <v>18541</v>
      </c>
      <c r="N492">
        <v>18623</v>
      </c>
      <c r="O492">
        <v>18119</v>
      </c>
      <c r="P492">
        <v>17952</v>
      </c>
      <c r="Q492">
        <v>0.99078315580330001</v>
      </c>
      <c r="R492">
        <v>41</v>
      </c>
      <c r="S492">
        <v>2.3192656629883599</v>
      </c>
      <c r="T492">
        <v>0.62453767459712795</v>
      </c>
    </row>
    <row r="493" spans="1:20" x14ac:dyDescent="0.2">
      <c r="A493" t="str">
        <f t="shared" si="7"/>
        <v>sample_HS-CS6_G10_Prednisone_S562</v>
      </c>
      <c r="B493" t="s">
        <v>730</v>
      </c>
      <c r="C493" s="3" t="s">
        <v>10</v>
      </c>
      <c r="D493" s="3" t="s">
        <v>8</v>
      </c>
      <c r="E493" s="3" t="s">
        <v>11</v>
      </c>
      <c r="F493" s="3" t="s">
        <v>11</v>
      </c>
      <c r="G493" s="3" t="s">
        <v>11</v>
      </c>
      <c r="H493" s="3" t="s">
        <v>13</v>
      </c>
      <c r="I493" s="3" t="s">
        <v>21</v>
      </c>
      <c r="J493" s="3" t="s">
        <v>104</v>
      </c>
      <c r="K493" s="3" t="s">
        <v>198</v>
      </c>
      <c r="L493" s="3">
        <v>82</v>
      </c>
      <c r="M493">
        <v>11847</v>
      </c>
      <c r="N493">
        <v>11881</v>
      </c>
      <c r="O493">
        <v>11648</v>
      </c>
      <c r="P493">
        <v>11367</v>
      </c>
      <c r="Q493">
        <v>0.97587568681318704</v>
      </c>
      <c r="R493">
        <v>30</v>
      </c>
      <c r="S493">
        <v>1.3688665866897001</v>
      </c>
      <c r="T493">
        <v>0.402466082700773</v>
      </c>
    </row>
    <row r="494" spans="1:20" x14ac:dyDescent="0.2">
      <c r="A494" t="str">
        <f t="shared" si="7"/>
        <v>sample_HS-CS5_G11_Methylprednisolone_S467</v>
      </c>
      <c r="B494" t="s">
        <v>731</v>
      </c>
      <c r="C494" s="3" t="s">
        <v>10</v>
      </c>
      <c r="D494" s="3" t="s">
        <v>8</v>
      </c>
      <c r="E494" s="3" t="s">
        <v>11</v>
      </c>
      <c r="F494" s="3" t="s">
        <v>11</v>
      </c>
      <c r="G494" s="3" t="s">
        <v>11</v>
      </c>
      <c r="H494" s="3" t="s">
        <v>13</v>
      </c>
      <c r="I494" s="3" t="s">
        <v>19</v>
      </c>
      <c r="J494" s="3" t="s">
        <v>105</v>
      </c>
      <c r="K494" s="3" t="s">
        <v>199</v>
      </c>
      <c r="L494" s="3">
        <v>83</v>
      </c>
      <c r="M494">
        <v>16460</v>
      </c>
      <c r="N494">
        <v>16510</v>
      </c>
      <c r="O494">
        <v>16108</v>
      </c>
      <c r="P494">
        <v>16044</v>
      </c>
      <c r="Q494">
        <v>0.99602681897193901</v>
      </c>
      <c r="R494">
        <v>44</v>
      </c>
      <c r="S494">
        <v>2.3956861940502199</v>
      </c>
      <c r="T494">
        <v>0.63307773283276503</v>
      </c>
    </row>
    <row r="495" spans="1:20" x14ac:dyDescent="0.2">
      <c r="A495" t="str">
        <f t="shared" si="7"/>
        <v>sample_HS-CS6_G11_Methylprednisolone_S563</v>
      </c>
      <c r="B495" t="s">
        <v>732</v>
      </c>
      <c r="C495" s="3" t="s">
        <v>10</v>
      </c>
      <c r="D495" s="3" t="s">
        <v>8</v>
      </c>
      <c r="E495" s="3" t="s">
        <v>11</v>
      </c>
      <c r="F495" s="3" t="s">
        <v>11</v>
      </c>
      <c r="G495" s="3" t="s">
        <v>11</v>
      </c>
      <c r="H495" s="3" t="s">
        <v>13</v>
      </c>
      <c r="I495" s="3" t="s">
        <v>21</v>
      </c>
      <c r="J495" s="3" t="s">
        <v>105</v>
      </c>
      <c r="K495" s="3" t="s">
        <v>199</v>
      </c>
      <c r="L495" s="3">
        <v>83</v>
      </c>
      <c r="M495">
        <v>11954</v>
      </c>
      <c r="N495">
        <v>11972</v>
      </c>
      <c r="O495">
        <v>11559</v>
      </c>
      <c r="P495">
        <v>11330</v>
      </c>
      <c r="Q495">
        <v>0.98018859762955302</v>
      </c>
      <c r="R495">
        <v>26</v>
      </c>
      <c r="S495">
        <v>1.3304631392744699</v>
      </c>
      <c r="T495">
        <v>0.40835595991345502</v>
      </c>
    </row>
    <row r="496" spans="1:20" x14ac:dyDescent="0.2">
      <c r="A496" t="str">
        <f t="shared" si="7"/>
        <v>sample_16S-A-G11-L0_anaCS-Subj5-G11</v>
      </c>
      <c r="B496" t="s">
        <v>733</v>
      </c>
      <c r="C496" s="3" t="s">
        <v>9</v>
      </c>
      <c r="D496" s="3" t="s">
        <v>7</v>
      </c>
      <c r="E496" s="3" t="s">
        <v>3</v>
      </c>
      <c r="F496" s="3" t="s">
        <v>105</v>
      </c>
      <c r="G496" s="3" t="s">
        <v>18</v>
      </c>
      <c r="H496" s="3" t="s">
        <v>13</v>
      </c>
      <c r="I496" s="3" t="s">
        <v>19</v>
      </c>
      <c r="J496" s="3" t="s">
        <v>105</v>
      </c>
      <c r="K496" s="3" t="s">
        <v>199</v>
      </c>
      <c r="L496" s="3">
        <v>83</v>
      </c>
      <c r="M496">
        <v>94225</v>
      </c>
      <c r="N496">
        <v>94212</v>
      </c>
      <c r="O496">
        <v>92142</v>
      </c>
      <c r="P496">
        <v>86266</v>
      </c>
      <c r="Q496">
        <v>0.93622886414447304</v>
      </c>
      <c r="R496">
        <v>71</v>
      </c>
      <c r="S496">
        <v>2.8330053161530802</v>
      </c>
      <c r="T496">
        <v>0.66460663194803304</v>
      </c>
    </row>
    <row r="497" spans="1:20" x14ac:dyDescent="0.2">
      <c r="A497" t="str">
        <f t="shared" si="7"/>
        <v>sample_16S-A-G11-L1_anaCS-Subj6-G11</v>
      </c>
      <c r="B497" t="s">
        <v>734</v>
      </c>
      <c r="C497" s="3" t="s">
        <v>9</v>
      </c>
      <c r="D497" s="3" t="s">
        <v>7</v>
      </c>
      <c r="E497" s="3" t="s">
        <v>3</v>
      </c>
      <c r="F497" s="3" t="s">
        <v>105</v>
      </c>
      <c r="G497" s="3" t="s">
        <v>20</v>
      </c>
      <c r="H497" s="3" t="s">
        <v>13</v>
      </c>
      <c r="I497" s="3" t="s">
        <v>21</v>
      </c>
      <c r="J497" s="3" t="s">
        <v>105</v>
      </c>
      <c r="K497" s="3" t="s">
        <v>199</v>
      </c>
      <c r="L497" s="3">
        <v>83</v>
      </c>
      <c r="M497">
        <v>65809</v>
      </c>
      <c r="N497">
        <v>65719</v>
      </c>
      <c r="O497">
        <v>64503</v>
      </c>
      <c r="P497">
        <v>59704</v>
      </c>
      <c r="Q497">
        <v>0.92560035967319398</v>
      </c>
      <c r="R497">
        <v>65</v>
      </c>
      <c r="S497">
        <v>2.4813969940757601</v>
      </c>
      <c r="T497">
        <v>0.59443382552711699</v>
      </c>
    </row>
    <row r="498" spans="1:20" x14ac:dyDescent="0.2">
      <c r="A498" t="str">
        <f t="shared" si="7"/>
        <v>sample_16S-A-G11-L2_anaCS-Subj5-G11</v>
      </c>
      <c r="B498" t="s">
        <v>735</v>
      </c>
      <c r="C498" s="3" t="s">
        <v>9</v>
      </c>
      <c r="D498" s="3" t="s">
        <v>7</v>
      </c>
      <c r="E498" s="3" t="s">
        <v>3</v>
      </c>
      <c r="F498" s="3" t="s">
        <v>105</v>
      </c>
      <c r="G498" s="3" t="s">
        <v>22</v>
      </c>
      <c r="H498" s="3" t="s">
        <v>13</v>
      </c>
      <c r="I498" s="3" t="s">
        <v>19</v>
      </c>
      <c r="J498" s="3" t="s">
        <v>105</v>
      </c>
      <c r="K498" s="3" t="s">
        <v>199</v>
      </c>
      <c r="L498" s="3">
        <v>83</v>
      </c>
      <c r="M498">
        <v>100562</v>
      </c>
      <c r="N498">
        <v>100672</v>
      </c>
      <c r="O498">
        <v>97605</v>
      </c>
      <c r="P498">
        <v>85880</v>
      </c>
      <c r="Q498">
        <v>0.87987295732800597</v>
      </c>
      <c r="R498">
        <v>63</v>
      </c>
      <c r="S498">
        <v>2.7753155735849599</v>
      </c>
      <c r="T498">
        <v>0.66985887663907095</v>
      </c>
    </row>
    <row r="499" spans="1:20" x14ac:dyDescent="0.2">
      <c r="A499" t="str">
        <f t="shared" si="7"/>
        <v>sample_16S-A-G11-L3_anaCS-Subj6-G11</v>
      </c>
      <c r="B499" t="s">
        <v>736</v>
      </c>
      <c r="C499" s="3" t="s">
        <v>9</v>
      </c>
      <c r="D499" s="3" t="s">
        <v>7</v>
      </c>
      <c r="E499" s="3" t="s">
        <v>3</v>
      </c>
      <c r="F499" s="3" t="s">
        <v>105</v>
      </c>
      <c r="G499" s="3" t="s">
        <v>23</v>
      </c>
      <c r="H499" s="3" t="s">
        <v>13</v>
      </c>
      <c r="I499" s="3" t="s">
        <v>21</v>
      </c>
      <c r="J499" s="3" t="s">
        <v>105</v>
      </c>
      <c r="K499" s="3" t="s">
        <v>199</v>
      </c>
      <c r="L499" s="3">
        <v>83</v>
      </c>
      <c r="M499">
        <v>123367</v>
      </c>
      <c r="N499">
        <v>123483</v>
      </c>
      <c r="O499">
        <v>120821</v>
      </c>
      <c r="P499">
        <v>107191</v>
      </c>
      <c r="Q499">
        <v>0.88718848544541096</v>
      </c>
      <c r="R499">
        <v>75</v>
      </c>
      <c r="S499">
        <v>2.5236014413271</v>
      </c>
      <c r="T499">
        <v>0.58450686486316705</v>
      </c>
    </row>
    <row r="500" spans="1:20" x14ac:dyDescent="0.2">
      <c r="A500" t="str">
        <f t="shared" si="7"/>
        <v>sample_16S-A-G12-L0_anaCS-Subj5-G12</v>
      </c>
      <c r="B500" t="s">
        <v>737</v>
      </c>
      <c r="C500" s="3" t="s">
        <v>9</v>
      </c>
      <c r="D500" s="3" t="s">
        <v>7</v>
      </c>
      <c r="E500" s="3" t="s">
        <v>3</v>
      </c>
      <c r="F500" s="3" t="s">
        <v>106</v>
      </c>
      <c r="G500" s="3" t="s">
        <v>18</v>
      </c>
      <c r="H500" s="3" t="s">
        <v>13</v>
      </c>
      <c r="I500" s="3" t="s">
        <v>19</v>
      </c>
      <c r="J500" s="3" t="s">
        <v>106</v>
      </c>
      <c r="K500" s="3" t="s">
        <v>200</v>
      </c>
      <c r="L500" s="3">
        <v>84</v>
      </c>
      <c r="M500">
        <v>81618</v>
      </c>
      <c r="N500">
        <v>81686</v>
      </c>
      <c r="O500">
        <v>79953</v>
      </c>
      <c r="P500">
        <v>74419</v>
      </c>
      <c r="Q500">
        <v>0.93078433579728104</v>
      </c>
      <c r="R500">
        <v>59</v>
      </c>
      <c r="S500">
        <v>2.7401725255328699</v>
      </c>
      <c r="T500">
        <v>0.67201652056643402</v>
      </c>
    </row>
    <row r="501" spans="1:20" x14ac:dyDescent="0.2">
      <c r="A501" t="str">
        <f t="shared" si="7"/>
        <v>sample_16S-A-G12-L1_anaCS-Subj6-G12</v>
      </c>
      <c r="B501" t="s">
        <v>738</v>
      </c>
      <c r="C501" s="3" t="s">
        <v>9</v>
      </c>
      <c r="D501" s="3" t="s">
        <v>7</v>
      </c>
      <c r="E501" s="3" t="s">
        <v>3</v>
      </c>
      <c r="F501" s="3" t="s">
        <v>106</v>
      </c>
      <c r="G501" s="3" t="s">
        <v>20</v>
      </c>
      <c r="H501" s="3" t="s">
        <v>13</v>
      </c>
      <c r="I501" s="3" t="s">
        <v>21</v>
      </c>
      <c r="J501" s="3" t="s">
        <v>106</v>
      </c>
      <c r="K501" s="3" t="s">
        <v>200</v>
      </c>
      <c r="L501" s="3">
        <v>84</v>
      </c>
      <c r="M501">
        <v>46281</v>
      </c>
      <c r="N501">
        <v>46309</v>
      </c>
      <c r="O501">
        <v>45250</v>
      </c>
      <c r="P501">
        <v>41737</v>
      </c>
      <c r="Q501">
        <v>0.92236464088397796</v>
      </c>
      <c r="R501">
        <v>61</v>
      </c>
      <c r="S501">
        <v>2.50044438833975</v>
      </c>
      <c r="T501">
        <v>0.60825130397003402</v>
      </c>
    </row>
    <row r="502" spans="1:20" x14ac:dyDescent="0.2">
      <c r="A502" t="str">
        <f t="shared" si="7"/>
        <v>sample_16S-A-G12-L2_anaCS-Subj5-G12</v>
      </c>
      <c r="B502" t="s">
        <v>739</v>
      </c>
      <c r="C502" s="3" t="s">
        <v>9</v>
      </c>
      <c r="D502" s="3" t="s">
        <v>7</v>
      </c>
      <c r="E502" s="3" t="s">
        <v>3</v>
      </c>
      <c r="F502" s="3" t="s">
        <v>106</v>
      </c>
      <c r="G502" s="3" t="s">
        <v>22</v>
      </c>
      <c r="H502" s="3" t="s">
        <v>13</v>
      </c>
      <c r="I502" s="3" t="s">
        <v>19</v>
      </c>
      <c r="J502" s="3" t="s">
        <v>106</v>
      </c>
      <c r="K502" s="3" t="s">
        <v>200</v>
      </c>
      <c r="L502" s="3">
        <v>84</v>
      </c>
      <c r="M502">
        <v>66211</v>
      </c>
      <c r="N502">
        <v>66286</v>
      </c>
      <c r="O502">
        <v>64304</v>
      </c>
      <c r="P502">
        <v>57638</v>
      </c>
      <c r="Q502">
        <v>0.89633615327195804</v>
      </c>
      <c r="R502">
        <v>58</v>
      </c>
      <c r="S502">
        <v>2.6534190353259501</v>
      </c>
      <c r="T502">
        <v>0.65348018145657305</v>
      </c>
    </row>
    <row r="503" spans="1:20" x14ac:dyDescent="0.2">
      <c r="A503" t="str">
        <f t="shared" si="7"/>
        <v>sample_16S-A-G12-L3_anaCS-Subj6-G12</v>
      </c>
      <c r="B503" t="s">
        <v>740</v>
      </c>
      <c r="C503" s="3" t="s">
        <v>9</v>
      </c>
      <c r="D503" s="3" t="s">
        <v>7</v>
      </c>
      <c r="E503" s="3" t="s">
        <v>3</v>
      </c>
      <c r="F503" s="3" t="s">
        <v>106</v>
      </c>
      <c r="G503" s="3" t="s">
        <v>23</v>
      </c>
      <c r="H503" s="3" t="s">
        <v>13</v>
      </c>
      <c r="I503" s="3" t="s">
        <v>21</v>
      </c>
      <c r="J503" s="3" t="s">
        <v>106</v>
      </c>
      <c r="K503" s="3" t="s">
        <v>200</v>
      </c>
      <c r="L503" s="3">
        <v>84</v>
      </c>
      <c r="M503">
        <v>89177</v>
      </c>
      <c r="N503">
        <v>89173</v>
      </c>
      <c r="O503">
        <v>87242</v>
      </c>
      <c r="P503">
        <v>78713</v>
      </c>
      <c r="Q503">
        <v>0.90223745443708303</v>
      </c>
      <c r="R503">
        <v>68</v>
      </c>
      <c r="S503">
        <v>2.4560836566048798</v>
      </c>
      <c r="T503">
        <v>0.58207824898435101</v>
      </c>
    </row>
    <row r="504" spans="1:20" x14ac:dyDescent="0.2">
      <c r="A504" t="str">
        <f t="shared" si="7"/>
        <v>sample_HS-CS5_G12_Prilocaine-hydrochloride_S468</v>
      </c>
      <c r="B504" t="s">
        <v>741</v>
      </c>
      <c r="C504" s="3" t="s">
        <v>10</v>
      </c>
      <c r="D504" s="3" t="s">
        <v>8</v>
      </c>
      <c r="E504" s="3" t="s">
        <v>11</v>
      </c>
      <c r="F504" s="3" t="s">
        <v>11</v>
      </c>
      <c r="G504" s="3" t="s">
        <v>11</v>
      </c>
      <c r="H504" s="3" t="s">
        <v>13</v>
      </c>
      <c r="I504" s="3" t="s">
        <v>19</v>
      </c>
      <c r="J504" s="3" t="s">
        <v>106</v>
      </c>
      <c r="K504" s="3" t="s">
        <v>200</v>
      </c>
      <c r="L504" s="3">
        <v>84</v>
      </c>
      <c r="M504">
        <v>38493</v>
      </c>
      <c r="N504">
        <v>38568</v>
      </c>
      <c r="O504">
        <v>37639</v>
      </c>
      <c r="P504">
        <v>36116</v>
      </c>
      <c r="Q504">
        <v>0.95953665081431505</v>
      </c>
      <c r="R504">
        <v>46</v>
      </c>
      <c r="S504">
        <v>2.3986137704210599</v>
      </c>
      <c r="T504">
        <v>0.62649214748098703</v>
      </c>
    </row>
    <row r="505" spans="1:20" x14ac:dyDescent="0.2">
      <c r="A505" t="str">
        <f t="shared" si="7"/>
        <v>sample_HS-CS6_G12_Prilocaine-hydrochloride_S564</v>
      </c>
      <c r="B505" t="s">
        <v>742</v>
      </c>
      <c r="C505" s="3" t="s">
        <v>10</v>
      </c>
      <c r="D505" s="3" t="s">
        <v>8</v>
      </c>
      <c r="E505" s="3" t="s">
        <v>11</v>
      </c>
      <c r="F505" s="3" t="s">
        <v>11</v>
      </c>
      <c r="G505" s="3" t="s">
        <v>11</v>
      </c>
      <c r="H505" s="3" t="s">
        <v>13</v>
      </c>
      <c r="I505" s="3" t="s">
        <v>21</v>
      </c>
      <c r="J505" s="3" t="s">
        <v>106</v>
      </c>
      <c r="K505" s="3" t="s">
        <v>200</v>
      </c>
      <c r="L505" s="3">
        <v>84</v>
      </c>
      <c r="M505">
        <v>12019</v>
      </c>
      <c r="N505">
        <v>12043</v>
      </c>
      <c r="O505">
        <v>11451</v>
      </c>
      <c r="P505">
        <v>11033</v>
      </c>
      <c r="Q505">
        <v>0.96349663784822304</v>
      </c>
      <c r="R505">
        <v>29</v>
      </c>
      <c r="S505">
        <v>1.2229770287483701</v>
      </c>
      <c r="T505">
        <v>0.36319263007945501</v>
      </c>
    </row>
    <row r="506" spans="1:20" x14ac:dyDescent="0.2">
      <c r="A506" t="str">
        <f t="shared" si="7"/>
        <v>sample_HS-CS5_H01_empty2_S469</v>
      </c>
      <c r="B506" t="s">
        <v>743</v>
      </c>
      <c r="C506" s="3" t="s">
        <v>10</v>
      </c>
      <c r="D506" s="3" t="s">
        <v>8</v>
      </c>
      <c r="E506" s="3" t="s">
        <v>11</v>
      </c>
      <c r="F506" s="3" t="s">
        <v>11</v>
      </c>
      <c r="G506" s="3" t="s">
        <v>11</v>
      </c>
      <c r="H506" s="3" t="s">
        <v>13</v>
      </c>
      <c r="I506" s="3" t="s">
        <v>19</v>
      </c>
      <c r="J506" s="3" t="s">
        <v>107</v>
      </c>
      <c r="K506" s="3" t="s">
        <v>201</v>
      </c>
      <c r="L506" s="3">
        <v>85</v>
      </c>
      <c r="M506">
        <v>1793</v>
      </c>
      <c r="N506">
        <v>1757</v>
      </c>
      <c r="O506">
        <v>1669</v>
      </c>
      <c r="P506">
        <v>1669</v>
      </c>
      <c r="Q506">
        <v>1</v>
      </c>
      <c r="R506" t="s">
        <v>11</v>
      </c>
      <c r="S506" t="s">
        <v>11</v>
      </c>
      <c r="T506" t="s">
        <v>11</v>
      </c>
    </row>
    <row r="507" spans="1:20" x14ac:dyDescent="0.2">
      <c r="A507" t="str">
        <f t="shared" si="7"/>
        <v>sample_HS-CS6_H01_empty2_S565</v>
      </c>
      <c r="B507" t="s">
        <v>744</v>
      </c>
      <c r="C507" s="3" t="s">
        <v>10</v>
      </c>
      <c r="D507" s="3" t="s">
        <v>8</v>
      </c>
      <c r="E507" s="3" t="s">
        <v>11</v>
      </c>
      <c r="F507" s="3" t="s">
        <v>11</v>
      </c>
      <c r="G507" s="3" t="s">
        <v>11</v>
      </c>
      <c r="H507" s="3" t="s">
        <v>13</v>
      </c>
      <c r="I507" s="3" t="s">
        <v>21</v>
      </c>
      <c r="J507" s="3" t="s">
        <v>107</v>
      </c>
      <c r="K507" s="3" t="s">
        <v>201</v>
      </c>
      <c r="L507" s="3">
        <v>85</v>
      </c>
      <c r="M507">
        <v>2158</v>
      </c>
      <c r="N507">
        <v>2173</v>
      </c>
      <c r="O507">
        <v>2017</v>
      </c>
      <c r="P507">
        <v>1986</v>
      </c>
      <c r="Q507">
        <v>0.984630639563708</v>
      </c>
      <c r="R507" t="s">
        <v>11</v>
      </c>
      <c r="S507" t="s">
        <v>11</v>
      </c>
      <c r="T507" t="s">
        <v>11</v>
      </c>
    </row>
    <row r="508" spans="1:20" x14ac:dyDescent="0.2">
      <c r="A508" t="str">
        <f t="shared" si="7"/>
        <v>sample_16S-A-H01-L0_anaCS-Subj5-H01</v>
      </c>
      <c r="B508" t="s">
        <v>745</v>
      </c>
      <c r="C508" s="3" t="s">
        <v>9</v>
      </c>
      <c r="D508" s="3" t="s">
        <v>7</v>
      </c>
      <c r="E508" s="3" t="s">
        <v>3</v>
      </c>
      <c r="F508" s="3" t="s">
        <v>107</v>
      </c>
      <c r="G508" s="3" t="s">
        <v>18</v>
      </c>
      <c r="H508" s="3" t="s">
        <v>13</v>
      </c>
      <c r="I508" s="3" t="s">
        <v>19</v>
      </c>
      <c r="J508" s="3" t="s">
        <v>107</v>
      </c>
      <c r="K508" s="3" t="s">
        <v>201</v>
      </c>
      <c r="L508" s="3">
        <v>85</v>
      </c>
      <c r="M508">
        <v>2536</v>
      </c>
      <c r="N508">
        <v>2536</v>
      </c>
      <c r="O508">
        <v>2393</v>
      </c>
      <c r="P508">
        <v>2336</v>
      </c>
      <c r="Q508">
        <v>0.97618052653572895</v>
      </c>
      <c r="R508" t="s">
        <v>11</v>
      </c>
      <c r="S508" t="s">
        <v>11</v>
      </c>
      <c r="T508" t="s">
        <v>11</v>
      </c>
    </row>
    <row r="509" spans="1:20" x14ac:dyDescent="0.2">
      <c r="A509" t="str">
        <f t="shared" si="7"/>
        <v>sample_16S-A-H01-L1_anaCS-Subj6-H01</v>
      </c>
      <c r="B509" t="s">
        <v>746</v>
      </c>
      <c r="C509" s="3" t="s">
        <v>9</v>
      </c>
      <c r="D509" s="3" t="s">
        <v>7</v>
      </c>
      <c r="E509" s="3" t="s">
        <v>3</v>
      </c>
      <c r="F509" s="3" t="s">
        <v>107</v>
      </c>
      <c r="G509" s="3" t="s">
        <v>20</v>
      </c>
      <c r="H509" s="3" t="s">
        <v>13</v>
      </c>
      <c r="I509" s="3" t="s">
        <v>21</v>
      </c>
      <c r="J509" s="3" t="s">
        <v>107</v>
      </c>
      <c r="K509" s="3" t="s">
        <v>201</v>
      </c>
      <c r="L509" s="3">
        <v>85</v>
      </c>
      <c r="M509">
        <v>79</v>
      </c>
      <c r="N509">
        <v>99</v>
      </c>
      <c r="O509">
        <v>53</v>
      </c>
      <c r="P509">
        <v>53</v>
      </c>
      <c r="Q509">
        <v>1</v>
      </c>
      <c r="R509" t="s">
        <v>11</v>
      </c>
      <c r="S509" t="s">
        <v>11</v>
      </c>
      <c r="T509" t="s">
        <v>11</v>
      </c>
    </row>
    <row r="510" spans="1:20" x14ac:dyDescent="0.2">
      <c r="A510" t="str">
        <f t="shared" si="7"/>
        <v>sample_16S-A-H01-L2_anaCS-Subj5-H01</v>
      </c>
      <c r="B510" t="s">
        <v>747</v>
      </c>
      <c r="C510" s="3" t="s">
        <v>9</v>
      </c>
      <c r="D510" s="3" t="s">
        <v>7</v>
      </c>
      <c r="E510" s="3" t="s">
        <v>3</v>
      </c>
      <c r="F510" s="3" t="s">
        <v>107</v>
      </c>
      <c r="G510" s="3" t="s">
        <v>22</v>
      </c>
      <c r="H510" s="3" t="s">
        <v>13</v>
      </c>
      <c r="I510" s="3" t="s">
        <v>19</v>
      </c>
      <c r="J510" s="3" t="s">
        <v>107</v>
      </c>
      <c r="K510" s="3" t="s">
        <v>201</v>
      </c>
      <c r="L510" s="3">
        <v>85</v>
      </c>
      <c r="M510">
        <v>44</v>
      </c>
      <c r="N510">
        <v>57</v>
      </c>
      <c r="O510">
        <v>39</v>
      </c>
      <c r="P510">
        <v>32</v>
      </c>
      <c r="Q510">
        <v>0.82051282051282004</v>
      </c>
      <c r="R510" t="s">
        <v>11</v>
      </c>
      <c r="S510" t="s">
        <v>11</v>
      </c>
      <c r="T510" t="s">
        <v>11</v>
      </c>
    </row>
    <row r="511" spans="1:20" x14ac:dyDescent="0.2">
      <c r="A511" t="str">
        <f t="shared" si="7"/>
        <v>sample_16S-A-H01-L3_anaCS-Subj6-H01</v>
      </c>
      <c r="B511" t="s">
        <v>748</v>
      </c>
      <c r="C511" s="3" t="s">
        <v>9</v>
      </c>
      <c r="D511" s="3" t="s">
        <v>7</v>
      </c>
      <c r="E511" s="3" t="s">
        <v>3</v>
      </c>
      <c r="F511" s="3" t="s">
        <v>107</v>
      </c>
      <c r="G511" s="3" t="s">
        <v>23</v>
      </c>
      <c r="H511" s="3" t="s">
        <v>13</v>
      </c>
      <c r="I511" s="3" t="s">
        <v>21</v>
      </c>
      <c r="J511" s="3" t="s">
        <v>107</v>
      </c>
      <c r="K511" s="3" t="s">
        <v>201</v>
      </c>
      <c r="L511" s="3">
        <v>85</v>
      </c>
      <c r="M511">
        <v>189</v>
      </c>
      <c r="N511">
        <v>195</v>
      </c>
      <c r="O511">
        <v>171</v>
      </c>
      <c r="P511">
        <v>171</v>
      </c>
      <c r="Q511">
        <v>1</v>
      </c>
      <c r="R511" t="s">
        <v>11</v>
      </c>
      <c r="S511" t="s">
        <v>11</v>
      </c>
      <c r="T511" t="s">
        <v>11</v>
      </c>
    </row>
    <row r="512" spans="1:20" x14ac:dyDescent="0.2">
      <c r="A512" t="str">
        <f t="shared" si="7"/>
        <v>sample_HS-CS5_H02_Clotrimazole_S470</v>
      </c>
      <c r="B512" t="s">
        <v>749</v>
      </c>
      <c r="C512" s="3" t="s">
        <v>10</v>
      </c>
      <c r="D512" s="3" t="s">
        <v>8</v>
      </c>
      <c r="E512" s="3" t="s">
        <v>11</v>
      </c>
      <c r="F512" s="3" t="s">
        <v>11</v>
      </c>
      <c r="G512" s="3" t="s">
        <v>11</v>
      </c>
      <c r="H512" s="3" t="s">
        <v>13</v>
      </c>
      <c r="I512" s="3" t="s">
        <v>19</v>
      </c>
      <c r="J512" s="3" t="s">
        <v>108</v>
      </c>
      <c r="K512" s="3" t="s">
        <v>202</v>
      </c>
      <c r="L512" s="3">
        <v>86</v>
      </c>
      <c r="M512">
        <v>53734</v>
      </c>
      <c r="N512">
        <v>53753</v>
      </c>
      <c r="O512">
        <v>52738</v>
      </c>
      <c r="P512">
        <v>46317</v>
      </c>
      <c r="Q512">
        <v>0.87824718419356096</v>
      </c>
      <c r="R512">
        <v>20</v>
      </c>
      <c r="S512">
        <v>1.2043721838313699</v>
      </c>
      <c r="T512">
        <v>0.40202931165225902</v>
      </c>
    </row>
    <row r="513" spans="1:20" x14ac:dyDescent="0.2">
      <c r="A513" t="str">
        <f t="shared" si="7"/>
        <v>sample_HS-CS6_H02_Clotrimazole_S566</v>
      </c>
      <c r="B513" t="s">
        <v>750</v>
      </c>
      <c r="C513" s="3" t="s">
        <v>10</v>
      </c>
      <c r="D513" s="3" t="s">
        <v>8</v>
      </c>
      <c r="E513" s="3" t="s">
        <v>11</v>
      </c>
      <c r="F513" s="3" t="s">
        <v>11</v>
      </c>
      <c r="G513" s="3" t="s">
        <v>11</v>
      </c>
      <c r="H513" s="3" t="s">
        <v>13</v>
      </c>
      <c r="I513" s="3" t="s">
        <v>21</v>
      </c>
      <c r="J513" s="3" t="s">
        <v>108</v>
      </c>
      <c r="K513" s="3" t="s">
        <v>202</v>
      </c>
      <c r="L513" s="3">
        <v>86</v>
      </c>
      <c r="M513">
        <v>18825</v>
      </c>
      <c r="N513">
        <v>18858</v>
      </c>
      <c r="O513">
        <v>18478</v>
      </c>
      <c r="P513">
        <v>18211</v>
      </c>
      <c r="Q513">
        <v>0.98555038424071895</v>
      </c>
      <c r="R513">
        <v>10</v>
      </c>
      <c r="S513">
        <v>0.34114056183235503</v>
      </c>
      <c r="T513">
        <v>0.14815546355716699</v>
      </c>
    </row>
    <row r="514" spans="1:20" x14ac:dyDescent="0.2">
      <c r="A514" t="str">
        <f t="shared" si="7"/>
        <v>sample_16S-A-H02-L0_anaCS-Subj5-H02</v>
      </c>
      <c r="B514" t="s">
        <v>751</v>
      </c>
      <c r="C514" s="3" t="s">
        <v>9</v>
      </c>
      <c r="D514" s="3" t="s">
        <v>7</v>
      </c>
      <c r="E514" s="3" t="s">
        <v>3</v>
      </c>
      <c r="F514" s="3" t="s">
        <v>108</v>
      </c>
      <c r="G514" s="3" t="s">
        <v>18</v>
      </c>
      <c r="H514" s="3" t="s">
        <v>13</v>
      </c>
      <c r="I514" s="3" t="s">
        <v>19</v>
      </c>
      <c r="J514" s="3" t="s">
        <v>108</v>
      </c>
      <c r="K514" s="3" t="s">
        <v>202</v>
      </c>
      <c r="L514" s="3">
        <v>86</v>
      </c>
      <c r="M514">
        <v>66586</v>
      </c>
      <c r="N514">
        <v>66641</v>
      </c>
      <c r="O514">
        <v>66027</v>
      </c>
      <c r="P514">
        <v>60082</v>
      </c>
      <c r="Q514">
        <v>0.90996107652929903</v>
      </c>
      <c r="R514">
        <v>26</v>
      </c>
      <c r="S514">
        <v>1.4484772734984599</v>
      </c>
      <c r="T514">
        <v>0.44457776391673998</v>
      </c>
    </row>
    <row r="515" spans="1:20" x14ac:dyDescent="0.2">
      <c r="A515" t="str">
        <f t="shared" ref="A515:A577" si="8">_xlfn.CONCAT("sample_",B515)</f>
        <v>sample_16S-A-H02-L1_anaCS-Subj6-H02</v>
      </c>
      <c r="B515" t="s">
        <v>752</v>
      </c>
      <c r="C515" s="3" t="s">
        <v>9</v>
      </c>
      <c r="D515" s="3" t="s">
        <v>7</v>
      </c>
      <c r="E515" s="3" t="s">
        <v>3</v>
      </c>
      <c r="F515" s="3" t="s">
        <v>108</v>
      </c>
      <c r="G515" s="3" t="s">
        <v>20</v>
      </c>
      <c r="H515" s="3" t="s">
        <v>13</v>
      </c>
      <c r="I515" s="3" t="s">
        <v>21</v>
      </c>
      <c r="J515" s="3" t="s">
        <v>108</v>
      </c>
      <c r="K515" s="3" t="s">
        <v>202</v>
      </c>
      <c r="L515" s="3">
        <v>86</v>
      </c>
      <c r="M515">
        <v>60293</v>
      </c>
      <c r="N515">
        <v>60329</v>
      </c>
      <c r="O515">
        <v>59688</v>
      </c>
      <c r="P515">
        <v>54312</v>
      </c>
      <c r="Q515">
        <v>0.90993164455166897</v>
      </c>
      <c r="R515">
        <v>27</v>
      </c>
      <c r="S515">
        <v>0.90585808539986301</v>
      </c>
      <c r="T515">
        <v>0.27484918769601302</v>
      </c>
    </row>
    <row r="516" spans="1:20" x14ac:dyDescent="0.2">
      <c r="A516" t="str">
        <f t="shared" si="8"/>
        <v>sample_16S-A-H02-L2_anaCS-Subj5-H02</v>
      </c>
      <c r="B516" t="s">
        <v>753</v>
      </c>
      <c r="C516" s="3" t="s">
        <v>9</v>
      </c>
      <c r="D516" s="3" t="s">
        <v>7</v>
      </c>
      <c r="E516" s="3" t="s">
        <v>3</v>
      </c>
      <c r="F516" s="3" t="s">
        <v>108</v>
      </c>
      <c r="G516" s="3" t="s">
        <v>22</v>
      </c>
      <c r="H516" s="3" t="s">
        <v>13</v>
      </c>
      <c r="I516" s="3" t="s">
        <v>19</v>
      </c>
      <c r="J516" s="3" t="s">
        <v>108</v>
      </c>
      <c r="K516" s="3" t="s">
        <v>202</v>
      </c>
      <c r="L516" s="3">
        <v>86</v>
      </c>
      <c r="M516">
        <v>57974</v>
      </c>
      <c r="N516">
        <v>57964</v>
      </c>
      <c r="O516">
        <v>57390</v>
      </c>
      <c r="P516">
        <v>51283</v>
      </c>
      <c r="Q516">
        <v>0.89358773305453898</v>
      </c>
      <c r="R516">
        <v>25</v>
      </c>
      <c r="S516">
        <v>1.47011465692646</v>
      </c>
      <c r="T516">
        <v>0.45671679707826401</v>
      </c>
    </row>
    <row r="517" spans="1:20" x14ac:dyDescent="0.2">
      <c r="A517" t="str">
        <f t="shared" si="8"/>
        <v>sample_16S-A-H02-L3_anaCS-Subj6-H02</v>
      </c>
      <c r="B517" t="s">
        <v>754</v>
      </c>
      <c r="C517" s="3" t="s">
        <v>9</v>
      </c>
      <c r="D517" s="3" t="s">
        <v>7</v>
      </c>
      <c r="E517" s="3" t="s">
        <v>3</v>
      </c>
      <c r="F517" s="3" t="s">
        <v>108</v>
      </c>
      <c r="G517" s="3" t="s">
        <v>23</v>
      </c>
      <c r="H517" s="3" t="s">
        <v>13</v>
      </c>
      <c r="I517" s="3" t="s">
        <v>21</v>
      </c>
      <c r="J517" s="3" t="s">
        <v>108</v>
      </c>
      <c r="K517" s="3" t="s">
        <v>202</v>
      </c>
      <c r="L517" s="3">
        <v>86</v>
      </c>
      <c r="M517">
        <v>69325</v>
      </c>
      <c r="N517">
        <v>69143</v>
      </c>
      <c r="O517">
        <v>68538</v>
      </c>
      <c r="P517">
        <v>62757</v>
      </c>
      <c r="Q517">
        <v>0.91565263065744595</v>
      </c>
      <c r="R517">
        <v>27</v>
      </c>
      <c r="S517">
        <v>0.86453236060801797</v>
      </c>
      <c r="T517">
        <v>0.26231042243790498</v>
      </c>
    </row>
    <row r="518" spans="1:20" x14ac:dyDescent="0.2">
      <c r="A518" t="str">
        <f t="shared" si="8"/>
        <v>sample_HS-CS5_H03_Minocycline-hydrochloride_S471</v>
      </c>
      <c r="B518" t="s">
        <v>755</v>
      </c>
      <c r="C518" s="3" t="s">
        <v>10</v>
      </c>
      <c r="D518" s="3" t="s">
        <v>8</v>
      </c>
      <c r="E518" s="3" t="s">
        <v>11</v>
      </c>
      <c r="F518" s="3" t="s">
        <v>11</v>
      </c>
      <c r="G518" s="3" t="s">
        <v>11</v>
      </c>
      <c r="H518" s="3" t="s">
        <v>13</v>
      </c>
      <c r="I518" s="3" t="s">
        <v>19</v>
      </c>
      <c r="J518" s="3" t="s">
        <v>109</v>
      </c>
      <c r="K518" s="3" t="s">
        <v>203</v>
      </c>
      <c r="L518" s="3">
        <v>87</v>
      </c>
      <c r="M518">
        <v>24075</v>
      </c>
      <c r="N518">
        <v>24113</v>
      </c>
      <c r="O518">
        <v>23394</v>
      </c>
      <c r="P518">
        <v>22364</v>
      </c>
      <c r="Q518">
        <v>0.955971616653843</v>
      </c>
      <c r="R518">
        <v>49</v>
      </c>
      <c r="S518">
        <v>2.6809272166741498</v>
      </c>
      <c r="T518">
        <v>0.68886202633139804</v>
      </c>
    </row>
    <row r="519" spans="1:20" x14ac:dyDescent="0.2">
      <c r="A519" t="str">
        <f t="shared" si="8"/>
        <v>sample_HS-CS6_H03_Minocycline-hydrochloride_S567</v>
      </c>
      <c r="B519" t="s">
        <v>756</v>
      </c>
      <c r="C519" s="3" t="s">
        <v>10</v>
      </c>
      <c r="D519" s="3" t="s">
        <v>8</v>
      </c>
      <c r="E519" s="3" t="s">
        <v>11</v>
      </c>
      <c r="F519" s="3" t="s">
        <v>11</v>
      </c>
      <c r="G519" s="3" t="s">
        <v>11</v>
      </c>
      <c r="H519" s="3" t="s">
        <v>13</v>
      </c>
      <c r="I519" s="3" t="s">
        <v>21</v>
      </c>
      <c r="J519" s="3" t="s">
        <v>109</v>
      </c>
      <c r="K519" s="3" t="s">
        <v>203</v>
      </c>
      <c r="L519" s="3">
        <v>87</v>
      </c>
      <c r="M519">
        <v>14948</v>
      </c>
      <c r="N519">
        <v>14961</v>
      </c>
      <c r="O519">
        <v>14873</v>
      </c>
      <c r="P519">
        <v>14873</v>
      </c>
      <c r="Q519">
        <v>1</v>
      </c>
      <c r="R519">
        <v>14</v>
      </c>
      <c r="S519">
        <v>0.15452012710538199</v>
      </c>
      <c r="T519">
        <v>5.8551258197906998E-2</v>
      </c>
    </row>
    <row r="520" spans="1:20" x14ac:dyDescent="0.2">
      <c r="A520" t="str">
        <f t="shared" si="8"/>
        <v>sample_16S-A-H03-L0_anaCS-Subj5-H03</v>
      </c>
      <c r="B520" t="s">
        <v>757</v>
      </c>
      <c r="C520" s="3" t="s">
        <v>9</v>
      </c>
      <c r="D520" s="3" t="s">
        <v>7</v>
      </c>
      <c r="E520" s="3" t="s">
        <v>3</v>
      </c>
      <c r="F520" s="3" t="s">
        <v>109</v>
      </c>
      <c r="G520" s="3" t="s">
        <v>18</v>
      </c>
      <c r="H520" s="3" t="s">
        <v>13</v>
      </c>
      <c r="I520" s="3" t="s">
        <v>19</v>
      </c>
      <c r="J520" s="3" t="s">
        <v>109</v>
      </c>
      <c r="K520" s="3" t="s">
        <v>203</v>
      </c>
      <c r="L520" s="3">
        <v>87</v>
      </c>
      <c r="M520">
        <v>46733</v>
      </c>
      <c r="N520">
        <v>46760</v>
      </c>
      <c r="O520">
        <v>46441</v>
      </c>
      <c r="P520">
        <v>46374</v>
      </c>
      <c r="Q520">
        <v>0.998557309274133</v>
      </c>
      <c r="R520">
        <v>53</v>
      </c>
      <c r="S520">
        <v>2.7479984170224299</v>
      </c>
      <c r="T520">
        <v>0.69214014406408297</v>
      </c>
    </row>
    <row r="521" spans="1:20" x14ac:dyDescent="0.2">
      <c r="A521" t="str">
        <f t="shared" si="8"/>
        <v>sample_16S-A-H03-L1_anaCS-Subj6-H03</v>
      </c>
      <c r="B521" t="s">
        <v>758</v>
      </c>
      <c r="C521" s="3" t="s">
        <v>9</v>
      </c>
      <c r="D521" s="3" t="s">
        <v>7</v>
      </c>
      <c r="E521" s="3" t="s">
        <v>3</v>
      </c>
      <c r="F521" s="3" t="s">
        <v>109</v>
      </c>
      <c r="G521" s="3" t="s">
        <v>20</v>
      </c>
      <c r="H521" s="3" t="s">
        <v>13</v>
      </c>
      <c r="I521" s="3" t="s">
        <v>21</v>
      </c>
      <c r="J521" s="3" t="s">
        <v>109</v>
      </c>
      <c r="K521" s="3" t="s">
        <v>203</v>
      </c>
      <c r="L521" s="3">
        <v>87</v>
      </c>
      <c r="M521">
        <v>33748</v>
      </c>
      <c r="N521">
        <v>33753</v>
      </c>
      <c r="O521">
        <v>33642</v>
      </c>
      <c r="P521">
        <v>33619</v>
      </c>
      <c r="Q521">
        <v>0.99931633077700499</v>
      </c>
      <c r="R521">
        <v>27</v>
      </c>
      <c r="S521">
        <v>0.40934833139986299</v>
      </c>
      <c r="T521">
        <v>0.124201636198133</v>
      </c>
    </row>
    <row r="522" spans="1:20" x14ac:dyDescent="0.2">
      <c r="A522" t="str">
        <f t="shared" si="8"/>
        <v>sample_16S-A-H03-L2_anaCS-Subj5-H03</v>
      </c>
      <c r="B522" t="s">
        <v>759</v>
      </c>
      <c r="C522" s="3" t="s">
        <v>9</v>
      </c>
      <c r="D522" s="3" t="s">
        <v>7</v>
      </c>
      <c r="E522" s="3" t="s">
        <v>3</v>
      </c>
      <c r="F522" s="3" t="s">
        <v>109</v>
      </c>
      <c r="G522" s="3" t="s">
        <v>22</v>
      </c>
      <c r="H522" s="3" t="s">
        <v>13</v>
      </c>
      <c r="I522" s="3" t="s">
        <v>19</v>
      </c>
      <c r="J522" s="3" t="s">
        <v>109</v>
      </c>
      <c r="K522" s="3" t="s">
        <v>203</v>
      </c>
      <c r="L522" s="3">
        <v>87</v>
      </c>
      <c r="M522">
        <v>48630</v>
      </c>
      <c r="N522">
        <v>48659</v>
      </c>
      <c r="O522">
        <v>48217</v>
      </c>
      <c r="P522">
        <v>47946</v>
      </c>
      <c r="Q522">
        <v>0.99437957566833302</v>
      </c>
      <c r="R522">
        <v>53</v>
      </c>
      <c r="S522">
        <v>2.7735896281747099</v>
      </c>
      <c r="T522">
        <v>0.69858581901935002</v>
      </c>
    </row>
    <row r="523" spans="1:20" x14ac:dyDescent="0.2">
      <c r="A523" t="str">
        <f t="shared" si="8"/>
        <v>sample_16S-A-H03-L3_anaCS-Subj6-H03</v>
      </c>
      <c r="B523" t="s">
        <v>760</v>
      </c>
      <c r="C523" s="3" t="s">
        <v>9</v>
      </c>
      <c r="D523" s="3" t="s">
        <v>7</v>
      </c>
      <c r="E523" s="3" t="s">
        <v>3</v>
      </c>
      <c r="F523" s="3" t="s">
        <v>109</v>
      </c>
      <c r="G523" s="3" t="s">
        <v>23</v>
      </c>
      <c r="H523" s="3" t="s">
        <v>13</v>
      </c>
      <c r="I523" s="3" t="s">
        <v>21</v>
      </c>
      <c r="J523" s="3" t="s">
        <v>109</v>
      </c>
      <c r="K523" s="3" t="s">
        <v>203</v>
      </c>
      <c r="L523" s="3">
        <v>87</v>
      </c>
      <c r="M523">
        <v>66187</v>
      </c>
      <c r="N523">
        <v>66164</v>
      </c>
      <c r="O523">
        <v>65830</v>
      </c>
      <c r="P523">
        <v>65607</v>
      </c>
      <c r="Q523">
        <v>0.99661248670818803</v>
      </c>
      <c r="R523">
        <v>45</v>
      </c>
      <c r="S523">
        <v>0.70686517457704301</v>
      </c>
      <c r="T523">
        <v>0.18569158061073399</v>
      </c>
    </row>
    <row r="524" spans="1:20" x14ac:dyDescent="0.2">
      <c r="A524" t="str">
        <f t="shared" si="8"/>
        <v>sample_HS-CS5_H04_Estradiol-valerate_S472</v>
      </c>
      <c r="B524" t="s">
        <v>761</v>
      </c>
      <c r="C524" s="3" t="s">
        <v>10</v>
      </c>
      <c r="D524" s="3" t="s">
        <v>8</v>
      </c>
      <c r="E524" s="3" t="s">
        <v>11</v>
      </c>
      <c r="F524" s="3" t="s">
        <v>11</v>
      </c>
      <c r="G524" s="3" t="s">
        <v>11</v>
      </c>
      <c r="H524" s="3" t="s">
        <v>13</v>
      </c>
      <c r="I524" s="3" t="s">
        <v>19</v>
      </c>
      <c r="J524" s="3" t="s">
        <v>110</v>
      </c>
      <c r="K524" s="3" t="s">
        <v>204</v>
      </c>
      <c r="L524" s="3">
        <v>88</v>
      </c>
      <c r="M524">
        <v>42645</v>
      </c>
      <c r="N524">
        <v>42694</v>
      </c>
      <c r="O524">
        <v>41815</v>
      </c>
      <c r="P524">
        <v>38492</v>
      </c>
      <c r="Q524">
        <v>0.92053090996053999</v>
      </c>
      <c r="R524">
        <v>34</v>
      </c>
      <c r="S524">
        <v>1.8451153087699901</v>
      </c>
      <c r="T524">
        <v>0.52323501692182495</v>
      </c>
    </row>
    <row r="525" spans="1:20" x14ac:dyDescent="0.2">
      <c r="A525" t="str">
        <f t="shared" si="8"/>
        <v>sample_HS-CS6_H04_Estradiol-valerate_S568</v>
      </c>
      <c r="B525" t="s">
        <v>762</v>
      </c>
      <c r="C525" s="3" t="s">
        <v>10</v>
      </c>
      <c r="D525" s="3" t="s">
        <v>8</v>
      </c>
      <c r="E525" s="3" t="s">
        <v>11</v>
      </c>
      <c r="F525" s="3" t="s">
        <v>11</v>
      </c>
      <c r="G525" s="3" t="s">
        <v>11</v>
      </c>
      <c r="H525" s="3" t="s">
        <v>13</v>
      </c>
      <c r="I525" s="3" t="s">
        <v>21</v>
      </c>
      <c r="J525" s="3" t="s">
        <v>110</v>
      </c>
      <c r="K525" s="3" t="s">
        <v>204</v>
      </c>
      <c r="L525" s="3">
        <v>88</v>
      </c>
      <c r="M525">
        <v>13287</v>
      </c>
      <c r="N525">
        <v>13177</v>
      </c>
      <c r="O525">
        <v>12767</v>
      </c>
      <c r="P525">
        <v>12524</v>
      </c>
      <c r="Q525">
        <v>0.98096655439805702</v>
      </c>
      <c r="R525">
        <v>16</v>
      </c>
      <c r="S525">
        <v>1.2524652889858601</v>
      </c>
      <c r="T525">
        <v>0.45173136532636698</v>
      </c>
    </row>
    <row r="526" spans="1:20" x14ac:dyDescent="0.2">
      <c r="A526" t="str">
        <f t="shared" si="8"/>
        <v>sample_16S-A-H04-L0_anaCS-Subj5-H04</v>
      </c>
      <c r="B526" t="s">
        <v>763</v>
      </c>
      <c r="C526" s="3" t="s">
        <v>9</v>
      </c>
      <c r="D526" s="3" t="s">
        <v>7</v>
      </c>
      <c r="E526" s="3" t="s">
        <v>3</v>
      </c>
      <c r="F526" s="3" t="s">
        <v>110</v>
      </c>
      <c r="G526" s="3" t="s">
        <v>18</v>
      </c>
      <c r="H526" s="3" t="s">
        <v>13</v>
      </c>
      <c r="I526" s="3" t="s">
        <v>19</v>
      </c>
      <c r="J526" s="3" t="s">
        <v>110</v>
      </c>
      <c r="K526" s="3" t="s">
        <v>204</v>
      </c>
      <c r="L526" s="3">
        <v>88</v>
      </c>
      <c r="M526">
        <v>83432</v>
      </c>
      <c r="N526">
        <v>83454</v>
      </c>
      <c r="O526">
        <v>82576</v>
      </c>
      <c r="P526">
        <v>74748</v>
      </c>
      <c r="Q526">
        <v>0.90520248013950799</v>
      </c>
      <c r="R526">
        <v>42</v>
      </c>
      <c r="S526">
        <v>2.3017212149159798</v>
      </c>
      <c r="T526">
        <v>0.61581719359484599</v>
      </c>
    </row>
    <row r="527" spans="1:20" x14ac:dyDescent="0.2">
      <c r="A527" t="str">
        <f t="shared" si="8"/>
        <v>sample_16S-A-H04-L1_anaCS-Subj6-H04</v>
      </c>
      <c r="B527" t="s">
        <v>764</v>
      </c>
      <c r="C527" s="3" t="s">
        <v>9</v>
      </c>
      <c r="D527" s="3" t="s">
        <v>7</v>
      </c>
      <c r="E527" s="3" t="s">
        <v>3</v>
      </c>
      <c r="F527" s="3" t="s">
        <v>110</v>
      </c>
      <c r="G527" s="3" t="s">
        <v>20</v>
      </c>
      <c r="H527" s="3" t="s">
        <v>13</v>
      </c>
      <c r="I527" s="3" t="s">
        <v>21</v>
      </c>
      <c r="J527" s="3" t="s">
        <v>110</v>
      </c>
      <c r="K527" s="3" t="s">
        <v>204</v>
      </c>
      <c r="L527" s="3">
        <v>88</v>
      </c>
      <c r="M527">
        <v>67596</v>
      </c>
      <c r="N527">
        <v>67608</v>
      </c>
      <c r="O527">
        <v>66746</v>
      </c>
      <c r="P527">
        <v>61319</v>
      </c>
      <c r="Q527">
        <v>0.91869175680939696</v>
      </c>
      <c r="R527">
        <v>34</v>
      </c>
      <c r="S527">
        <v>2.08219370632774</v>
      </c>
      <c r="T527">
        <v>0.59046535139919698</v>
      </c>
    </row>
    <row r="528" spans="1:20" x14ac:dyDescent="0.2">
      <c r="A528" t="str">
        <f t="shared" si="8"/>
        <v>sample_16S-A-H04-L2_anaCS-Subj5-H04</v>
      </c>
      <c r="B528" t="s">
        <v>765</v>
      </c>
      <c r="C528" s="3" t="s">
        <v>9</v>
      </c>
      <c r="D528" s="3" t="s">
        <v>7</v>
      </c>
      <c r="E528" s="3" t="s">
        <v>3</v>
      </c>
      <c r="F528" s="3" t="s">
        <v>110</v>
      </c>
      <c r="G528" s="3" t="s">
        <v>22</v>
      </c>
      <c r="H528" s="3" t="s">
        <v>13</v>
      </c>
      <c r="I528" s="3" t="s">
        <v>19</v>
      </c>
      <c r="J528" s="3" t="s">
        <v>110</v>
      </c>
      <c r="K528" s="3" t="s">
        <v>204</v>
      </c>
      <c r="L528" s="3">
        <v>88</v>
      </c>
      <c r="M528">
        <v>64628</v>
      </c>
      <c r="N528">
        <v>64688</v>
      </c>
      <c r="O528">
        <v>63713</v>
      </c>
      <c r="P528">
        <v>54731</v>
      </c>
      <c r="Q528">
        <v>0.85902406102365303</v>
      </c>
      <c r="R528">
        <v>42</v>
      </c>
      <c r="S528">
        <v>2.2713805873079802</v>
      </c>
      <c r="T528">
        <v>0.60769966831664002</v>
      </c>
    </row>
    <row r="529" spans="1:20" x14ac:dyDescent="0.2">
      <c r="A529" t="str">
        <f t="shared" si="8"/>
        <v>sample_16S-A-H04-L3_anaCS-Subj6-H04</v>
      </c>
      <c r="B529" t="s">
        <v>766</v>
      </c>
      <c r="C529" s="3" t="s">
        <v>9</v>
      </c>
      <c r="D529" s="3" t="s">
        <v>7</v>
      </c>
      <c r="E529" s="3" t="s">
        <v>3</v>
      </c>
      <c r="F529" s="3" t="s">
        <v>110</v>
      </c>
      <c r="G529" s="3" t="s">
        <v>23</v>
      </c>
      <c r="H529" s="3" t="s">
        <v>13</v>
      </c>
      <c r="I529" s="3" t="s">
        <v>21</v>
      </c>
      <c r="J529" s="3" t="s">
        <v>110</v>
      </c>
      <c r="K529" s="3" t="s">
        <v>204</v>
      </c>
      <c r="L529" s="3">
        <v>88</v>
      </c>
      <c r="M529">
        <v>96770</v>
      </c>
      <c r="N529">
        <v>96804</v>
      </c>
      <c r="O529">
        <v>95449</v>
      </c>
      <c r="P529">
        <v>84372</v>
      </c>
      <c r="Q529">
        <v>0.88394849605548498</v>
      </c>
      <c r="R529">
        <v>36</v>
      </c>
      <c r="S529">
        <v>2.0662935018541702</v>
      </c>
      <c r="T529">
        <v>0.57661018047930002</v>
      </c>
    </row>
    <row r="530" spans="1:20" x14ac:dyDescent="0.2">
      <c r="A530" t="str">
        <f t="shared" si="8"/>
        <v>sample_HS-CS5_H05_Loperamide-hydrochloride_S473</v>
      </c>
      <c r="B530" t="s">
        <v>767</v>
      </c>
      <c r="C530" s="3" t="s">
        <v>10</v>
      </c>
      <c r="D530" s="3" t="s">
        <v>8</v>
      </c>
      <c r="E530" s="3" t="s">
        <v>11</v>
      </c>
      <c r="F530" s="3" t="s">
        <v>11</v>
      </c>
      <c r="G530" s="3" t="s">
        <v>11</v>
      </c>
      <c r="H530" s="3" t="s">
        <v>13</v>
      </c>
      <c r="I530" s="3" t="s">
        <v>19</v>
      </c>
      <c r="J530" s="3" t="s">
        <v>111</v>
      </c>
      <c r="K530" s="3" t="s">
        <v>205</v>
      </c>
      <c r="L530" s="3">
        <v>89</v>
      </c>
      <c r="M530">
        <v>57558</v>
      </c>
      <c r="N530">
        <v>57623</v>
      </c>
      <c r="O530">
        <v>56379</v>
      </c>
      <c r="P530">
        <v>52357</v>
      </c>
      <c r="Q530">
        <v>0.92866138101065998</v>
      </c>
      <c r="R530">
        <v>56</v>
      </c>
      <c r="S530">
        <v>2.6270500044443601</v>
      </c>
      <c r="T530">
        <v>0.65262620667178906</v>
      </c>
    </row>
    <row r="531" spans="1:20" x14ac:dyDescent="0.2">
      <c r="A531" t="str">
        <f t="shared" si="8"/>
        <v>sample_HS-CS6_H05_Loperamide-hydrochloride_S569</v>
      </c>
      <c r="B531" t="s">
        <v>768</v>
      </c>
      <c r="C531" s="3" t="s">
        <v>10</v>
      </c>
      <c r="D531" s="3" t="s">
        <v>8</v>
      </c>
      <c r="E531" s="3" t="s">
        <v>11</v>
      </c>
      <c r="F531" s="3" t="s">
        <v>11</v>
      </c>
      <c r="G531" s="3" t="s">
        <v>11</v>
      </c>
      <c r="H531" s="3" t="s">
        <v>13</v>
      </c>
      <c r="I531" s="3" t="s">
        <v>21</v>
      </c>
      <c r="J531" s="3" t="s">
        <v>111</v>
      </c>
      <c r="K531" s="3" t="s">
        <v>205</v>
      </c>
      <c r="L531" s="3">
        <v>89</v>
      </c>
      <c r="M531">
        <v>11949</v>
      </c>
      <c r="N531">
        <v>11964</v>
      </c>
      <c r="O531">
        <v>11524</v>
      </c>
      <c r="P531">
        <v>11268</v>
      </c>
      <c r="Q531">
        <v>0.977785491148907</v>
      </c>
      <c r="R531">
        <v>25</v>
      </c>
      <c r="S531">
        <v>1.20218912272877</v>
      </c>
      <c r="T531">
        <v>0.37348104994947801</v>
      </c>
    </row>
    <row r="532" spans="1:20" x14ac:dyDescent="0.2">
      <c r="A532" t="str">
        <f t="shared" si="8"/>
        <v>sample_16S-A-H05-L0_anaCS-Subj5-H05</v>
      </c>
      <c r="B532" t="s">
        <v>769</v>
      </c>
      <c r="C532" s="3" t="s">
        <v>9</v>
      </c>
      <c r="D532" s="3" t="s">
        <v>7</v>
      </c>
      <c r="E532" s="3" t="s">
        <v>3</v>
      </c>
      <c r="F532" s="3" t="s">
        <v>111</v>
      </c>
      <c r="G532" s="3" t="s">
        <v>18</v>
      </c>
      <c r="H532" s="3" t="s">
        <v>13</v>
      </c>
      <c r="I532" s="3" t="s">
        <v>19</v>
      </c>
      <c r="J532" s="3" t="s">
        <v>111</v>
      </c>
      <c r="K532" s="3" t="s">
        <v>205</v>
      </c>
      <c r="L532" s="3">
        <v>89</v>
      </c>
      <c r="M532">
        <v>82379</v>
      </c>
      <c r="N532">
        <v>82486</v>
      </c>
      <c r="O532">
        <v>80541</v>
      </c>
      <c r="P532">
        <v>73815</v>
      </c>
      <c r="Q532">
        <v>0.91648973814578905</v>
      </c>
      <c r="R532">
        <v>70</v>
      </c>
      <c r="S532">
        <v>2.8639573408060599</v>
      </c>
      <c r="T532">
        <v>0.67411099168951105</v>
      </c>
    </row>
    <row r="533" spans="1:20" x14ac:dyDescent="0.2">
      <c r="A533" t="str">
        <f t="shared" si="8"/>
        <v>sample_16S-A-H05-L1_anaCS-Subj6-H05</v>
      </c>
      <c r="B533" t="s">
        <v>770</v>
      </c>
      <c r="C533" s="3" t="s">
        <v>9</v>
      </c>
      <c r="D533" s="3" t="s">
        <v>7</v>
      </c>
      <c r="E533" s="3" t="s">
        <v>3</v>
      </c>
      <c r="F533" s="3" t="s">
        <v>111</v>
      </c>
      <c r="G533" s="3" t="s">
        <v>20</v>
      </c>
      <c r="H533" s="3" t="s">
        <v>13</v>
      </c>
      <c r="I533" s="3" t="s">
        <v>21</v>
      </c>
      <c r="J533" s="3" t="s">
        <v>111</v>
      </c>
      <c r="K533" s="3" t="s">
        <v>205</v>
      </c>
      <c r="L533" s="3">
        <v>89</v>
      </c>
      <c r="M533">
        <v>66535</v>
      </c>
      <c r="N533">
        <v>66639</v>
      </c>
      <c r="O533">
        <v>65153</v>
      </c>
      <c r="P533">
        <v>59864</v>
      </c>
      <c r="Q533">
        <v>0.91882185010667194</v>
      </c>
      <c r="R533">
        <v>62</v>
      </c>
      <c r="S533">
        <v>2.47280883784792</v>
      </c>
      <c r="T533">
        <v>0.59915878843400106</v>
      </c>
    </row>
    <row r="534" spans="1:20" x14ac:dyDescent="0.2">
      <c r="A534" t="str">
        <f t="shared" si="8"/>
        <v>sample_16S-A-H05-L2_anaCS-Subj5-H05</v>
      </c>
      <c r="B534" t="s">
        <v>771</v>
      </c>
      <c r="C534" s="3" t="s">
        <v>9</v>
      </c>
      <c r="D534" s="3" t="s">
        <v>7</v>
      </c>
      <c r="E534" s="3" t="s">
        <v>3</v>
      </c>
      <c r="F534" s="3" t="s">
        <v>111</v>
      </c>
      <c r="G534" s="3" t="s">
        <v>22</v>
      </c>
      <c r="H534" s="3" t="s">
        <v>13</v>
      </c>
      <c r="I534" s="3" t="s">
        <v>19</v>
      </c>
      <c r="J534" s="3" t="s">
        <v>111</v>
      </c>
      <c r="K534" s="3" t="s">
        <v>205</v>
      </c>
      <c r="L534" s="3">
        <v>89</v>
      </c>
      <c r="M534">
        <v>78248</v>
      </c>
      <c r="N534">
        <v>78301</v>
      </c>
      <c r="O534">
        <v>75784</v>
      </c>
      <c r="P534">
        <v>66665</v>
      </c>
      <c r="Q534">
        <v>0.87967117069566103</v>
      </c>
      <c r="R534">
        <v>66</v>
      </c>
      <c r="S534">
        <v>2.8246321885158499</v>
      </c>
      <c r="T534">
        <v>0.67419211425274905</v>
      </c>
    </row>
    <row r="535" spans="1:20" x14ac:dyDescent="0.2">
      <c r="A535" t="str">
        <f t="shared" si="8"/>
        <v>sample_16S-A-H05-L3_anaCS-Subj6-H05</v>
      </c>
      <c r="B535" t="s">
        <v>772</v>
      </c>
      <c r="C535" s="3" t="s">
        <v>9</v>
      </c>
      <c r="D535" s="3" t="s">
        <v>7</v>
      </c>
      <c r="E535" s="3" t="s">
        <v>3</v>
      </c>
      <c r="F535" s="3" t="s">
        <v>111</v>
      </c>
      <c r="G535" s="3" t="s">
        <v>23</v>
      </c>
      <c r="H535" s="3" t="s">
        <v>13</v>
      </c>
      <c r="I535" s="3" t="s">
        <v>21</v>
      </c>
      <c r="J535" s="3" t="s">
        <v>111</v>
      </c>
      <c r="K535" s="3" t="s">
        <v>205</v>
      </c>
      <c r="L535" s="3">
        <v>89</v>
      </c>
      <c r="M535">
        <v>117229</v>
      </c>
      <c r="N535">
        <v>117349</v>
      </c>
      <c r="O535">
        <v>114352</v>
      </c>
      <c r="P535">
        <v>98981</v>
      </c>
      <c r="Q535">
        <v>0.86558171260668804</v>
      </c>
      <c r="R535">
        <v>66</v>
      </c>
      <c r="S535">
        <v>2.4926015599284099</v>
      </c>
      <c r="T535">
        <v>0.59494199723073105</v>
      </c>
    </row>
    <row r="536" spans="1:20" x14ac:dyDescent="0.2">
      <c r="A536" t="str">
        <f t="shared" si="8"/>
        <v>sample_HS-CS5_H06_Amoxicillin_S474</v>
      </c>
      <c r="B536" t="s">
        <v>773</v>
      </c>
      <c r="C536" s="3" t="s">
        <v>10</v>
      </c>
      <c r="D536" s="3" t="s">
        <v>8</v>
      </c>
      <c r="E536" s="3" t="s">
        <v>11</v>
      </c>
      <c r="F536" s="3" t="s">
        <v>11</v>
      </c>
      <c r="G536" s="3" t="s">
        <v>11</v>
      </c>
      <c r="H536" s="3" t="s">
        <v>13</v>
      </c>
      <c r="I536" s="3" t="s">
        <v>19</v>
      </c>
      <c r="J536" s="3" t="s">
        <v>112</v>
      </c>
      <c r="K536" s="3" t="s">
        <v>206</v>
      </c>
      <c r="L536" s="3">
        <v>90</v>
      </c>
      <c r="M536">
        <v>55146</v>
      </c>
      <c r="N536">
        <v>55144</v>
      </c>
      <c r="O536">
        <v>53894</v>
      </c>
      <c r="P536">
        <v>46057</v>
      </c>
      <c r="Q536">
        <v>0.85458492596578495</v>
      </c>
      <c r="R536">
        <v>49</v>
      </c>
      <c r="S536">
        <v>2.5106054294371201</v>
      </c>
      <c r="T536">
        <v>0.64509798426611697</v>
      </c>
    </row>
    <row r="537" spans="1:20" x14ac:dyDescent="0.2">
      <c r="A537" t="str">
        <f t="shared" si="8"/>
        <v>sample_HS-CS6_H06_Amoxicillin_S570</v>
      </c>
      <c r="B537" t="s">
        <v>774</v>
      </c>
      <c r="C537" s="3" t="s">
        <v>10</v>
      </c>
      <c r="D537" s="3" t="s">
        <v>8</v>
      </c>
      <c r="E537" s="3" t="s">
        <v>11</v>
      </c>
      <c r="F537" s="3" t="s">
        <v>11</v>
      </c>
      <c r="G537" s="3" t="s">
        <v>11</v>
      </c>
      <c r="H537" s="3" t="s">
        <v>13</v>
      </c>
      <c r="I537" s="3" t="s">
        <v>21</v>
      </c>
      <c r="J537" s="3" t="s">
        <v>112</v>
      </c>
      <c r="K537" s="3" t="s">
        <v>206</v>
      </c>
      <c r="L537" s="3">
        <v>90</v>
      </c>
      <c r="M537">
        <v>8117</v>
      </c>
      <c r="N537">
        <v>8130</v>
      </c>
      <c r="O537">
        <v>7891</v>
      </c>
      <c r="P537">
        <v>7809</v>
      </c>
      <c r="Q537">
        <v>0.98960841464960103</v>
      </c>
      <c r="R537" t="s">
        <v>11</v>
      </c>
      <c r="S537" t="s">
        <v>11</v>
      </c>
      <c r="T537" t="s">
        <v>11</v>
      </c>
    </row>
    <row r="538" spans="1:20" x14ac:dyDescent="0.2">
      <c r="A538" t="str">
        <f t="shared" si="8"/>
        <v>sample_16S-A-H06-L0_anaCS-Subj5-H06</v>
      </c>
      <c r="B538" t="s">
        <v>775</v>
      </c>
      <c r="C538" s="3" t="s">
        <v>9</v>
      </c>
      <c r="D538" s="3" t="s">
        <v>7</v>
      </c>
      <c r="E538" s="3" t="s">
        <v>3</v>
      </c>
      <c r="F538" s="3" t="s">
        <v>112</v>
      </c>
      <c r="G538" s="3" t="s">
        <v>18</v>
      </c>
      <c r="H538" s="3" t="s">
        <v>13</v>
      </c>
      <c r="I538" s="3" t="s">
        <v>19</v>
      </c>
      <c r="J538" s="3" t="s">
        <v>112</v>
      </c>
      <c r="K538" s="3" t="s">
        <v>206</v>
      </c>
      <c r="L538" s="3">
        <v>90</v>
      </c>
      <c r="M538">
        <v>83803</v>
      </c>
      <c r="N538">
        <v>83870</v>
      </c>
      <c r="O538">
        <v>83044</v>
      </c>
      <c r="P538">
        <v>74904</v>
      </c>
      <c r="Q538">
        <v>0.90197967342613505</v>
      </c>
      <c r="R538">
        <v>57</v>
      </c>
      <c r="S538">
        <v>2.5385318767135399</v>
      </c>
      <c r="T538">
        <v>0.62787526265358895</v>
      </c>
    </row>
    <row r="539" spans="1:20" x14ac:dyDescent="0.2">
      <c r="A539" t="str">
        <f t="shared" si="8"/>
        <v>sample_16S-A-H06-L1_anaCS-Subj6-H06</v>
      </c>
      <c r="B539" t="s">
        <v>776</v>
      </c>
      <c r="C539" s="3" t="s">
        <v>9</v>
      </c>
      <c r="D539" s="3" t="s">
        <v>7</v>
      </c>
      <c r="E539" s="3" t="s">
        <v>3</v>
      </c>
      <c r="F539" s="3" t="s">
        <v>112</v>
      </c>
      <c r="G539" s="3" t="s">
        <v>20</v>
      </c>
      <c r="H539" s="3" t="s">
        <v>13</v>
      </c>
      <c r="I539" s="3" t="s">
        <v>21</v>
      </c>
      <c r="J539" s="3" t="s">
        <v>112</v>
      </c>
      <c r="K539" s="3" t="s">
        <v>206</v>
      </c>
      <c r="L539" s="3">
        <v>90</v>
      </c>
      <c r="M539">
        <v>76596</v>
      </c>
      <c r="N539">
        <v>76689</v>
      </c>
      <c r="O539">
        <v>75513</v>
      </c>
      <c r="P539">
        <v>68174</v>
      </c>
      <c r="Q539">
        <v>0.90281143644140704</v>
      </c>
      <c r="R539">
        <v>62</v>
      </c>
      <c r="S539">
        <v>2.5848166041992</v>
      </c>
      <c r="T539">
        <v>0.62629814371090697</v>
      </c>
    </row>
    <row r="540" spans="1:20" x14ac:dyDescent="0.2">
      <c r="A540" t="str">
        <f t="shared" si="8"/>
        <v>sample_16S-A-H06-L2_anaCS-Subj5-H06</v>
      </c>
      <c r="B540" t="s">
        <v>777</v>
      </c>
      <c r="C540" s="3" t="s">
        <v>9</v>
      </c>
      <c r="D540" s="3" t="s">
        <v>7</v>
      </c>
      <c r="E540" s="3" t="s">
        <v>3</v>
      </c>
      <c r="F540" s="3" t="s">
        <v>112</v>
      </c>
      <c r="G540" s="3" t="s">
        <v>22</v>
      </c>
      <c r="H540" s="3" t="s">
        <v>13</v>
      </c>
      <c r="I540" s="3" t="s">
        <v>19</v>
      </c>
      <c r="J540" s="3" t="s">
        <v>112</v>
      </c>
      <c r="K540" s="3" t="s">
        <v>206</v>
      </c>
      <c r="L540" s="3">
        <v>90</v>
      </c>
      <c r="M540">
        <v>65691</v>
      </c>
      <c r="N540">
        <v>65809</v>
      </c>
      <c r="O540">
        <v>64892</v>
      </c>
      <c r="P540">
        <v>55092</v>
      </c>
      <c r="Q540">
        <v>0.84897984343216404</v>
      </c>
      <c r="R540">
        <v>58</v>
      </c>
      <c r="S540">
        <v>2.5806688586879498</v>
      </c>
      <c r="T540">
        <v>0.63556337374642002</v>
      </c>
    </row>
    <row r="541" spans="1:20" x14ac:dyDescent="0.2">
      <c r="A541" t="str">
        <f t="shared" si="8"/>
        <v>sample_16S-A-H06-L3_anaCS-Subj6-H06</v>
      </c>
      <c r="B541" t="s">
        <v>778</v>
      </c>
      <c r="C541" s="3" t="s">
        <v>9</v>
      </c>
      <c r="D541" s="3" t="s">
        <v>7</v>
      </c>
      <c r="E541" s="3" t="s">
        <v>3</v>
      </c>
      <c r="F541" s="3" t="s">
        <v>112</v>
      </c>
      <c r="G541" s="3" t="s">
        <v>23</v>
      </c>
      <c r="H541" s="3" t="s">
        <v>13</v>
      </c>
      <c r="I541" s="3" t="s">
        <v>21</v>
      </c>
      <c r="J541" s="3" t="s">
        <v>112</v>
      </c>
      <c r="K541" s="3" t="s">
        <v>206</v>
      </c>
      <c r="L541" s="3">
        <v>90</v>
      </c>
      <c r="M541">
        <v>105340</v>
      </c>
      <c r="N541">
        <v>105454</v>
      </c>
      <c r="O541">
        <v>103715</v>
      </c>
      <c r="P541">
        <v>89682</v>
      </c>
      <c r="Q541">
        <v>0.86469652412862197</v>
      </c>
      <c r="R541">
        <v>61</v>
      </c>
      <c r="S541">
        <v>2.5531531548480002</v>
      </c>
      <c r="T541">
        <v>0.62107309521194298</v>
      </c>
    </row>
    <row r="542" spans="1:20" x14ac:dyDescent="0.2">
      <c r="A542" t="str">
        <f t="shared" si="8"/>
        <v>sample_16S-A-H07-L0_anaCS-Subj5-H07</v>
      </c>
      <c r="B542" t="s">
        <v>779</v>
      </c>
      <c r="C542" s="3" t="s">
        <v>9</v>
      </c>
      <c r="D542" s="3" t="s">
        <v>7</v>
      </c>
      <c r="E542" s="3" t="s">
        <v>3</v>
      </c>
      <c r="F542" s="3" t="s">
        <v>113</v>
      </c>
      <c r="G542" s="3" t="s">
        <v>18</v>
      </c>
      <c r="H542" s="3" t="s">
        <v>13</v>
      </c>
      <c r="I542" s="3" t="s">
        <v>19</v>
      </c>
      <c r="J542" s="3" t="s">
        <v>113</v>
      </c>
      <c r="K542" s="3" t="s">
        <v>207</v>
      </c>
      <c r="L542" s="3">
        <v>91</v>
      </c>
      <c r="M542">
        <v>76723</v>
      </c>
      <c r="N542">
        <v>76756</v>
      </c>
      <c r="O542">
        <v>75236</v>
      </c>
      <c r="P542">
        <v>70415</v>
      </c>
      <c r="Q542">
        <v>0.93592163326067301</v>
      </c>
      <c r="R542">
        <v>56</v>
      </c>
      <c r="S542">
        <v>2.7345235758582702</v>
      </c>
      <c r="T542">
        <v>0.67932538221495398</v>
      </c>
    </row>
    <row r="543" spans="1:20" x14ac:dyDescent="0.2">
      <c r="A543" t="str">
        <f t="shared" si="8"/>
        <v>sample_16S-A-H07-L1_anaCS-Subj6-H07</v>
      </c>
      <c r="B543" t="s">
        <v>780</v>
      </c>
      <c r="C543" s="3" t="s">
        <v>9</v>
      </c>
      <c r="D543" s="3" t="s">
        <v>7</v>
      </c>
      <c r="E543" s="3" t="s">
        <v>3</v>
      </c>
      <c r="F543" s="3" t="s">
        <v>113</v>
      </c>
      <c r="G543" s="3" t="s">
        <v>20</v>
      </c>
      <c r="H543" s="3" t="s">
        <v>13</v>
      </c>
      <c r="I543" s="3" t="s">
        <v>21</v>
      </c>
      <c r="J543" s="3" t="s">
        <v>113</v>
      </c>
      <c r="K543" s="3" t="s">
        <v>207</v>
      </c>
      <c r="L543" s="3">
        <v>91</v>
      </c>
      <c r="M543">
        <v>72624</v>
      </c>
      <c r="N543">
        <v>72693</v>
      </c>
      <c r="O543">
        <v>71254</v>
      </c>
      <c r="P543">
        <v>66161</v>
      </c>
      <c r="Q543">
        <v>0.92852331097201601</v>
      </c>
      <c r="R543">
        <v>67</v>
      </c>
      <c r="S543">
        <v>2.5056022657308201</v>
      </c>
      <c r="T543">
        <v>0.59590616783153705</v>
      </c>
    </row>
    <row r="544" spans="1:20" x14ac:dyDescent="0.2">
      <c r="A544" t="str">
        <f t="shared" si="8"/>
        <v>sample_16S-A-H07-L2_anaCS-Subj5-H07</v>
      </c>
      <c r="B544" t="s">
        <v>781</v>
      </c>
      <c r="C544" s="3" t="s">
        <v>9</v>
      </c>
      <c r="D544" s="3" t="s">
        <v>7</v>
      </c>
      <c r="E544" s="3" t="s">
        <v>3</v>
      </c>
      <c r="F544" s="3" t="s">
        <v>113</v>
      </c>
      <c r="G544" s="3" t="s">
        <v>22</v>
      </c>
      <c r="H544" s="3" t="s">
        <v>13</v>
      </c>
      <c r="I544" s="3" t="s">
        <v>19</v>
      </c>
      <c r="J544" s="3" t="s">
        <v>113</v>
      </c>
      <c r="K544" s="3" t="s">
        <v>207</v>
      </c>
      <c r="L544" s="3">
        <v>91</v>
      </c>
      <c r="M544">
        <v>66896</v>
      </c>
      <c r="N544">
        <v>66980</v>
      </c>
      <c r="O544">
        <v>65029</v>
      </c>
      <c r="P544">
        <v>58780</v>
      </c>
      <c r="Q544">
        <v>0.90390441187777804</v>
      </c>
      <c r="R544">
        <v>57</v>
      </c>
      <c r="S544">
        <v>2.6646172530938101</v>
      </c>
      <c r="T544">
        <v>0.65906096078790799</v>
      </c>
    </row>
    <row r="545" spans="1:20" x14ac:dyDescent="0.2">
      <c r="A545" t="str">
        <f t="shared" si="8"/>
        <v>sample_16S-A-H07-L3_anaCS-Subj6-H07</v>
      </c>
      <c r="B545" t="s">
        <v>782</v>
      </c>
      <c r="C545" s="3" t="s">
        <v>9</v>
      </c>
      <c r="D545" s="3" t="s">
        <v>7</v>
      </c>
      <c r="E545" s="3" t="s">
        <v>3</v>
      </c>
      <c r="F545" s="3" t="s">
        <v>113</v>
      </c>
      <c r="G545" s="3" t="s">
        <v>23</v>
      </c>
      <c r="H545" s="3" t="s">
        <v>13</v>
      </c>
      <c r="I545" s="3" t="s">
        <v>21</v>
      </c>
      <c r="J545" s="3" t="s">
        <v>113</v>
      </c>
      <c r="K545" s="3" t="s">
        <v>207</v>
      </c>
      <c r="L545" s="3">
        <v>91</v>
      </c>
      <c r="M545">
        <v>113519</v>
      </c>
      <c r="N545">
        <v>113581</v>
      </c>
      <c r="O545">
        <v>111228</v>
      </c>
      <c r="P545">
        <v>99446</v>
      </c>
      <c r="Q545">
        <v>0.89407343474664702</v>
      </c>
      <c r="R545">
        <v>73</v>
      </c>
      <c r="S545">
        <v>2.4601773968629801</v>
      </c>
      <c r="T545">
        <v>0.57340651522497299</v>
      </c>
    </row>
    <row r="546" spans="1:20" x14ac:dyDescent="0.2">
      <c r="A546" t="str">
        <f t="shared" si="8"/>
        <v>sample_HS-CS5_H07_Ursodeoxycholic-acid_S475</v>
      </c>
      <c r="B546" t="s">
        <v>783</v>
      </c>
      <c r="C546" s="3" t="s">
        <v>10</v>
      </c>
      <c r="D546" s="3" t="s">
        <v>8</v>
      </c>
      <c r="E546" s="3" t="s">
        <v>11</v>
      </c>
      <c r="F546" s="3" t="s">
        <v>11</v>
      </c>
      <c r="G546" s="3" t="s">
        <v>11</v>
      </c>
      <c r="H546" s="3" t="s">
        <v>13</v>
      </c>
      <c r="I546" s="3" t="s">
        <v>19</v>
      </c>
      <c r="J546" s="3" t="s">
        <v>113</v>
      </c>
      <c r="K546" s="3" t="s">
        <v>207</v>
      </c>
      <c r="L546" s="3">
        <v>91</v>
      </c>
      <c r="M546">
        <v>52920</v>
      </c>
      <c r="N546">
        <v>53021</v>
      </c>
      <c r="O546">
        <v>51931</v>
      </c>
      <c r="P546">
        <v>48709</v>
      </c>
      <c r="Q546">
        <v>0.93795613410101897</v>
      </c>
      <c r="R546">
        <v>45</v>
      </c>
      <c r="S546">
        <v>2.48685769213145</v>
      </c>
      <c r="T546">
        <v>0.65329082859707299</v>
      </c>
    </row>
    <row r="547" spans="1:20" x14ac:dyDescent="0.2">
      <c r="A547" t="str">
        <f t="shared" si="8"/>
        <v>sample_HS-CS6_H07_Ursodeoxycholic-acid_S571</v>
      </c>
      <c r="B547" t="s">
        <v>784</v>
      </c>
      <c r="C547" s="3" t="s">
        <v>10</v>
      </c>
      <c r="D547" s="3" t="s">
        <v>8</v>
      </c>
      <c r="E547" s="3" t="s">
        <v>11</v>
      </c>
      <c r="F547" s="3" t="s">
        <v>11</v>
      </c>
      <c r="G547" s="3" t="s">
        <v>11</v>
      </c>
      <c r="H547" s="3" t="s">
        <v>13</v>
      </c>
      <c r="I547" s="3" t="s">
        <v>21</v>
      </c>
      <c r="J547" s="3" t="s">
        <v>113</v>
      </c>
      <c r="K547" s="3" t="s">
        <v>207</v>
      </c>
      <c r="L547" s="3">
        <v>91</v>
      </c>
      <c r="M547">
        <v>11354</v>
      </c>
      <c r="N547">
        <v>11391</v>
      </c>
      <c r="O547">
        <v>11032</v>
      </c>
      <c r="P547">
        <v>10800</v>
      </c>
      <c r="Q547">
        <v>0.97897026831037004</v>
      </c>
      <c r="R547">
        <v>27</v>
      </c>
      <c r="S547">
        <v>1.2858639375946801</v>
      </c>
      <c r="T547">
        <v>0.39014793203450798</v>
      </c>
    </row>
    <row r="548" spans="1:20" x14ac:dyDescent="0.2">
      <c r="A548" t="str">
        <f t="shared" si="8"/>
        <v>sample_HS-CS5_H08_Cladribine_S476</v>
      </c>
      <c r="B548" t="s">
        <v>785</v>
      </c>
      <c r="C548" s="3" t="s">
        <v>10</v>
      </c>
      <c r="D548" s="3" t="s">
        <v>8</v>
      </c>
      <c r="E548" s="3" t="s">
        <v>11</v>
      </c>
      <c r="F548" s="3" t="s">
        <v>11</v>
      </c>
      <c r="G548" s="3" t="s">
        <v>11</v>
      </c>
      <c r="H548" s="3" t="s">
        <v>13</v>
      </c>
      <c r="I548" s="3" t="s">
        <v>19</v>
      </c>
      <c r="J548" s="3" t="s">
        <v>114</v>
      </c>
      <c r="K548" s="3" t="s">
        <v>208</v>
      </c>
      <c r="L548" s="3">
        <v>92</v>
      </c>
      <c r="M548">
        <v>36740</v>
      </c>
      <c r="N548">
        <v>36821</v>
      </c>
      <c r="O548">
        <v>35873</v>
      </c>
      <c r="P548">
        <v>34068</v>
      </c>
      <c r="Q548">
        <v>0.94968360605469304</v>
      </c>
      <c r="R548">
        <v>51</v>
      </c>
      <c r="S548">
        <v>2.6653212375630799</v>
      </c>
      <c r="T548">
        <v>0.67788388563820901</v>
      </c>
    </row>
    <row r="549" spans="1:20" x14ac:dyDescent="0.2">
      <c r="A549" t="str">
        <f t="shared" si="8"/>
        <v>sample_HS-CS6_H08_Cladribine_S572</v>
      </c>
      <c r="B549" t="s">
        <v>786</v>
      </c>
      <c r="C549" s="3" t="s">
        <v>10</v>
      </c>
      <c r="D549" s="3" t="s">
        <v>8</v>
      </c>
      <c r="E549" s="3" t="s">
        <v>11</v>
      </c>
      <c r="F549" s="3" t="s">
        <v>11</v>
      </c>
      <c r="G549" s="3" t="s">
        <v>11</v>
      </c>
      <c r="H549" s="3" t="s">
        <v>13</v>
      </c>
      <c r="I549" s="3" t="s">
        <v>21</v>
      </c>
      <c r="J549" s="3" t="s">
        <v>114</v>
      </c>
      <c r="K549" s="3" t="s">
        <v>208</v>
      </c>
      <c r="L549" s="3">
        <v>92</v>
      </c>
      <c r="M549">
        <v>12930</v>
      </c>
      <c r="N549">
        <v>12941</v>
      </c>
      <c r="O549">
        <v>12595</v>
      </c>
      <c r="P549">
        <v>12338</v>
      </c>
      <c r="Q549">
        <v>0.97959507741167096</v>
      </c>
      <c r="R549">
        <v>29</v>
      </c>
      <c r="S549">
        <v>1.35613217619058</v>
      </c>
      <c r="T549">
        <v>0.402736274049323</v>
      </c>
    </row>
    <row r="550" spans="1:20" x14ac:dyDescent="0.2">
      <c r="A550" t="str">
        <f t="shared" si="8"/>
        <v>sample_16S-A-H08-L0_anaCS-Subj5-H08</v>
      </c>
      <c r="B550" t="s">
        <v>787</v>
      </c>
      <c r="C550" s="3" t="s">
        <v>9</v>
      </c>
      <c r="D550" s="3" t="s">
        <v>7</v>
      </c>
      <c r="E550" s="3" t="s">
        <v>3</v>
      </c>
      <c r="F550" s="3" t="s">
        <v>114</v>
      </c>
      <c r="G550" s="3" t="s">
        <v>18</v>
      </c>
      <c r="H550" s="3" t="s">
        <v>13</v>
      </c>
      <c r="I550" s="3" t="s">
        <v>19</v>
      </c>
      <c r="J550" s="3" t="s">
        <v>114</v>
      </c>
      <c r="K550" s="3" t="s">
        <v>208</v>
      </c>
      <c r="L550" s="3">
        <v>92</v>
      </c>
      <c r="M550">
        <v>82892</v>
      </c>
      <c r="N550">
        <v>82990</v>
      </c>
      <c r="O550">
        <v>81246</v>
      </c>
      <c r="P550">
        <v>75227</v>
      </c>
      <c r="Q550">
        <v>0.92591635280506102</v>
      </c>
      <c r="R550">
        <v>68</v>
      </c>
      <c r="S550">
        <v>2.9225959925031302</v>
      </c>
      <c r="T550">
        <v>0.69263909363595999</v>
      </c>
    </row>
    <row r="551" spans="1:20" x14ac:dyDescent="0.2">
      <c r="A551" t="str">
        <f t="shared" si="8"/>
        <v>sample_16S-A-H08-L1_anaCS-Subj6-H08</v>
      </c>
      <c r="B551" t="s">
        <v>788</v>
      </c>
      <c r="C551" s="3" t="s">
        <v>9</v>
      </c>
      <c r="D551" s="3" t="s">
        <v>7</v>
      </c>
      <c r="E551" s="3" t="s">
        <v>3</v>
      </c>
      <c r="F551" s="3" t="s">
        <v>114</v>
      </c>
      <c r="G551" s="3" t="s">
        <v>20</v>
      </c>
      <c r="H551" s="3" t="s">
        <v>13</v>
      </c>
      <c r="I551" s="3" t="s">
        <v>21</v>
      </c>
      <c r="J551" s="3" t="s">
        <v>114</v>
      </c>
      <c r="K551" s="3" t="s">
        <v>208</v>
      </c>
      <c r="L551" s="3">
        <v>92</v>
      </c>
      <c r="M551">
        <v>78634</v>
      </c>
      <c r="N551">
        <v>78832</v>
      </c>
      <c r="O551">
        <v>77553</v>
      </c>
      <c r="P551">
        <v>71920</v>
      </c>
      <c r="Q551">
        <v>0.92736580145191005</v>
      </c>
      <c r="R551">
        <v>66</v>
      </c>
      <c r="S551">
        <v>2.5424072649291798</v>
      </c>
      <c r="T551">
        <v>0.60682977989243203</v>
      </c>
    </row>
    <row r="552" spans="1:20" x14ac:dyDescent="0.2">
      <c r="A552" t="str">
        <f t="shared" si="8"/>
        <v>sample_16S-A-H08-L2_anaCS-Subj5-H08</v>
      </c>
      <c r="B552" t="s">
        <v>789</v>
      </c>
      <c r="C552" s="3" t="s">
        <v>9</v>
      </c>
      <c r="D552" s="3" t="s">
        <v>7</v>
      </c>
      <c r="E552" s="3" t="s">
        <v>3</v>
      </c>
      <c r="F552" s="3" t="s">
        <v>114</v>
      </c>
      <c r="G552" s="3" t="s">
        <v>22</v>
      </c>
      <c r="H552" s="3" t="s">
        <v>13</v>
      </c>
      <c r="I552" s="3" t="s">
        <v>19</v>
      </c>
      <c r="J552" s="3" t="s">
        <v>114</v>
      </c>
      <c r="K552" s="3" t="s">
        <v>208</v>
      </c>
      <c r="L552" s="3">
        <v>92</v>
      </c>
      <c r="M552">
        <v>94586</v>
      </c>
      <c r="N552">
        <v>94705</v>
      </c>
      <c r="O552">
        <v>91757</v>
      </c>
      <c r="P552">
        <v>80019</v>
      </c>
      <c r="Q552">
        <v>0.87207515502904398</v>
      </c>
      <c r="R552">
        <v>63</v>
      </c>
      <c r="S552">
        <v>2.9034178136189399</v>
      </c>
      <c r="T552">
        <v>0.70077803531812199</v>
      </c>
    </row>
    <row r="553" spans="1:20" x14ac:dyDescent="0.2">
      <c r="A553" t="str">
        <f t="shared" si="8"/>
        <v>sample_16S-A-H08-L3_anaCS-Subj6-H08</v>
      </c>
      <c r="B553" t="s">
        <v>790</v>
      </c>
      <c r="C553" s="3" t="s">
        <v>9</v>
      </c>
      <c r="D553" s="3" t="s">
        <v>7</v>
      </c>
      <c r="E553" s="3" t="s">
        <v>3</v>
      </c>
      <c r="F553" s="3" t="s">
        <v>114</v>
      </c>
      <c r="G553" s="3" t="s">
        <v>23</v>
      </c>
      <c r="H553" s="3" t="s">
        <v>13</v>
      </c>
      <c r="I553" s="3" t="s">
        <v>21</v>
      </c>
      <c r="J553" s="3" t="s">
        <v>114</v>
      </c>
      <c r="K553" s="3" t="s">
        <v>208</v>
      </c>
      <c r="L553" s="3">
        <v>92</v>
      </c>
      <c r="M553">
        <v>97051</v>
      </c>
      <c r="N553">
        <v>97147</v>
      </c>
      <c r="O553">
        <v>95008</v>
      </c>
      <c r="P553">
        <v>84050</v>
      </c>
      <c r="Q553">
        <v>0.88466234422364398</v>
      </c>
      <c r="R553">
        <v>71</v>
      </c>
      <c r="S553">
        <v>2.5656745706735</v>
      </c>
      <c r="T553">
        <v>0.60189238804728395</v>
      </c>
    </row>
    <row r="554" spans="1:20" x14ac:dyDescent="0.2">
      <c r="A554" t="str">
        <f t="shared" si="8"/>
        <v>sample_HS-CS5_H09_Medrysone_S477</v>
      </c>
      <c r="B554" t="s">
        <v>791</v>
      </c>
      <c r="C554" s="3" t="s">
        <v>10</v>
      </c>
      <c r="D554" s="3" t="s">
        <v>8</v>
      </c>
      <c r="E554" s="3" t="s">
        <v>11</v>
      </c>
      <c r="F554" s="3" t="s">
        <v>11</v>
      </c>
      <c r="G554" s="3" t="s">
        <v>11</v>
      </c>
      <c r="H554" s="3" t="s">
        <v>13</v>
      </c>
      <c r="I554" s="3" t="s">
        <v>19</v>
      </c>
      <c r="J554" s="3" t="s">
        <v>115</v>
      </c>
      <c r="K554" s="3" t="s">
        <v>209</v>
      </c>
      <c r="L554" s="3">
        <v>93</v>
      </c>
      <c r="M554">
        <v>23414</v>
      </c>
      <c r="N554">
        <v>23446</v>
      </c>
      <c r="O554">
        <v>22844</v>
      </c>
      <c r="P554">
        <v>22351</v>
      </c>
      <c r="Q554">
        <v>0.97841884083347896</v>
      </c>
      <c r="R554">
        <v>47</v>
      </c>
      <c r="S554">
        <v>2.4038140950523199</v>
      </c>
      <c r="T554">
        <v>0.624343361273905</v>
      </c>
    </row>
    <row r="555" spans="1:20" x14ac:dyDescent="0.2">
      <c r="A555" t="str">
        <f t="shared" si="8"/>
        <v>sample_HS-CS6_H09_Medrysone_S573</v>
      </c>
      <c r="B555" t="s">
        <v>792</v>
      </c>
      <c r="C555" s="3" t="s">
        <v>10</v>
      </c>
      <c r="D555" s="3" t="s">
        <v>8</v>
      </c>
      <c r="E555" s="3" t="s">
        <v>11</v>
      </c>
      <c r="F555" s="3" t="s">
        <v>11</v>
      </c>
      <c r="G555" s="3" t="s">
        <v>11</v>
      </c>
      <c r="H555" s="3" t="s">
        <v>13</v>
      </c>
      <c r="I555" s="3" t="s">
        <v>21</v>
      </c>
      <c r="J555" s="3" t="s">
        <v>115</v>
      </c>
      <c r="K555" s="3" t="s">
        <v>209</v>
      </c>
      <c r="L555" s="3">
        <v>93</v>
      </c>
      <c r="M555">
        <v>11773</v>
      </c>
      <c r="N555">
        <v>11784</v>
      </c>
      <c r="O555">
        <v>11441</v>
      </c>
      <c r="P555">
        <v>11365</v>
      </c>
      <c r="Q555">
        <v>0.99335722401887905</v>
      </c>
      <c r="R555">
        <v>31</v>
      </c>
      <c r="S555">
        <v>1.3955236529247499</v>
      </c>
      <c r="T555">
        <v>0.40638580455455597</v>
      </c>
    </row>
    <row r="556" spans="1:20" x14ac:dyDescent="0.2">
      <c r="A556" t="str">
        <f t="shared" si="8"/>
        <v>sample_16S-A-H09-L0_anaCS-Subj5-H09</v>
      </c>
      <c r="B556" t="s">
        <v>793</v>
      </c>
      <c r="C556" s="3" t="s">
        <v>9</v>
      </c>
      <c r="D556" s="3" t="s">
        <v>7</v>
      </c>
      <c r="E556" s="3" t="s">
        <v>3</v>
      </c>
      <c r="F556" s="3" t="s">
        <v>115</v>
      </c>
      <c r="G556" s="3" t="s">
        <v>18</v>
      </c>
      <c r="H556" s="3" t="s">
        <v>13</v>
      </c>
      <c r="I556" s="3" t="s">
        <v>19</v>
      </c>
      <c r="J556" s="3" t="s">
        <v>115</v>
      </c>
      <c r="K556" s="3" t="s">
        <v>209</v>
      </c>
      <c r="L556" s="3">
        <v>93</v>
      </c>
      <c r="M556">
        <v>89883</v>
      </c>
      <c r="N556">
        <v>90034</v>
      </c>
      <c r="O556">
        <v>87891</v>
      </c>
      <c r="P556">
        <v>81444</v>
      </c>
      <c r="Q556">
        <v>0.92664777963613998</v>
      </c>
      <c r="R556">
        <v>64</v>
      </c>
      <c r="S556">
        <v>2.76897093098624</v>
      </c>
      <c r="T556">
        <v>0.66579677174992402</v>
      </c>
    </row>
    <row r="557" spans="1:20" x14ac:dyDescent="0.2">
      <c r="A557" t="str">
        <f t="shared" si="8"/>
        <v>sample_16S-A-H09-L1_anaCS-Subj6-H09</v>
      </c>
      <c r="B557" t="s">
        <v>794</v>
      </c>
      <c r="C557" s="3" t="s">
        <v>9</v>
      </c>
      <c r="D557" s="3" t="s">
        <v>7</v>
      </c>
      <c r="E557" s="3" t="s">
        <v>3</v>
      </c>
      <c r="F557" s="3" t="s">
        <v>115</v>
      </c>
      <c r="G557" s="3" t="s">
        <v>20</v>
      </c>
      <c r="H557" s="3" t="s">
        <v>13</v>
      </c>
      <c r="I557" s="3" t="s">
        <v>21</v>
      </c>
      <c r="J557" s="3" t="s">
        <v>115</v>
      </c>
      <c r="K557" s="3" t="s">
        <v>209</v>
      </c>
      <c r="L557" s="3">
        <v>93</v>
      </c>
      <c r="M557">
        <v>83646</v>
      </c>
      <c r="N557">
        <v>83658</v>
      </c>
      <c r="O557">
        <v>82182</v>
      </c>
      <c r="P557">
        <v>75874</v>
      </c>
      <c r="Q557">
        <v>0.92324353264705195</v>
      </c>
      <c r="R557">
        <v>70</v>
      </c>
      <c r="S557">
        <v>2.5219245678606899</v>
      </c>
      <c r="T557">
        <v>0.59360418787810099</v>
      </c>
    </row>
    <row r="558" spans="1:20" x14ac:dyDescent="0.2">
      <c r="A558" t="str">
        <f t="shared" si="8"/>
        <v>sample_16S-A-H09-L2_anaCS-Subj5-H09</v>
      </c>
      <c r="B558" t="s">
        <v>795</v>
      </c>
      <c r="C558" s="3" t="s">
        <v>9</v>
      </c>
      <c r="D558" s="3" t="s">
        <v>7</v>
      </c>
      <c r="E558" s="3" t="s">
        <v>3</v>
      </c>
      <c r="F558" s="3" t="s">
        <v>115</v>
      </c>
      <c r="G558" s="3" t="s">
        <v>22</v>
      </c>
      <c r="H558" s="3" t="s">
        <v>13</v>
      </c>
      <c r="I558" s="3" t="s">
        <v>19</v>
      </c>
      <c r="J558" s="3" t="s">
        <v>115</v>
      </c>
      <c r="K558" s="3" t="s">
        <v>209</v>
      </c>
      <c r="L558" s="3">
        <v>93</v>
      </c>
      <c r="M558">
        <v>81680</v>
      </c>
      <c r="N558">
        <v>81743</v>
      </c>
      <c r="O558">
        <v>79204</v>
      </c>
      <c r="P558">
        <v>70718</v>
      </c>
      <c r="Q558">
        <v>0.89285894651785302</v>
      </c>
      <c r="R558">
        <v>63</v>
      </c>
      <c r="S558">
        <v>2.7344030336924798</v>
      </c>
      <c r="T558">
        <v>0.65998409761441801</v>
      </c>
    </row>
    <row r="559" spans="1:20" x14ac:dyDescent="0.2">
      <c r="A559" t="str">
        <f t="shared" si="8"/>
        <v>sample_16S-A-H09-L3_anaCS-Subj6-H09</v>
      </c>
      <c r="B559" t="s">
        <v>796</v>
      </c>
      <c r="C559" s="3" t="s">
        <v>9</v>
      </c>
      <c r="D559" s="3" t="s">
        <v>7</v>
      </c>
      <c r="E559" s="3" t="s">
        <v>3</v>
      </c>
      <c r="F559" s="3" t="s">
        <v>115</v>
      </c>
      <c r="G559" s="3" t="s">
        <v>23</v>
      </c>
      <c r="H559" s="3" t="s">
        <v>13</v>
      </c>
      <c r="I559" s="3" t="s">
        <v>21</v>
      </c>
      <c r="J559" s="3" t="s">
        <v>115</v>
      </c>
      <c r="K559" s="3" t="s">
        <v>209</v>
      </c>
      <c r="L559" s="3">
        <v>93</v>
      </c>
      <c r="M559">
        <v>137184</v>
      </c>
      <c r="N559">
        <v>137218</v>
      </c>
      <c r="O559">
        <v>134328</v>
      </c>
      <c r="P559">
        <v>118881</v>
      </c>
      <c r="Q559">
        <v>0.88500536001429297</v>
      </c>
      <c r="R559">
        <v>72</v>
      </c>
      <c r="S559">
        <v>2.5450276292948399</v>
      </c>
      <c r="T559">
        <v>0.59509617035065299</v>
      </c>
    </row>
    <row r="560" spans="1:20" x14ac:dyDescent="0.2">
      <c r="A560" t="str">
        <f t="shared" si="8"/>
        <v>sample_HS-CS5_H10_L-Thyroxine_S478</v>
      </c>
      <c r="B560" t="s">
        <v>797</v>
      </c>
      <c r="C560" s="3" t="s">
        <v>10</v>
      </c>
      <c r="D560" s="3" t="s">
        <v>8</v>
      </c>
      <c r="E560" s="3" t="s">
        <v>11</v>
      </c>
      <c r="F560" s="3" t="s">
        <v>11</v>
      </c>
      <c r="G560" s="3" t="s">
        <v>11</v>
      </c>
      <c r="H560" s="3" t="s">
        <v>13</v>
      </c>
      <c r="I560" s="3" t="s">
        <v>19</v>
      </c>
      <c r="J560" s="3" t="s">
        <v>116</v>
      </c>
      <c r="K560" s="3" t="s">
        <v>210</v>
      </c>
      <c r="L560" s="3">
        <v>94</v>
      </c>
      <c r="M560">
        <v>36010</v>
      </c>
      <c r="N560">
        <v>36152</v>
      </c>
      <c r="O560">
        <v>35051</v>
      </c>
      <c r="P560">
        <v>33455</v>
      </c>
      <c r="Q560">
        <v>0.95446634903426397</v>
      </c>
      <c r="R560">
        <v>54</v>
      </c>
      <c r="S560">
        <v>2.5714743083019802</v>
      </c>
      <c r="T560">
        <v>0.64464391892386697</v>
      </c>
    </row>
    <row r="561" spans="1:20" x14ac:dyDescent="0.2">
      <c r="A561" t="str">
        <f t="shared" si="8"/>
        <v>sample_HS-CS6_H10_L-Thyroxine_S574</v>
      </c>
      <c r="B561" t="s">
        <v>798</v>
      </c>
      <c r="C561" s="3" t="s">
        <v>10</v>
      </c>
      <c r="D561" s="3" t="s">
        <v>8</v>
      </c>
      <c r="E561" s="3" t="s">
        <v>11</v>
      </c>
      <c r="F561" s="3" t="s">
        <v>11</v>
      </c>
      <c r="G561" s="3" t="s">
        <v>11</v>
      </c>
      <c r="H561" s="3" t="s">
        <v>13</v>
      </c>
      <c r="I561" s="3" t="s">
        <v>21</v>
      </c>
      <c r="J561" s="3" t="s">
        <v>116</v>
      </c>
      <c r="K561" s="3" t="s">
        <v>210</v>
      </c>
      <c r="L561" s="3">
        <v>94</v>
      </c>
      <c r="M561">
        <v>10637</v>
      </c>
      <c r="N561">
        <v>10635</v>
      </c>
      <c r="O561">
        <v>10252</v>
      </c>
      <c r="P561">
        <v>10051</v>
      </c>
      <c r="Q561">
        <v>0.98039406944986296</v>
      </c>
      <c r="R561">
        <v>28</v>
      </c>
      <c r="S561">
        <v>1.5617753045281999</v>
      </c>
      <c r="T561">
        <v>0.46869131224064198</v>
      </c>
    </row>
    <row r="562" spans="1:20" x14ac:dyDescent="0.2">
      <c r="A562" t="str">
        <f t="shared" si="8"/>
        <v>sample_16S-A-H10-L0_anaCS-Subj5-H10</v>
      </c>
      <c r="B562" t="s">
        <v>799</v>
      </c>
      <c r="C562" s="3" t="s">
        <v>9</v>
      </c>
      <c r="D562" s="3" t="s">
        <v>7</v>
      </c>
      <c r="E562" s="3" t="s">
        <v>3</v>
      </c>
      <c r="F562" s="3" t="s">
        <v>116</v>
      </c>
      <c r="G562" s="3" t="s">
        <v>18</v>
      </c>
      <c r="H562" s="3" t="s">
        <v>13</v>
      </c>
      <c r="I562" s="3" t="s">
        <v>19</v>
      </c>
      <c r="J562" s="3" t="s">
        <v>116</v>
      </c>
      <c r="K562" s="3" t="s">
        <v>210</v>
      </c>
      <c r="L562" s="3">
        <v>94</v>
      </c>
      <c r="M562">
        <v>53261</v>
      </c>
      <c r="N562">
        <v>53262</v>
      </c>
      <c r="O562">
        <v>51761</v>
      </c>
      <c r="P562">
        <v>47769</v>
      </c>
      <c r="Q562">
        <v>0.92287629682579597</v>
      </c>
      <c r="R562">
        <v>63</v>
      </c>
      <c r="S562">
        <v>2.8557965495492899</v>
      </c>
      <c r="T562">
        <v>0.68928401757201496</v>
      </c>
    </row>
    <row r="563" spans="1:20" x14ac:dyDescent="0.2">
      <c r="A563" t="str">
        <f t="shared" si="8"/>
        <v>sample_16S-A-H10-L1_anaCS-Subj6-H10</v>
      </c>
      <c r="B563" t="s">
        <v>800</v>
      </c>
      <c r="C563" s="3" t="s">
        <v>9</v>
      </c>
      <c r="D563" s="3" t="s">
        <v>7</v>
      </c>
      <c r="E563" s="3" t="s">
        <v>3</v>
      </c>
      <c r="F563" s="3" t="s">
        <v>116</v>
      </c>
      <c r="G563" s="3" t="s">
        <v>20</v>
      </c>
      <c r="H563" s="3" t="s">
        <v>13</v>
      </c>
      <c r="I563" s="3" t="s">
        <v>21</v>
      </c>
      <c r="J563" s="3" t="s">
        <v>116</v>
      </c>
      <c r="K563" s="3" t="s">
        <v>210</v>
      </c>
      <c r="L563" s="3">
        <v>94</v>
      </c>
      <c r="M563">
        <v>58172</v>
      </c>
      <c r="N563">
        <v>58229</v>
      </c>
      <c r="O563">
        <v>57138</v>
      </c>
      <c r="P563">
        <v>53083</v>
      </c>
      <c r="Q563">
        <v>0.92903146767475198</v>
      </c>
      <c r="R563">
        <v>66</v>
      </c>
      <c r="S563">
        <v>2.5854580781859999</v>
      </c>
      <c r="T563">
        <v>0.61710528370065298</v>
      </c>
    </row>
    <row r="564" spans="1:20" x14ac:dyDescent="0.2">
      <c r="A564" t="str">
        <f t="shared" si="8"/>
        <v>sample_16S-A-H10-L2_anaCS-Subj5-H10</v>
      </c>
      <c r="B564" t="s">
        <v>801</v>
      </c>
      <c r="C564" s="3" t="s">
        <v>9</v>
      </c>
      <c r="D564" s="3" t="s">
        <v>7</v>
      </c>
      <c r="E564" s="3" t="s">
        <v>3</v>
      </c>
      <c r="F564" s="3" t="s">
        <v>116</v>
      </c>
      <c r="G564" s="3" t="s">
        <v>22</v>
      </c>
      <c r="H564" s="3" t="s">
        <v>13</v>
      </c>
      <c r="I564" s="3" t="s">
        <v>19</v>
      </c>
      <c r="J564" s="3" t="s">
        <v>116</v>
      </c>
      <c r="K564" s="3" t="s">
        <v>210</v>
      </c>
      <c r="L564" s="3">
        <v>94</v>
      </c>
      <c r="M564">
        <v>45198</v>
      </c>
      <c r="N564">
        <v>45327</v>
      </c>
      <c r="O564">
        <v>43566</v>
      </c>
      <c r="P564">
        <v>38998</v>
      </c>
      <c r="Q564">
        <v>0.89514759215902295</v>
      </c>
      <c r="R564">
        <v>64</v>
      </c>
      <c r="S564">
        <v>2.78120994214679</v>
      </c>
      <c r="T564">
        <v>0.66873963186770902</v>
      </c>
    </row>
    <row r="565" spans="1:20" x14ac:dyDescent="0.2">
      <c r="A565" t="str">
        <f t="shared" si="8"/>
        <v>sample_16S-A-H10-L3_anaCS-Subj6-H10</v>
      </c>
      <c r="B565" t="s">
        <v>802</v>
      </c>
      <c r="C565" s="3" t="s">
        <v>9</v>
      </c>
      <c r="D565" s="3" t="s">
        <v>7</v>
      </c>
      <c r="E565" s="3" t="s">
        <v>3</v>
      </c>
      <c r="F565" s="3" t="s">
        <v>116</v>
      </c>
      <c r="G565" s="3" t="s">
        <v>23</v>
      </c>
      <c r="H565" s="3" t="s">
        <v>13</v>
      </c>
      <c r="I565" s="3" t="s">
        <v>21</v>
      </c>
      <c r="J565" s="3" t="s">
        <v>116</v>
      </c>
      <c r="K565" s="3" t="s">
        <v>210</v>
      </c>
      <c r="L565" s="3">
        <v>94</v>
      </c>
      <c r="M565">
        <v>80276</v>
      </c>
      <c r="N565">
        <v>80251</v>
      </c>
      <c r="O565">
        <v>78356</v>
      </c>
      <c r="P565">
        <v>69286</v>
      </c>
      <c r="Q565">
        <v>0.88424626065649103</v>
      </c>
      <c r="R565">
        <v>68</v>
      </c>
      <c r="S565">
        <v>2.6377527231801099</v>
      </c>
      <c r="T565">
        <v>0.625132813466451</v>
      </c>
    </row>
    <row r="566" spans="1:20" x14ac:dyDescent="0.2">
      <c r="A566" t="str">
        <f t="shared" si="8"/>
        <v>sample_16S-A-H11-L0_anaCS-Subj5-H11</v>
      </c>
      <c r="B566" t="s">
        <v>803</v>
      </c>
      <c r="C566" s="3" t="s">
        <v>9</v>
      </c>
      <c r="D566" s="3" t="s">
        <v>7</v>
      </c>
      <c r="E566" s="3" t="s">
        <v>3</v>
      </c>
      <c r="F566" s="3" t="s">
        <v>117</v>
      </c>
      <c r="G566" s="3" t="s">
        <v>18</v>
      </c>
      <c r="H566" s="3" t="s">
        <v>13</v>
      </c>
      <c r="I566" s="3" t="s">
        <v>19</v>
      </c>
      <c r="J566" s="3" t="s">
        <v>117</v>
      </c>
      <c r="K566" s="3" t="s">
        <v>211</v>
      </c>
      <c r="L566" s="3">
        <v>95</v>
      </c>
      <c r="M566">
        <v>6145</v>
      </c>
      <c r="N566">
        <v>6143</v>
      </c>
      <c r="O566">
        <v>5889</v>
      </c>
      <c r="P566">
        <v>5833</v>
      </c>
      <c r="Q566">
        <v>0.99049074545763305</v>
      </c>
      <c r="R566" t="s">
        <v>11</v>
      </c>
      <c r="S566" t="s">
        <v>11</v>
      </c>
      <c r="T566" t="s">
        <v>11</v>
      </c>
    </row>
    <row r="567" spans="1:20" x14ac:dyDescent="0.2">
      <c r="A567" t="str">
        <f t="shared" si="8"/>
        <v>sample_16S-A-H11-L1_anaCS-Subj6-H11</v>
      </c>
      <c r="B567" t="s">
        <v>804</v>
      </c>
      <c r="C567" s="3" t="s">
        <v>9</v>
      </c>
      <c r="D567" s="3" t="s">
        <v>7</v>
      </c>
      <c r="E567" s="3" t="s">
        <v>3</v>
      </c>
      <c r="F567" s="3" t="s">
        <v>117</v>
      </c>
      <c r="G567" s="3" t="s">
        <v>20</v>
      </c>
      <c r="H567" s="3" t="s">
        <v>13</v>
      </c>
      <c r="I567" s="3" t="s">
        <v>21</v>
      </c>
      <c r="J567" s="3" t="s">
        <v>117</v>
      </c>
      <c r="K567" s="3" t="s">
        <v>211</v>
      </c>
      <c r="L567" s="3">
        <v>95</v>
      </c>
      <c r="M567">
        <v>6769</v>
      </c>
      <c r="N567">
        <v>6804</v>
      </c>
      <c r="O567">
        <v>6580</v>
      </c>
      <c r="P567">
        <v>6409</v>
      </c>
      <c r="Q567">
        <v>0.97401215805471097</v>
      </c>
      <c r="R567" t="s">
        <v>11</v>
      </c>
      <c r="S567" t="s">
        <v>11</v>
      </c>
      <c r="T567" t="s">
        <v>11</v>
      </c>
    </row>
    <row r="568" spans="1:20" x14ac:dyDescent="0.2">
      <c r="A568" t="str">
        <f t="shared" si="8"/>
        <v>sample_16S-A-H11-L2_anaCS-Subj5-H11</v>
      </c>
      <c r="B568" t="s">
        <v>805</v>
      </c>
      <c r="C568" s="3" t="s">
        <v>9</v>
      </c>
      <c r="D568" s="3" t="s">
        <v>7</v>
      </c>
      <c r="E568" s="3" t="s">
        <v>3</v>
      </c>
      <c r="F568" s="3" t="s">
        <v>117</v>
      </c>
      <c r="G568" s="3" t="s">
        <v>22</v>
      </c>
      <c r="H568" s="3" t="s">
        <v>13</v>
      </c>
      <c r="I568" s="3" t="s">
        <v>19</v>
      </c>
      <c r="J568" s="3" t="s">
        <v>117</v>
      </c>
      <c r="K568" s="3" t="s">
        <v>211</v>
      </c>
      <c r="L568" s="3">
        <v>95</v>
      </c>
      <c r="M568">
        <v>6511</v>
      </c>
      <c r="N568">
        <v>6515</v>
      </c>
      <c r="O568">
        <v>6133</v>
      </c>
      <c r="P568">
        <v>6028</v>
      </c>
      <c r="Q568">
        <v>0.982879504320887</v>
      </c>
      <c r="R568" t="s">
        <v>11</v>
      </c>
      <c r="S568" t="s">
        <v>11</v>
      </c>
      <c r="T568" t="s">
        <v>11</v>
      </c>
    </row>
    <row r="569" spans="1:20" x14ac:dyDescent="0.2">
      <c r="A569" t="str">
        <f t="shared" si="8"/>
        <v>sample_16S-A-H11-L3_anaCS-Subj6-H11</v>
      </c>
      <c r="B569" t="s">
        <v>806</v>
      </c>
      <c r="C569" s="3" t="s">
        <v>9</v>
      </c>
      <c r="D569" s="3" t="s">
        <v>7</v>
      </c>
      <c r="E569" s="3" t="s">
        <v>3</v>
      </c>
      <c r="F569" s="3" t="s">
        <v>117</v>
      </c>
      <c r="G569" s="3" t="s">
        <v>23</v>
      </c>
      <c r="H569" s="3" t="s">
        <v>13</v>
      </c>
      <c r="I569" s="3" t="s">
        <v>21</v>
      </c>
      <c r="J569" s="3" t="s">
        <v>117</v>
      </c>
      <c r="K569" s="3" t="s">
        <v>211</v>
      </c>
      <c r="L569" s="3">
        <v>95</v>
      </c>
      <c r="M569">
        <v>9907</v>
      </c>
      <c r="N569">
        <v>9933</v>
      </c>
      <c r="O569">
        <v>9547</v>
      </c>
      <c r="P569">
        <v>9153</v>
      </c>
      <c r="Q569">
        <v>0.95873049125379695</v>
      </c>
      <c r="R569" t="s">
        <v>11</v>
      </c>
      <c r="S569" t="s">
        <v>11</v>
      </c>
      <c r="T569" t="s">
        <v>11</v>
      </c>
    </row>
    <row r="570" spans="1:20" x14ac:dyDescent="0.2">
      <c r="A570" t="str">
        <f t="shared" si="8"/>
        <v>sample_HS-CS5_H11_Raloxifene-hydrochloride_S479</v>
      </c>
      <c r="B570" t="s">
        <v>807</v>
      </c>
      <c r="C570" s="3" t="s">
        <v>10</v>
      </c>
      <c r="D570" s="3" t="s">
        <v>8</v>
      </c>
      <c r="E570" s="3" t="s">
        <v>11</v>
      </c>
      <c r="F570" s="3" t="s">
        <v>11</v>
      </c>
      <c r="G570" s="3" t="s">
        <v>11</v>
      </c>
      <c r="H570" s="3" t="s">
        <v>13</v>
      </c>
      <c r="I570" s="3" t="s">
        <v>19</v>
      </c>
      <c r="J570" s="3" t="s">
        <v>117</v>
      </c>
      <c r="K570" s="3" t="s">
        <v>211</v>
      </c>
      <c r="L570" s="3">
        <v>95</v>
      </c>
      <c r="M570">
        <v>43359</v>
      </c>
      <c r="N570">
        <v>43458</v>
      </c>
      <c r="O570">
        <v>42147</v>
      </c>
      <c r="P570">
        <v>40067</v>
      </c>
      <c r="Q570">
        <v>0.95064891925878503</v>
      </c>
      <c r="R570">
        <v>56</v>
      </c>
      <c r="S570">
        <v>2.6443016530157699</v>
      </c>
      <c r="T570">
        <v>0.65691195606633901</v>
      </c>
    </row>
    <row r="571" spans="1:20" x14ac:dyDescent="0.2">
      <c r="A571" t="str">
        <f t="shared" si="8"/>
        <v>sample_HS-CS6_H11_Raloxifene-hydrochloride_S575</v>
      </c>
      <c r="B571" t="s">
        <v>808</v>
      </c>
      <c r="C571" s="3" t="s">
        <v>10</v>
      </c>
      <c r="D571" s="3" t="s">
        <v>8</v>
      </c>
      <c r="E571" s="3" t="s">
        <v>11</v>
      </c>
      <c r="F571" s="3" t="s">
        <v>11</v>
      </c>
      <c r="G571" s="3" t="s">
        <v>11</v>
      </c>
      <c r="H571" s="3" t="s">
        <v>13</v>
      </c>
      <c r="I571" s="3" t="s">
        <v>21</v>
      </c>
      <c r="J571" s="3" t="s">
        <v>117</v>
      </c>
      <c r="K571" s="3" t="s">
        <v>211</v>
      </c>
      <c r="L571" s="3">
        <v>95</v>
      </c>
      <c r="M571">
        <v>14044</v>
      </c>
      <c r="N571">
        <v>14079</v>
      </c>
      <c r="O571">
        <v>13641</v>
      </c>
      <c r="P571">
        <v>13317</v>
      </c>
      <c r="Q571">
        <v>0.97624807565427796</v>
      </c>
      <c r="R571">
        <v>28</v>
      </c>
      <c r="S571">
        <v>1.3292035277396901</v>
      </c>
      <c r="T571">
        <v>0.39889614328317502</v>
      </c>
    </row>
    <row r="572" spans="1:20" x14ac:dyDescent="0.2">
      <c r="A572" t="str">
        <f t="shared" si="8"/>
        <v>sample_HS-CS5_H12_empty3_S480</v>
      </c>
      <c r="B572" t="s">
        <v>809</v>
      </c>
      <c r="C572" s="3" t="s">
        <v>10</v>
      </c>
      <c r="D572" s="3" t="s">
        <v>8</v>
      </c>
      <c r="E572" s="3" t="s">
        <v>11</v>
      </c>
      <c r="F572" s="3" t="s">
        <v>11</v>
      </c>
      <c r="G572" s="3" t="s">
        <v>11</v>
      </c>
      <c r="H572" s="3" t="s">
        <v>13</v>
      </c>
      <c r="I572" s="3" t="s">
        <v>19</v>
      </c>
      <c r="J572" s="3" t="s">
        <v>118</v>
      </c>
      <c r="K572" s="3" t="s">
        <v>212</v>
      </c>
      <c r="L572" s="3">
        <v>96</v>
      </c>
      <c r="M572">
        <v>15672</v>
      </c>
      <c r="N572">
        <v>15709</v>
      </c>
      <c r="O572">
        <v>15215</v>
      </c>
      <c r="P572">
        <v>15132</v>
      </c>
      <c r="Q572">
        <v>0.994544857048965</v>
      </c>
      <c r="R572">
        <v>47</v>
      </c>
      <c r="S572">
        <v>2.5034144077836702</v>
      </c>
      <c r="T572">
        <v>0.65021258059607101</v>
      </c>
    </row>
    <row r="573" spans="1:20" x14ac:dyDescent="0.2">
      <c r="A573" t="str">
        <f t="shared" si="8"/>
        <v>sample_HS-CS6_H12_empty3_S576</v>
      </c>
      <c r="B573" t="s">
        <v>810</v>
      </c>
      <c r="C573" s="3" t="s">
        <v>10</v>
      </c>
      <c r="D573" s="3" t="s">
        <v>8</v>
      </c>
      <c r="E573" s="3" t="s">
        <v>11</v>
      </c>
      <c r="F573" s="3" t="s">
        <v>11</v>
      </c>
      <c r="G573" s="3" t="s">
        <v>11</v>
      </c>
      <c r="H573" s="3" t="s">
        <v>13</v>
      </c>
      <c r="I573" s="3" t="s">
        <v>21</v>
      </c>
      <c r="J573" s="3" t="s">
        <v>118</v>
      </c>
      <c r="K573" s="3" t="s">
        <v>212</v>
      </c>
      <c r="L573" s="3">
        <v>96</v>
      </c>
      <c r="M573">
        <v>11332</v>
      </c>
      <c r="N573">
        <v>11368</v>
      </c>
      <c r="O573">
        <v>10987</v>
      </c>
      <c r="P573">
        <v>10723</v>
      </c>
      <c r="Q573">
        <v>0.97597160280331297</v>
      </c>
      <c r="R573">
        <v>34</v>
      </c>
      <c r="S573">
        <v>2.00058925760493</v>
      </c>
      <c r="T573">
        <v>0.56732408488570196</v>
      </c>
    </row>
    <row r="574" spans="1:20" x14ac:dyDescent="0.2">
      <c r="A574" t="str">
        <f t="shared" si="8"/>
        <v>sample_16S-A-H12-L0_anaCS-Subj5-H12</v>
      </c>
      <c r="B574" t="s">
        <v>811</v>
      </c>
      <c r="C574" s="3" t="s">
        <v>9</v>
      </c>
      <c r="D574" s="3" t="s">
        <v>7</v>
      </c>
      <c r="E574" s="3" t="s">
        <v>3</v>
      </c>
      <c r="F574" s="3" t="s">
        <v>118</v>
      </c>
      <c r="G574" s="3" t="s">
        <v>18</v>
      </c>
      <c r="H574" s="3" t="s">
        <v>13</v>
      </c>
      <c r="I574" s="3" t="s">
        <v>19</v>
      </c>
      <c r="J574" s="3" t="s">
        <v>118</v>
      </c>
      <c r="K574" s="3" t="s">
        <v>212</v>
      </c>
      <c r="L574" s="3">
        <v>96</v>
      </c>
      <c r="M574">
        <v>55441</v>
      </c>
      <c r="N574">
        <v>55476</v>
      </c>
      <c r="O574">
        <v>53761</v>
      </c>
      <c r="P574">
        <v>49938</v>
      </c>
      <c r="Q574">
        <v>0.92888897155930905</v>
      </c>
      <c r="R574">
        <v>70</v>
      </c>
      <c r="S574">
        <v>2.9110352918112401</v>
      </c>
      <c r="T574">
        <v>0.68519208000972998</v>
      </c>
    </row>
    <row r="575" spans="1:20" x14ac:dyDescent="0.2">
      <c r="A575" t="str">
        <f t="shared" si="8"/>
        <v>sample_16S-A-H12-L1_anaCS-Subj6-H12</v>
      </c>
      <c r="B575" t="s">
        <v>812</v>
      </c>
      <c r="C575" s="3" t="s">
        <v>9</v>
      </c>
      <c r="D575" s="3" t="s">
        <v>7</v>
      </c>
      <c r="E575" s="3" t="s">
        <v>3</v>
      </c>
      <c r="F575" s="3" t="s">
        <v>118</v>
      </c>
      <c r="G575" s="3" t="s">
        <v>20</v>
      </c>
      <c r="H575" s="3" t="s">
        <v>13</v>
      </c>
      <c r="I575" s="3" t="s">
        <v>21</v>
      </c>
      <c r="J575" s="3" t="s">
        <v>118</v>
      </c>
      <c r="K575" s="3" t="s">
        <v>212</v>
      </c>
      <c r="L575" s="3">
        <v>96</v>
      </c>
      <c r="M575">
        <v>56844</v>
      </c>
      <c r="N575">
        <v>56838</v>
      </c>
      <c r="O575">
        <v>55454</v>
      </c>
      <c r="P575">
        <v>51381</v>
      </c>
      <c r="Q575">
        <v>0.926551736574458</v>
      </c>
      <c r="R575">
        <v>74</v>
      </c>
      <c r="S575">
        <v>2.9294371391773302</v>
      </c>
      <c r="T575">
        <v>0.68062101193653401</v>
      </c>
    </row>
    <row r="576" spans="1:20" x14ac:dyDescent="0.2">
      <c r="A576" t="str">
        <f t="shared" si="8"/>
        <v>sample_16S-A-H12-L2_anaCS-Subj5-H12</v>
      </c>
      <c r="B576" t="s">
        <v>813</v>
      </c>
      <c r="C576" s="3" t="s">
        <v>9</v>
      </c>
      <c r="D576" s="3" t="s">
        <v>7</v>
      </c>
      <c r="E576" s="3" t="s">
        <v>3</v>
      </c>
      <c r="F576" s="3" t="s">
        <v>118</v>
      </c>
      <c r="G576" s="3" t="s">
        <v>22</v>
      </c>
      <c r="H576" s="3" t="s">
        <v>13</v>
      </c>
      <c r="I576" s="3" t="s">
        <v>19</v>
      </c>
      <c r="J576" s="3" t="s">
        <v>118</v>
      </c>
      <c r="K576" s="3" t="s">
        <v>212</v>
      </c>
      <c r="L576" s="3">
        <v>96</v>
      </c>
      <c r="M576">
        <v>51905</v>
      </c>
      <c r="N576">
        <v>51982</v>
      </c>
      <c r="O576">
        <v>49939</v>
      </c>
      <c r="P576">
        <v>45450</v>
      </c>
      <c r="Q576">
        <v>0.91011033460822199</v>
      </c>
      <c r="R576">
        <v>64</v>
      </c>
      <c r="S576">
        <v>2.8549679738038201</v>
      </c>
      <c r="T576">
        <v>0.68647468961726299</v>
      </c>
    </row>
    <row r="577" spans="1:20" x14ac:dyDescent="0.2">
      <c r="A577" t="str">
        <f t="shared" si="8"/>
        <v>sample_16S-A-H12-L3_anaCS-Subj6-H12</v>
      </c>
      <c r="B577" t="s">
        <v>814</v>
      </c>
      <c r="C577" s="3" t="s">
        <v>9</v>
      </c>
      <c r="D577" s="3" t="s">
        <v>7</v>
      </c>
      <c r="E577" s="3" t="s">
        <v>3</v>
      </c>
      <c r="F577" s="3" t="s">
        <v>118</v>
      </c>
      <c r="G577" s="3" t="s">
        <v>23</v>
      </c>
      <c r="H577" s="3" t="s">
        <v>13</v>
      </c>
      <c r="I577" s="3" t="s">
        <v>21</v>
      </c>
      <c r="J577" s="3" t="s">
        <v>118</v>
      </c>
      <c r="K577" s="3" t="s">
        <v>212</v>
      </c>
      <c r="L577" s="3">
        <v>96</v>
      </c>
      <c r="M577">
        <v>85325</v>
      </c>
      <c r="N577">
        <v>85326</v>
      </c>
      <c r="O577">
        <v>83084</v>
      </c>
      <c r="P577">
        <v>75325</v>
      </c>
      <c r="Q577">
        <v>0.90661258485388296</v>
      </c>
      <c r="R577">
        <v>77</v>
      </c>
      <c r="S577">
        <v>2.8109165899756801</v>
      </c>
      <c r="T577">
        <v>0.647109231880867</v>
      </c>
    </row>
    <row r="578" spans="1:20" x14ac:dyDescent="0.2">
      <c r="C578" s="3"/>
      <c r="D578" s="3"/>
      <c r="E578" s="3"/>
      <c r="F578" s="3"/>
      <c r="G578" s="3"/>
      <c r="H578" s="3"/>
      <c r="I578" s="3"/>
      <c r="J578" s="3"/>
    </row>
    <row r="579" spans="1:20" x14ac:dyDescent="0.2">
      <c r="C579" s="3"/>
      <c r="D579" s="3"/>
      <c r="E579" s="3"/>
      <c r="F579" s="3"/>
      <c r="G579" s="3"/>
      <c r="H579" s="3"/>
      <c r="I579" s="3"/>
      <c r="J579" s="3"/>
    </row>
    <row r="580" spans="1:20" x14ac:dyDescent="0.2">
      <c r="C580" s="3"/>
      <c r="D580" s="3"/>
      <c r="E580" s="3"/>
      <c r="F580" s="3"/>
      <c r="G580" s="3"/>
      <c r="H580" s="3"/>
      <c r="I580" s="3"/>
      <c r="J580" s="3"/>
    </row>
    <row r="581" spans="1:20" x14ac:dyDescent="0.2">
      <c r="C581" s="3"/>
      <c r="D581" s="3"/>
      <c r="E581" s="3"/>
      <c r="F581" s="3"/>
      <c r="G581" s="3"/>
      <c r="H581" s="3"/>
      <c r="I581" s="3"/>
      <c r="J581" s="3"/>
    </row>
    <row r="582" spans="1:20" x14ac:dyDescent="0.2">
      <c r="C582" s="3"/>
      <c r="D582" s="3"/>
      <c r="E582" s="3"/>
      <c r="F582" s="3"/>
      <c r="G582" s="3"/>
      <c r="H582" s="3"/>
      <c r="I582" s="3"/>
      <c r="J582" s="3"/>
    </row>
    <row r="583" spans="1:20" x14ac:dyDescent="0.2">
      <c r="C583" s="3"/>
      <c r="D583" s="3"/>
      <c r="E583" s="3"/>
      <c r="F583" s="3"/>
      <c r="G583" s="3"/>
      <c r="H583" s="3"/>
      <c r="I583" s="3"/>
      <c r="J583" s="3"/>
    </row>
    <row r="584" spans="1:20" x14ac:dyDescent="0.2">
      <c r="C584" s="3"/>
      <c r="D584" s="3"/>
      <c r="E584" s="3"/>
      <c r="F584" s="3"/>
      <c r="G584" s="3"/>
      <c r="H584" s="3"/>
      <c r="I584" s="3"/>
      <c r="J584" s="3"/>
    </row>
    <row r="585" spans="1:20" x14ac:dyDescent="0.2">
      <c r="C585" s="3"/>
      <c r="D585" s="3"/>
      <c r="E585" s="3"/>
      <c r="F585" s="3"/>
      <c r="G585" s="3"/>
      <c r="H585" s="3"/>
      <c r="I585" s="3"/>
      <c r="J585" s="3"/>
    </row>
    <row r="586" spans="1:20" x14ac:dyDescent="0.2">
      <c r="C586" s="3"/>
      <c r="D586" s="3"/>
      <c r="E586" s="3"/>
      <c r="F586" s="3"/>
      <c r="G586" s="3"/>
      <c r="H586" s="3"/>
      <c r="I586" s="3"/>
      <c r="J586" s="3"/>
    </row>
    <row r="587" spans="1:20" x14ac:dyDescent="0.2">
      <c r="C587" s="3"/>
      <c r="D587" s="3"/>
      <c r="E587" s="3"/>
      <c r="F587" s="3"/>
      <c r="G587" s="3"/>
      <c r="H587" s="3"/>
      <c r="I587" s="3"/>
      <c r="J587" s="3"/>
    </row>
    <row r="588" spans="1:20" x14ac:dyDescent="0.2">
      <c r="C588" s="3"/>
      <c r="D588" s="3"/>
      <c r="E588" s="3"/>
      <c r="F588" s="3"/>
      <c r="G588" s="3"/>
      <c r="H588" s="3"/>
      <c r="I588" s="3"/>
      <c r="J588" s="3"/>
    </row>
    <row r="589" spans="1:20" x14ac:dyDescent="0.2">
      <c r="C589" s="3"/>
      <c r="D589" s="3"/>
      <c r="E589" s="3"/>
      <c r="F589" s="3"/>
      <c r="G589" s="3"/>
      <c r="H589" s="3"/>
      <c r="I589" s="3"/>
      <c r="J589" s="3"/>
    </row>
  </sheetData>
  <sortState xmlns:xlrd2="http://schemas.microsoft.com/office/spreadsheetml/2017/richdata2" ref="Q2:R592">
    <sortCondition ref="Q1:Q592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D1D7-296A-F642-9097-C18493D36B25}">
  <dimension ref="A1:K13"/>
  <sheetViews>
    <sheetView workbookViewId="0">
      <selection activeCell="C21" sqref="C21"/>
    </sheetView>
  </sheetViews>
  <sheetFormatPr baseColWidth="10" defaultRowHeight="16" x14ac:dyDescent="0.2"/>
  <cols>
    <col min="1" max="1" width="61.83203125" bestFit="1" customWidth="1"/>
    <col min="2" max="2" width="8.33203125" bestFit="1" customWidth="1"/>
    <col min="3" max="3" width="10.1640625" bestFit="1" customWidth="1"/>
    <col min="4" max="4" width="13" bestFit="1" customWidth="1"/>
    <col min="5" max="5" width="12.1640625" bestFit="1" customWidth="1"/>
    <col min="6" max="6" width="6.33203125" bestFit="1" customWidth="1"/>
    <col min="9" max="9" width="4.83203125" bestFit="1" customWidth="1"/>
  </cols>
  <sheetData>
    <row r="1" spans="1:11" x14ac:dyDescent="0.2">
      <c r="A1" s="1" t="s">
        <v>0</v>
      </c>
      <c r="B1" s="1" t="s">
        <v>5</v>
      </c>
      <c r="C1" s="1" t="s">
        <v>6</v>
      </c>
      <c r="D1" s="2" t="s">
        <v>2</v>
      </c>
      <c r="E1" s="2" t="s">
        <v>1</v>
      </c>
      <c r="F1" s="2" t="s">
        <v>4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227</v>
      </c>
    </row>
    <row r="2" spans="1:11" x14ac:dyDescent="0.2">
      <c r="A2" t="s">
        <v>213</v>
      </c>
      <c r="B2" s="3" t="s">
        <v>9</v>
      </c>
      <c r="C2" s="3" t="s">
        <v>229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19</v>
      </c>
      <c r="I2" s="3" t="s">
        <v>35</v>
      </c>
      <c r="J2" s="3" t="s">
        <v>11</v>
      </c>
      <c r="K2">
        <v>1</v>
      </c>
    </row>
    <row r="3" spans="1:11" x14ac:dyDescent="0.2">
      <c r="A3" t="s">
        <v>214</v>
      </c>
      <c r="B3" s="3" t="s">
        <v>10</v>
      </c>
      <c r="C3" s="3" t="s">
        <v>8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19</v>
      </c>
      <c r="I3" s="3" t="s">
        <v>35</v>
      </c>
      <c r="J3" s="3" t="s">
        <v>11</v>
      </c>
      <c r="K3">
        <v>1</v>
      </c>
    </row>
    <row r="4" spans="1:11" x14ac:dyDescent="0.2">
      <c r="A4" t="s">
        <v>215</v>
      </c>
      <c r="B4" s="3" t="s">
        <v>225</v>
      </c>
      <c r="C4" s="3" t="s">
        <v>226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19</v>
      </c>
      <c r="I4" s="3" t="s">
        <v>35</v>
      </c>
      <c r="J4" s="3" t="s">
        <v>11</v>
      </c>
      <c r="K4">
        <v>1</v>
      </c>
    </row>
    <row r="5" spans="1:11" x14ac:dyDescent="0.2">
      <c r="A5" t="s">
        <v>216</v>
      </c>
      <c r="B5" s="3" t="s">
        <v>9</v>
      </c>
      <c r="C5" s="3" t="s">
        <v>229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19</v>
      </c>
      <c r="I5" s="3" t="s">
        <v>49</v>
      </c>
      <c r="J5" s="3" t="s">
        <v>11</v>
      </c>
      <c r="K5">
        <v>2</v>
      </c>
    </row>
    <row r="6" spans="1:11" x14ac:dyDescent="0.2">
      <c r="A6" t="s">
        <v>217</v>
      </c>
      <c r="B6" s="3" t="s">
        <v>10</v>
      </c>
      <c r="C6" s="3" t="s">
        <v>8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19</v>
      </c>
      <c r="I6" s="3" t="s">
        <v>49</v>
      </c>
      <c r="J6" s="3" t="s">
        <v>11</v>
      </c>
      <c r="K6">
        <v>2</v>
      </c>
    </row>
    <row r="7" spans="1:11" x14ac:dyDescent="0.2">
      <c r="A7" t="s">
        <v>218</v>
      </c>
      <c r="B7" s="3" t="s">
        <v>225</v>
      </c>
      <c r="C7" s="3" t="s">
        <v>226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19</v>
      </c>
      <c r="I7" s="3" t="s">
        <v>49</v>
      </c>
      <c r="J7" s="3" t="s">
        <v>11</v>
      </c>
      <c r="K7">
        <v>2</v>
      </c>
    </row>
    <row r="8" spans="1:11" x14ac:dyDescent="0.2">
      <c r="A8" t="s">
        <v>219</v>
      </c>
      <c r="B8" s="3" t="s">
        <v>9</v>
      </c>
      <c r="C8" s="3" t="s">
        <v>229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21</v>
      </c>
      <c r="I8" s="3" t="s">
        <v>35</v>
      </c>
      <c r="J8" s="3" t="s">
        <v>11</v>
      </c>
      <c r="K8">
        <v>3</v>
      </c>
    </row>
    <row r="9" spans="1:11" x14ac:dyDescent="0.2">
      <c r="A9" t="s">
        <v>220</v>
      </c>
      <c r="B9" s="3" t="s">
        <v>10</v>
      </c>
      <c r="C9" s="3" t="s">
        <v>8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21</v>
      </c>
      <c r="I9" s="3" t="s">
        <v>35</v>
      </c>
      <c r="J9" s="3" t="s">
        <v>11</v>
      </c>
      <c r="K9">
        <v>3</v>
      </c>
    </row>
    <row r="10" spans="1:11" x14ac:dyDescent="0.2">
      <c r="A10" t="s">
        <v>221</v>
      </c>
      <c r="B10" s="3" t="s">
        <v>225</v>
      </c>
      <c r="C10" s="3" t="s">
        <v>226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21</v>
      </c>
      <c r="I10" s="3" t="s">
        <v>35</v>
      </c>
      <c r="J10" s="3" t="s">
        <v>11</v>
      </c>
      <c r="K10">
        <v>3</v>
      </c>
    </row>
    <row r="11" spans="1:11" x14ac:dyDescent="0.2">
      <c r="A11" t="s">
        <v>222</v>
      </c>
      <c r="B11" s="3" t="s">
        <v>9</v>
      </c>
      <c r="C11" s="3" t="s">
        <v>229</v>
      </c>
      <c r="D11" s="3" t="s">
        <v>11</v>
      </c>
      <c r="E11" s="3" t="s">
        <v>11</v>
      </c>
      <c r="F11" s="3" t="s">
        <v>11</v>
      </c>
      <c r="G11" s="3" t="s">
        <v>11</v>
      </c>
      <c r="H11" s="3" t="s">
        <v>21</v>
      </c>
      <c r="I11" s="3" t="s">
        <v>50</v>
      </c>
      <c r="J11" s="3" t="s">
        <v>11</v>
      </c>
      <c r="K11">
        <v>4</v>
      </c>
    </row>
    <row r="12" spans="1:11" x14ac:dyDescent="0.2">
      <c r="A12" t="s">
        <v>223</v>
      </c>
      <c r="B12" s="3" t="s">
        <v>10</v>
      </c>
      <c r="C12" s="3" t="s">
        <v>8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21</v>
      </c>
      <c r="I12" s="3" t="s">
        <v>50</v>
      </c>
      <c r="J12" s="3" t="s">
        <v>11</v>
      </c>
      <c r="K12">
        <v>4</v>
      </c>
    </row>
    <row r="13" spans="1:11" x14ac:dyDescent="0.2">
      <c r="A13" t="s">
        <v>224</v>
      </c>
      <c r="B13" s="3" t="s">
        <v>225</v>
      </c>
      <c r="C13" s="3" t="s">
        <v>226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21</v>
      </c>
      <c r="I13" s="3" t="s">
        <v>50</v>
      </c>
      <c r="J13" s="3" t="s">
        <v>11</v>
      </c>
      <c r="K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Fu</dc:creator>
  <cp:lastModifiedBy>Beverly Fu</cp:lastModifiedBy>
  <dcterms:created xsi:type="dcterms:W3CDTF">2025-02-19T19:36:21Z</dcterms:created>
  <dcterms:modified xsi:type="dcterms:W3CDTF">2026-09-17T16:35:02Z</dcterms:modified>
</cp:coreProperties>
</file>